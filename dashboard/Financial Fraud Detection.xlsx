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hidePivotFieldList="1" defaultThemeVersion="202300"/>
  <mc:AlternateContent xmlns:mc="http://schemas.openxmlformats.org/markup-compatibility/2006">
    <mc:Choice Requires="x15">
      <x15ac:absPath xmlns:x15ac="http://schemas.microsoft.com/office/spreadsheetml/2010/11/ac" url="/Users/anjana/Desktop/"/>
    </mc:Choice>
  </mc:AlternateContent>
  <xr:revisionPtr revIDLastSave="0" documentId="8_{EF8199AF-3849-1947-8392-E71151E166B1}" xr6:coauthVersionLast="47" xr6:coauthVersionMax="47" xr10:uidLastSave="{00000000-0000-0000-0000-000000000000}"/>
  <bookViews>
    <workbookView xWindow="0" yWindow="660" windowWidth="29000" windowHeight="16580" activeTab="1" xr2:uid="{00000000-000D-0000-FFFF-FFFF00000000}"/>
  </bookViews>
  <sheets>
    <sheet name="financial_fraud_data" sheetId="2" r:id="rId1"/>
    <sheet name="Pivot Table" sheetId="4" r:id="rId2"/>
  </sheets>
  <definedNames>
    <definedName name="ExternalData_1" localSheetId="0" hidden="1">financial_fraud_data!$A$1:$N$2501</definedName>
    <definedName name="Slicer_Customer_Location">#N/A</definedName>
    <definedName name="Slicer_Month">#N/A</definedName>
    <definedName name="Slicer_Payment_Method">#N/A</definedName>
    <definedName name="Slicer_Risk_Category">#N/A</definedName>
    <definedName name="Slicer_Transaction_Type">#N/A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R15" i="2"/>
  <c r="R12" i="2"/>
  <c r="R9" i="2"/>
  <c r="R6"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R18"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financial_fraud_data" description="Connection to the 'financial_fraud_data' query in the workbook." type="5" refreshedVersion="8" background="1" saveData="1">
    <dbPr connection="Provider=Microsoft.Mashup.OleDb.1;Data Source=$Workbook$;Location=financial_fraud_data;Extended Properties=&quot;&quot;" command="SELECT * FROM [financial_fraud_data]"/>
  </connection>
  <connection id="2" xr16:uid="{DA21626B-0C8F-DB4B-B970-26A64EE501C7}" keepAlive="1" name="Query - financial_fraud_data (2)" description="Connection to the 'financial_fraud_data (2)' query in the workbook." type="5" refreshedVersion="8" background="1" saveData="1">
    <dbPr connection="Provider=Microsoft.Mashup.OleDb.1;Data Source=$Workbook$;Location=&quot;financial_fraud_data (2)&quot;;Extended Properties=&quot;&quot;" command="SELECT * FROM [financial_fraud_data (2)]"/>
  </connection>
</connections>
</file>

<file path=xl/sharedStrings.xml><?xml version="1.0" encoding="utf-8"?>
<sst xmlns="http://schemas.openxmlformats.org/spreadsheetml/2006/main" count="20079" uniqueCount="3065">
  <si>
    <t>Transaction_ID</t>
  </si>
  <si>
    <t>Customer_ID</t>
  </si>
  <si>
    <t>Transaction_Date</t>
  </si>
  <si>
    <t>Transaction_Amount</t>
  </si>
  <si>
    <t>Transaction_Type</t>
  </si>
  <si>
    <t>Payment_Method</t>
  </si>
  <si>
    <t>Merchant_Category</t>
  </si>
  <si>
    <t>Customer_Location</t>
  </si>
  <si>
    <t>Transaction_Location</t>
  </si>
  <si>
    <t>Device_Type</t>
  </si>
  <si>
    <t>Is_International</t>
  </si>
  <si>
    <t>Previous_Fraud_Count</t>
  </si>
  <si>
    <t>Risk_Score</t>
  </si>
  <si>
    <t>Is_Fraud</t>
  </si>
  <si>
    <t>T100000</t>
  </si>
  <si>
    <t>C1421</t>
  </si>
  <si>
    <t>ATM</t>
  </si>
  <si>
    <t>Net Banking</t>
  </si>
  <si>
    <t>Travel</t>
  </si>
  <si>
    <t>Maharashtra</t>
  </si>
  <si>
    <t>Desktop</t>
  </si>
  <si>
    <t>T100001</t>
  </si>
  <si>
    <t>C1100</t>
  </si>
  <si>
    <t>Kerala</t>
  </si>
  <si>
    <t>Tamil Nadu</t>
  </si>
  <si>
    <t>T100002</t>
  </si>
  <si>
    <t>C1131</t>
  </si>
  <si>
    <t>UPI</t>
  </si>
  <si>
    <t>Food</t>
  </si>
  <si>
    <t>Delhi</t>
  </si>
  <si>
    <t>T100003</t>
  </si>
  <si>
    <t>C1379</t>
  </si>
  <si>
    <t>T100004</t>
  </si>
  <si>
    <t>C1388</t>
  </si>
  <si>
    <t>Bank Transfer</t>
  </si>
  <si>
    <t>Entertainment</t>
  </si>
  <si>
    <t>Karnataka</t>
  </si>
  <si>
    <t>Mobile</t>
  </si>
  <si>
    <t>T100005</t>
  </si>
  <si>
    <t>C1178</t>
  </si>
  <si>
    <t>T100006</t>
  </si>
  <si>
    <t>C1256</t>
  </si>
  <si>
    <t>Online</t>
  </si>
  <si>
    <t>T100007</t>
  </si>
  <si>
    <t>C1253</t>
  </si>
  <si>
    <t>T100008</t>
  </si>
  <si>
    <t>C1059</t>
  </si>
  <si>
    <t>Credit Card</t>
  </si>
  <si>
    <t>T100009</t>
  </si>
  <si>
    <t>C1009</t>
  </si>
  <si>
    <t>Debit Card</t>
  </si>
  <si>
    <t>Tablet</t>
  </si>
  <si>
    <t>T100010</t>
  </si>
  <si>
    <t>C1208</t>
  </si>
  <si>
    <t>T100011</t>
  </si>
  <si>
    <t>C1146</t>
  </si>
  <si>
    <t>Electronics</t>
  </si>
  <si>
    <t>T100012</t>
  </si>
  <si>
    <t>C1080</t>
  </si>
  <si>
    <t>T100013</t>
  </si>
  <si>
    <t>C1132</t>
  </si>
  <si>
    <t>T100014</t>
  </si>
  <si>
    <t>C1372</t>
  </si>
  <si>
    <t>T100015</t>
  </si>
  <si>
    <t>C1416</t>
  </si>
  <si>
    <t>Retail</t>
  </si>
  <si>
    <t>T100016</t>
  </si>
  <si>
    <t>C1332</t>
  </si>
  <si>
    <t>T100017</t>
  </si>
  <si>
    <t>C1179</t>
  </si>
  <si>
    <t>T100018</t>
  </si>
  <si>
    <t>C1450</t>
  </si>
  <si>
    <t>T100019</t>
  </si>
  <si>
    <t>C1340</t>
  </si>
  <si>
    <t>T100020</t>
  </si>
  <si>
    <t>C1433</t>
  </si>
  <si>
    <t>T100021</t>
  </si>
  <si>
    <t>C1481</t>
  </si>
  <si>
    <t>T100022</t>
  </si>
  <si>
    <t>C1386</t>
  </si>
  <si>
    <t>POS</t>
  </si>
  <si>
    <t>T100023</t>
  </si>
  <si>
    <t>C1404</t>
  </si>
  <si>
    <t>T100024</t>
  </si>
  <si>
    <t>C1040</t>
  </si>
  <si>
    <t>T100025</t>
  </si>
  <si>
    <t>C1319</t>
  </si>
  <si>
    <t>T100026</t>
  </si>
  <si>
    <t>C1426</t>
  </si>
  <si>
    <t>T100027</t>
  </si>
  <si>
    <t>C1176</t>
  </si>
  <si>
    <t>T100028</t>
  </si>
  <si>
    <t>C1339</t>
  </si>
  <si>
    <t>T100029</t>
  </si>
  <si>
    <t>C1081</t>
  </si>
  <si>
    <t>T100030</t>
  </si>
  <si>
    <t>C1154</t>
  </si>
  <si>
    <t>T100031</t>
  </si>
  <si>
    <t>C1270</t>
  </si>
  <si>
    <t>T100032</t>
  </si>
  <si>
    <t>C1122</t>
  </si>
  <si>
    <t>T100033</t>
  </si>
  <si>
    <t>C1212</t>
  </si>
  <si>
    <t>T100034</t>
  </si>
  <si>
    <t>C1155</t>
  </si>
  <si>
    <t>T100035</t>
  </si>
  <si>
    <t>C1362</t>
  </si>
  <si>
    <t>T100036</t>
  </si>
  <si>
    <t>C1418</t>
  </si>
  <si>
    <t>T100037</t>
  </si>
  <si>
    <t>T100038</t>
  </si>
  <si>
    <t>C1247</t>
  </si>
  <si>
    <t>T100039</t>
  </si>
  <si>
    <t>C1442</t>
  </si>
  <si>
    <t>T100040</t>
  </si>
  <si>
    <t>C1183</t>
  </si>
  <si>
    <t>T100041</t>
  </si>
  <si>
    <t>C1320</t>
  </si>
  <si>
    <t>T100042</t>
  </si>
  <si>
    <t>C1364</t>
  </si>
  <si>
    <t>T100043</t>
  </si>
  <si>
    <t>C1427</t>
  </si>
  <si>
    <t>T100044</t>
  </si>
  <si>
    <t>C1441</t>
  </si>
  <si>
    <t>T100045</t>
  </si>
  <si>
    <t>C1280</t>
  </si>
  <si>
    <t>T100046</t>
  </si>
  <si>
    <t>C1022</t>
  </si>
  <si>
    <t>T100047</t>
  </si>
  <si>
    <t>C1054</t>
  </si>
  <si>
    <t>T100048</t>
  </si>
  <si>
    <t>C1237</t>
  </si>
  <si>
    <t>T100049</t>
  </si>
  <si>
    <t>C1019</t>
  </si>
  <si>
    <t>T100050</t>
  </si>
  <si>
    <t>T100051</t>
  </si>
  <si>
    <t>C1139</t>
  </si>
  <si>
    <t>T100052</t>
  </si>
  <si>
    <t>C1316</t>
  </si>
  <si>
    <t>T100053</t>
  </si>
  <si>
    <t>C1314</t>
  </si>
  <si>
    <t>T100054</t>
  </si>
  <si>
    <t>C1376</t>
  </si>
  <si>
    <t>T100055</t>
  </si>
  <si>
    <t>C1177</t>
  </si>
  <si>
    <t>T100056</t>
  </si>
  <si>
    <t>C1375</t>
  </si>
  <si>
    <t>T100057</t>
  </si>
  <si>
    <t>C1249</t>
  </si>
  <si>
    <t>T100058</t>
  </si>
  <si>
    <t>C1124</t>
  </si>
  <si>
    <t>T100059</t>
  </si>
  <si>
    <t>C1299</t>
  </si>
  <si>
    <t>T100060</t>
  </si>
  <si>
    <t>C1196</t>
  </si>
  <si>
    <t>T100061</t>
  </si>
  <si>
    <t>C1097</t>
  </si>
  <si>
    <t>T100062</t>
  </si>
  <si>
    <t>C1164</t>
  </si>
  <si>
    <t>T100063</t>
  </si>
  <si>
    <t>C1093</t>
  </si>
  <si>
    <t>T100064</t>
  </si>
  <si>
    <t>C1144</t>
  </si>
  <si>
    <t>T100065</t>
  </si>
  <si>
    <t>C1013</t>
  </si>
  <si>
    <t>T100066</t>
  </si>
  <si>
    <t>C1317</t>
  </si>
  <si>
    <t>T100067</t>
  </si>
  <si>
    <t>C1461</t>
  </si>
  <si>
    <t>T100068</t>
  </si>
  <si>
    <t>C1492</t>
  </si>
  <si>
    <t>T100069</t>
  </si>
  <si>
    <t>C1466</t>
  </si>
  <si>
    <t>T100070</t>
  </si>
  <si>
    <t>C1227</t>
  </si>
  <si>
    <t>T100071</t>
  </si>
  <si>
    <t>C1034</t>
  </si>
  <si>
    <t>T100072</t>
  </si>
  <si>
    <t>C1396</t>
  </si>
  <si>
    <t>T100073</t>
  </si>
  <si>
    <t>C1236</t>
  </si>
  <si>
    <t>T100074</t>
  </si>
  <si>
    <t>C1079</t>
  </si>
  <si>
    <t>T100075</t>
  </si>
  <si>
    <t>C1373</t>
  </si>
  <si>
    <t>T100076</t>
  </si>
  <si>
    <t>C1234</t>
  </si>
  <si>
    <t>T100077</t>
  </si>
  <si>
    <t>T100078</t>
  </si>
  <si>
    <t>C1278</t>
  </si>
  <si>
    <t>T100079</t>
  </si>
  <si>
    <t>C1126</t>
  </si>
  <si>
    <t>T100080</t>
  </si>
  <si>
    <t>C1199</t>
  </si>
  <si>
    <t>T100081</t>
  </si>
  <si>
    <t>C1042</t>
  </si>
  <si>
    <t>T100082</t>
  </si>
  <si>
    <t>C1417</t>
  </si>
  <si>
    <t>T100083</t>
  </si>
  <si>
    <t>C1440</t>
  </si>
  <si>
    <t>T100084</t>
  </si>
  <si>
    <t>C1377</t>
  </si>
  <si>
    <t>T100085</t>
  </si>
  <si>
    <t>C1347</t>
  </si>
  <si>
    <t>T100086</t>
  </si>
  <si>
    <t>C1151</t>
  </si>
  <si>
    <t>T100087</t>
  </si>
  <si>
    <t>T100088</t>
  </si>
  <si>
    <t>C1308</t>
  </si>
  <si>
    <t>T100089</t>
  </si>
  <si>
    <t>C1095</t>
  </si>
  <si>
    <t>T100090</t>
  </si>
  <si>
    <t>T100091</t>
  </si>
  <si>
    <t>C1496</t>
  </si>
  <si>
    <t>T100092</t>
  </si>
  <si>
    <t>T100093</t>
  </si>
  <si>
    <t>T100094</t>
  </si>
  <si>
    <t>C1399</t>
  </si>
  <si>
    <t>T100095</t>
  </si>
  <si>
    <t>C1429</t>
  </si>
  <si>
    <t>T100096</t>
  </si>
  <si>
    <t>C1436</t>
  </si>
  <si>
    <t>T100097</t>
  </si>
  <si>
    <t>T100098</t>
  </si>
  <si>
    <t>C1289</t>
  </si>
  <si>
    <t>T100099</t>
  </si>
  <si>
    <t>T100100</t>
  </si>
  <si>
    <t>C1443</t>
  </si>
  <si>
    <t>T100101</t>
  </si>
  <si>
    <t>C1214</t>
  </si>
  <si>
    <t>T100102</t>
  </si>
  <si>
    <t>C1457</t>
  </si>
  <si>
    <t>T100103</t>
  </si>
  <si>
    <t>C1383</t>
  </si>
  <si>
    <t>T100104</t>
  </si>
  <si>
    <t>C1171</t>
  </si>
  <si>
    <t>T100105</t>
  </si>
  <si>
    <t>C1334</t>
  </si>
  <si>
    <t>T100106</t>
  </si>
  <si>
    <t>C1296</t>
  </si>
  <si>
    <t>T100107</t>
  </si>
  <si>
    <t>C1356</t>
  </si>
  <si>
    <t>T100108</t>
  </si>
  <si>
    <t>C1089</t>
  </si>
  <si>
    <t>T100109</t>
  </si>
  <si>
    <t>C1217</t>
  </si>
  <si>
    <t>T100110</t>
  </si>
  <si>
    <t>C1498</t>
  </si>
  <si>
    <t>T100111</t>
  </si>
  <si>
    <t>C1300</t>
  </si>
  <si>
    <t>T100112</t>
  </si>
  <si>
    <t>C1414</t>
  </si>
  <si>
    <t>T100113</t>
  </si>
  <si>
    <t>C1493</t>
  </si>
  <si>
    <t>T100114</t>
  </si>
  <si>
    <t>C1475</t>
  </si>
  <si>
    <t>T100115</t>
  </si>
  <si>
    <t>C1341</t>
  </si>
  <si>
    <t>T100116</t>
  </si>
  <si>
    <t>C1143</t>
  </si>
  <si>
    <t>T100117</t>
  </si>
  <si>
    <t>C1428</t>
  </si>
  <si>
    <t>T100118</t>
  </si>
  <si>
    <t>C1381</t>
  </si>
  <si>
    <t>T100119</t>
  </si>
  <si>
    <t>C1158</t>
  </si>
  <si>
    <t>T100120</t>
  </si>
  <si>
    <t>T100121</t>
  </si>
  <si>
    <t>C1336</t>
  </si>
  <si>
    <t>T100122</t>
  </si>
  <si>
    <t>C1207</t>
  </si>
  <si>
    <t>T100123</t>
  </si>
  <si>
    <t>C1303</t>
  </si>
  <si>
    <t>T100124</t>
  </si>
  <si>
    <t>C1147</t>
  </si>
  <si>
    <t>T100125</t>
  </si>
  <si>
    <t>C1348</t>
  </si>
  <si>
    <t>T100126</t>
  </si>
  <si>
    <t>T100127</t>
  </si>
  <si>
    <t>T100128</t>
  </si>
  <si>
    <t>C1046</t>
  </si>
  <si>
    <t>T100129</t>
  </si>
  <si>
    <t>C1243</t>
  </si>
  <si>
    <t>T100130</t>
  </si>
  <si>
    <t>C1490</t>
  </si>
  <si>
    <t>T100131</t>
  </si>
  <si>
    <t>C1038</t>
  </si>
  <si>
    <t>T100132</t>
  </si>
  <si>
    <t>T100133</t>
  </si>
  <si>
    <t>C1090</t>
  </si>
  <si>
    <t>T100134</t>
  </si>
  <si>
    <t>C1499</t>
  </si>
  <si>
    <t>T100135</t>
  </si>
  <si>
    <t>C1055</t>
  </si>
  <si>
    <t>T100136</t>
  </si>
  <si>
    <t>C1401</t>
  </si>
  <si>
    <t>T100137</t>
  </si>
  <si>
    <t>T100138</t>
  </si>
  <si>
    <t>C1274</t>
  </si>
  <si>
    <t>T100139</t>
  </si>
  <si>
    <t>C1257</t>
  </si>
  <si>
    <t>T100140</t>
  </si>
  <si>
    <t>C1020</t>
  </si>
  <si>
    <t>T100141</t>
  </si>
  <si>
    <t>C1454</t>
  </si>
  <si>
    <t>T100142</t>
  </si>
  <si>
    <t>C1071</t>
  </si>
  <si>
    <t>T100143</t>
  </si>
  <si>
    <t>C1279</t>
  </si>
  <si>
    <t>T100144</t>
  </si>
  <si>
    <t>C1346</t>
  </si>
  <si>
    <t>T100145</t>
  </si>
  <si>
    <t>C1172</t>
  </si>
  <si>
    <t>T100146</t>
  </si>
  <si>
    <t>T100147</t>
  </si>
  <si>
    <t>C1268</t>
  </si>
  <si>
    <t>T100148</t>
  </si>
  <si>
    <t>C1382</t>
  </si>
  <si>
    <t>T100149</t>
  </si>
  <si>
    <t>C1088</t>
  </si>
  <si>
    <t>T100150</t>
  </si>
  <si>
    <t>T100151</t>
  </si>
  <si>
    <t>C1120</t>
  </si>
  <si>
    <t>T100152</t>
  </si>
  <si>
    <t>C1182</t>
  </si>
  <si>
    <t>T100153</t>
  </si>
  <si>
    <t>T100154</t>
  </si>
  <si>
    <t>T100155</t>
  </si>
  <si>
    <t>C1394</t>
  </si>
  <si>
    <t>T100156</t>
  </si>
  <si>
    <t>T100157</t>
  </si>
  <si>
    <t>C1405</t>
  </si>
  <si>
    <t>T100158</t>
  </si>
  <si>
    <t>C1302</t>
  </si>
  <si>
    <t>T100159</t>
  </si>
  <si>
    <t>C1251</t>
  </si>
  <si>
    <t>T100160</t>
  </si>
  <si>
    <t>C1390</t>
  </si>
  <si>
    <t>T100161</t>
  </si>
  <si>
    <t>C1174</t>
  </si>
  <si>
    <t>T100162</t>
  </si>
  <si>
    <t>C1180</t>
  </si>
  <si>
    <t>T100163</t>
  </si>
  <si>
    <t>C1041</t>
  </si>
  <si>
    <t>T100164</t>
  </si>
  <si>
    <t>C1489</t>
  </si>
  <si>
    <t>T100165</t>
  </si>
  <si>
    <t>C1138</t>
  </si>
  <si>
    <t>T100166</t>
  </si>
  <si>
    <t>C1145</t>
  </si>
  <si>
    <t>T100167</t>
  </si>
  <si>
    <t>T100168</t>
  </si>
  <si>
    <t>C1201</t>
  </si>
  <si>
    <t>T100169</t>
  </si>
  <si>
    <t>C1284</t>
  </si>
  <si>
    <t>T100170</t>
  </si>
  <si>
    <t>C1254</t>
  </si>
  <si>
    <t>T100171</t>
  </si>
  <si>
    <t>T100172</t>
  </si>
  <si>
    <t>C1309</t>
  </si>
  <si>
    <t>T100173</t>
  </si>
  <si>
    <t>C1014</t>
  </si>
  <si>
    <t>T100174</t>
  </si>
  <si>
    <t>T100175</t>
  </si>
  <si>
    <t>T100176</t>
  </si>
  <si>
    <t>C1106</t>
  </si>
  <si>
    <t>T100177</t>
  </si>
  <si>
    <t>C1225</t>
  </si>
  <si>
    <t>T100178</t>
  </si>
  <si>
    <t>C1318</t>
  </si>
  <si>
    <t>T100179</t>
  </si>
  <si>
    <t>T100180</t>
  </si>
  <si>
    <t>T100181</t>
  </si>
  <si>
    <t>T100182</t>
  </si>
  <si>
    <t>T100183</t>
  </si>
  <si>
    <t>T100184</t>
  </si>
  <si>
    <t>C1327</t>
  </si>
  <si>
    <t>T100185</t>
  </si>
  <si>
    <t>T100186</t>
  </si>
  <si>
    <t>T100187</t>
  </si>
  <si>
    <t>C1248</t>
  </si>
  <si>
    <t>T100188</t>
  </si>
  <si>
    <t>T100189</t>
  </si>
  <si>
    <t>C1074</t>
  </si>
  <si>
    <t>T100190</t>
  </si>
  <si>
    <t>C1337</t>
  </si>
  <si>
    <t>T100191</t>
  </si>
  <si>
    <t>T100192</t>
  </si>
  <si>
    <t>C1110</t>
  </si>
  <si>
    <t>T100193</t>
  </si>
  <si>
    <t>C1352</t>
  </si>
  <si>
    <t>T100194</t>
  </si>
  <si>
    <t>C1323</t>
  </si>
  <si>
    <t>T100195</t>
  </si>
  <si>
    <t>C1127</t>
  </si>
  <si>
    <t>T100196</t>
  </si>
  <si>
    <t>C1210</t>
  </si>
  <si>
    <t>T100197</t>
  </si>
  <si>
    <t>C1085</t>
  </si>
  <si>
    <t>T100198</t>
  </si>
  <si>
    <t>T100199</t>
  </si>
  <si>
    <t>T100200</t>
  </si>
  <si>
    <t>C1452</t>
  </si>
  <si>
    <t>T100201</t>
  </si>
  <si>
    <t>C1494</t>
  </si>
  <si>
    <t>T100202</t>
  </si>
  <si>
    <t>T100203</t>
  </si>
  <si>
    <t>C1011</t>
  </si>
  <si>
    <t>T100204</t>
  </si>
  <si>
    <t>C1157</t>
  </si>
  <si>
    <t>T100205</t>
  </si>
  <si>
    <t>C1265</t>
  </si>
  <si>
    <t>T100206</t>
  </si>
  <si>
    <t>C1360</t>
  </si>
  <si>
    <t>T100207</t>
  </si>
  <si>
    <t>C1292</t>
  </si>
  <si>
    <t>T100208</t>
  </si>
  <si>
    <t>T100209</t>
  </si>
  <si>
    <t>T100210</t>
  </si>
  <si>
    <t>C1477</t>
  </si>
  <si>
    <t>T100211</t>
  </si>
  <si>
    <t>C1430</t>
  </si>
  <si>
    <t>T100212</t>
  </si>
  <si>
    <t>C1410</t>
  </si>
  <si>
    <t>T100213</t>
  </si>
  <si>
    <t>C1291</t>
  </si>
  <si>
    <t>T100214</t>
  </si>
  <si>
    <t>T100215</t>
  </si>
  <si>
    <t>C1485</t>
  </si>
  <si>
    <t>T100216</t>
  </si>
  <si>
    <t>T100217</t>
  </si>
  <si>
    <t>C1297</t>
  </si>
  <si>
    <t>T100218</t>
  </si>
  <si>
    <t>C1391</t>
  </si>
  <si>
    <t>T100219</t>
  </si>
  <si>
    <t>C1012</t>
  </si>
  <si>
    <t>T100220</t>
  </si>
  <si>
    <t>C1016</t>
  </si>
  <si>
    <t>T100221</t>
  </si>
  <si>
    <t>C1083</t>
  </si>
  <si>
    <t>T100222</t>
  </si>
  <si>
    <t>C1241</t>
  </si>
  <si>
    <t>T100223</t>
  </si>
  <si>
    <t>T100224</t>
  </si>
  <si>
    <t>C1250</t>
  </si>
  <si>
    <t>T100225</t>
  </si>
  <si>
    <t>C1007</t>
  </si>
  <si>
    <t>T100226</t>
  </si>
  <si>
    <t>C1277</t>
  </si>
  <si>
    <t>T100227</t>
  </si>
  <si>
    <t>C1084</t>
  </si>
  <si>
    <t>T100228</t>
  </si>
  <si>
    <t>T100229</t>
  </si>
  <si>
    <t>C1220</t>
  </si>
  <si>
    <t>T100230</t>
  </si>
  <si>
    <t>C1423</t>
  </si>
  <si>
    <t>T100231</t>
  </si>
  <si>
    <t>C1313</t>
  </si>
  <si>
    <t>T100232</t>
  </si>
  <si>
    <t>C1035</t>
  </si>
  <si>
    <t>T100233</t>
  </si>
  <si>
    <t>T100234</t>
  </si>
  <si>
    <t>C1385</t>
  </si>
  <si>
    <t>T100235</t>
  </si>
  <si>
    <t>C1283</t>
  </si>
  <si>
    <t>T100236</t>
  </si>
  <si>
    <t>T100237</t>
  </si>
  <si>
    <t>T100238</t>
  </si>
  <si>
    <t>C1194</t>
  </si>
  <si>
    <t>T100239</t>
  </si>
  <si>
    <t>C1221</t>
  </si>
  <si>
    <t>T100240</t>
  </si>
  <si>
    <t>C1482</t>
  </si>
  <si>
    <t>T100241</t>
  </si>
  <si>
    <t>C1354</t>
  </si>
  <si>
    <t>T100242</t>
  </si>
  <si>
    <t>T100243</t>
  </si>
  <si>
    <t>C1266</t>
  </si>
  <si>
    <t>T100244</t>
  </si>
  <si>
    <t>T100245</t>
  </si>
  <si>
    <t>T100246</t>
  </si>
  <si>
    <t>C1002</t>
  </si>
  <si>
    <t>T100247</t>
  </si>
  <si>
    <t>C1043</t>
  </si>
  <si>
    <t>T100248</t>
  </si>
  <si>
    <t>T100249</t>
  </si>
  <si>
    <t>C1263</t>
  </si>
  <si>
    <t>T100250</t>
  </si>
  <si>
    <t>C1395</t>
  </si>
  <si>
    <t>T100251</t>
  </si>
  <si>
    <t>T100252</t>
  </si>
  <si>
    <t>C1169</t>
  </si>
  <si>
    <t>T100253</t>
  </si>
  <si>
    <t>C1232</t>
  </si>
  <si>
    <t>T100254</t>
  </si>
  <si>
    <t>T100255</t>
  </si>
  <si>
    <t>T100256</t>
  </si>
  <si>
    <t>C1142</t>
  </si>
  <si>
    <t>T100257</t>
  </si>
  <si>
    <t>C1469</t>
  </si>
  <si>
    <t>T100258</t>
  </si>
  <si>
    <t>T100259</t>
  </si>
  <si>
    <t>C1353</t>
  </si>
  <si>
    <t>T100260</t>
  </si>
  <si>
    <t>C1129</t>
  </si>
  <si>
    <t>T100261</t>
  </si>
  <si>
    <t>T100262</t>
  </si>
  <si>
    <t>T100263</t>
  </si>
  <si>
    <t>C1077</t>
  </si>
  <si>
    <t>T100264</t>
  </si>
  <si>
    <t>C1480</t>
  </si>
  <si>
    <t>T100265</t>
  </si>
  <si>
    <t>C1355</t>
  </si>
  <si>
    <t>T100266</t>
  </si>
  <si>
    <t>C1218</t>
  </si>
  <si>
    <t>T100267</t>
  </si>
  <si>
    <t>C1150</t>
  </si>
  <si>
    <t>T100268</t>
  </si>
  <si>
    <t>T100269</t>
  </si>
  <si>
    <t>C1066</t>
  </si>
  <si>
    <t>T100270</t>
  </si>
  <si>
    <t>T100271</t>
  </si>
  <si>
    <t>T100272</t>
  </si>
  <si>
    <t>T100273</t>
  </si>
  <si>
    <t>T100274</t>
  </si>
  <si>
    <t>C1351</t>
  </si>
  <si>
    <t>T100275</t>
  </si>
  <si>
    <t>C1130</t>
  </si>
  <si>
    <t>T100276</t>
  </si>
  <si>
    <t>T100277</t>
  </si>
  <si>
    <t>C1338</t>
  </si>
  <si>
    <t>T100278</t>
  </si>
  <si>
    <t>C1408</t>
  </si>
  <si>
    <t>T100279</t>
  </si>
  <si>
    <t>T100280</t>
  </si>
  <si>
    <t>C1078</t>
  </si>
  <si>
    <t>T100281</t>
  </si>
  <si>
    <t>T100282</t>
  </si>
  <si>
    <t>C1189</t>
  </si>
  <si>
    <t>T100283</t>
  </si>
  <si>
    <t>T100284</t>
  </si>
  <si>
    <t>C1288</t>
  </si>
  <si>
    <t>T100285</t>
  </si>
  <si>
    <t>C1039</t>
  </si>
  <si>
    <t>T100286</t>
  </si>
  <si>
    <t>C1206</t>
  </si>
  <si>
    <t>T100287</t>
  </si>
  <si>
    <t>C1096</t>
  </si>
  <si>
    <t>T100288</t>
  </si>
  <si>
    <t>C1224</t>
  </si>
  <si>
    <t>T100289</t>
  </si>
  <si>
    <t>T100290</t>
  </si>
  <si>
    <t>T100291</t>
  </si>
  <si>
    <t>T100292</t>
  </si>
  <si>
    <t>T100293</t>
  </si>
  <si>
    <t>C1134</t>
  </si>
  <si>
    <t>T100294</t>
  </si>
  <si>
    <t>T100295</t>
  </si>
  <si>
    <t>C1367</t>
  </si>
  <si>
    <t>T100296</t>
  </si>
  <si>
    <t>C1455</t>
  </si>
  <si>
    <t>T100297</t>
  </si>
  <si>
    <t>C1051</t>
  </si>
  <si>
    <t>T100298</t>
  </si>
  <si>
    <t>T100299</t>
  </si>
  <si>
    <t>C1326</t>
  </si>
  <si>
    <t>T100300</t>
  </si>
  <si>
    <t>C1293</t>
  </si>
  <si>
    <t>T100301</t>
  </si>
  <si>
    <t>T100302</t>
  </si>
  <si>
    <t>C1495</t>
  </si>
  <si>
    <t>T100303</t>
  </si>
  <si>
    <t>C1472</t>
  </si>
  <si>
    <t>T100304</t>
  </si>
  <si>
    <t>C1136</t>
  </si>
  <si>
    <t>T100305</t>
  </si>
  <si>
    <t>C1204</t>
  </si>
  <si>
    <t>T100306</t>
  </si>
  <si>
    <t>T100307</t>
  </si>
  <si>
    <t>T100308</t>
  </si>
  <si>
    <t>C1228</t>
  </si>
  <si>
    <t>T100309</t>
  </si>
  <si>
    <t>C1133</t>
  </si>
  <si>
    <t>T100310</t>
  </si>
  <si>
    <t>T100311</t>
  </si>
  <si>
    <t>T100312</t>
  </si>
  <si>
    <t>C1264</t>
  </si>
  <si>
    <t>T100313</t>
  </si>
  <si>
    <t>C1073</t>
  </si>
  <si>
    <t>T100314</t>
  </si>
  <si>
    <t>C1437</t>
  </si>
  <si>
    <t>T100315</t>
  </si>
  <si>
    <t>T100316</t>
  </si>
  <si>
    <t>C1015</t>
  </si>
  <si>
    <t>T100317</t>
  </si>
  <si>
    <t>C1398</t>
  </si>
  <si>
    <t>T100318</t>
  </si>
  <si>
    <t>T100319</t>
  </si>
  <si>
    <t>T100320</t>
  </si>
  <si>
    <t>C1298</t>
  </si>
  <si>
    <t>T100321</t>
  </si>
  <si>
    <t>C1102</t>
  </si>
  <si>
    <t>T100322</t>
  </si>
  <si>
    <t>T100323</t>
  </si>
  <si>
    <t>T100324</t>
  </si>
  <si>
    <t>T100325</t>
  </si>
  <si>
    <t>C1205</t>
  </si>
  <si>
    <t>T100326</t>
  </si>
  <si>
    <t>C1306</t>
  </si>
  <si>
    <t>T100327</t>
  </si>
  <si>
    <t>T100328</t>
  </si>
  <si>
    <t>T100329</t>
  </si>
  <si>
    <t>T100330</t>
  </si>
  <si>
    <t>T100331</t>
  </si>
  <si>
    <t>T100332</t>
  </si>
  <si>
    <t>T100333</t>
  </si>
  <si>
    <t>C1321</t>
  </si>
  <si>
    <t>T100334</t>
  </si>
  <si>
    <t>C1331</t>
  </si>
  <si>
    <t>T100335</t>
  </si>
  <si>
    <t>T100336</t>
  </si>
  <si>
    <t>C1175</t>
  </si>
  <si>
    <t>T100337</t>
  </si>
  <si>
    <t>C1044</t>
  </si>
  <si>
    <t>T100338</t>
  </si>
  <si>
    <t>C1037</t>
  </si>
  <si>
    <t>T100339</t>
  </si>
  <si>
    <t>C1050</t>
  </si>
  <si>
    <t>T100340</t>
  </si>
  <si>
    <t>C1380</t>
  </si>
  <si>
    <t>T100341</t>
  </si>
  <si>
    <t>T100342</t>
  </si>
  <si>
    <t>T100343</t>
  </si>
  <si>
    <t>C1149</t>
  </si>
  <si>
    <t>T100344</t>
  </si>
  <si>
    <t>T100345</t>
  </si>
  <si>
    <t>C1202</t>
  </si>
  <si>
    <t>T100346</t>
  </si>
  <si>
    <t>C1497</t>
  </si>
  <si>
    <t>T100347</t>
  </si>
  <si>
    <t>T100348</t>
  </si>
  <si>
    <t>T100349</t>
  </si>
  <si>
    <t>C1125</t>
  </si>
  <si>
    <t>T100350</t>
  </si>
  <si>
    <t>T100351</t>
  </si>
  <si>
    <t>C1328</t>
  </si>
  <si>
    <t>T100352</t>
  </si>
  <si>
    <t>C1197</t>
  </si>
  <si>
    <t>T100353</t>
  </si>
  <si>
    <t>C1056</t>
  </si>
  <si>
    <t>T100354</t>
  </si>
  <si>
    <t>C1451</t>
  </si>
  <si>
    <t>T100355</t>
  </si>
  <si>
    <t>T100356</t>
  </si>
  <si>
    <t>T100357</t>
  </si>
  <si>
    <t>C1471</t>
  </si>
  <si>
    <t>T100358</t>
  </si>
  <si>
    <t>T100359</t>
  </si>
  <si>
    <t>T100360</t>
  </si>
  <si>
    <t>C1487</t>
  </si>
  <si>
    <t>T100361</t>
  </si>
  <si>
    <t>C1153</t>
  </si>
  <si>
    <t>T100362</t>
  </si>
  <si>
    <t>T100363</t>
  </si>
  <si>
    <t>T100364</t>
  </si>
  <si>
    <t>T100365</t>
  </si>
  <si>
    <t>C1058</t>
  </si>
  <si>
    <t>T100366</t>
  </si>
  <si>
    <t>T100367</t>
  </si>
  <si>
    <t>C1195</t>
  </si>
  <si>
    <t>T100368</t>
  </si>
  <si>
    <t>C1240</t>
  </si>
  <si>
    <t>T100369</t>
  </si>
  <si>
    <t>T100370</t>
  </si>
  <si>
    <t>C1473</t>
  </si>
  <si>
    <t>T100371</t>
  </si>
  <si>
    <t>C1047</t>
  </si>
  <si>
    <t>T100372</t>
  </si>
  <si>
    <t>C1061</t>
  </si>
  <si>
    <t>T100373</t>
  </si>
  <si>
    <t>C1087</t>
  </si>
  <si>
    <t>T100374</t>
  </si>
  <si>
    <t>T100375</t>
  </si>
  <si>
    <t>C1345</t>
  </si>
  <si>
    <t>T100376</t>
  </si>
  <si>
    <t>T100377</t>
  </si>
  <si>
    <t>C1099</t>
  </si>
  <si>
    <t>T100378</t>
  </si>
  <si>
    <t>C1123</t>
  </si>
  <si>
    <t>T100379</t>
  </si>
  <si>
    <t>C1230</t>
  </si>
  <si>
    <t>T100380</t>
  </si>
  <si>
    <t>T100381</t>
  </si>
  <si>
    <t>T100382</t>
  </si>
  <si>
    <t>T100383</t>
  </si>
  <si>
    <t>T100384</t>
  </si>
  <si>
    <t>T100385</t>
  </si>
  <si>
    <t>C1366</t>
  </si>
  <si>
    <t>T100386</t>
  </si>
  <si>
    <t>C1255</t>
  </si>
  <si>
    <t>T100387</t>
  </si>
  <si>
    <t>T100388</t>
  </si>
  <si>
    <t>T100389</t>
  </si>
  <si>
    <t>C1209</t>
  </si>
  <si>
    <t>T100390</t>
  </si>
  <si>
    <t>C1478</t>
  </si>
  <si>
    <t>T100391</t>
  </si>
  <si>
    <t>T100392</t>
  </si>
  <si>
    <t>C1086</t>
  </si>
  <si>
    <t>T100393</t>
  </si>
  <si>
    <t>T100394</t>
  </si>
  <si>
    <t>C1115</t>
  </si>
  <si>
    <t>T100395</t>
  </si>
  <si>
    <t>T100396</t>
  </si>
  <si>
    <t>T100397</t>
  </si>
  <si>
    <t>C1295</t>
  </si>
  <si>
    <t>T100398</t>
  </si>
  <si>
    <t>C1219</t>
  </si>
  <si>
    <t>T100399</t>
  </si>
  <si>
    <t>T100400</t>
  </si>
  <si>
    <t>C1167</t>
  </si>
  <si>
    <t>T100401</t>
  </si>
  <si>
    <t>T100402</t>
  </si>
  <si>
    <t>T100403</t>
  </si>
  <si>
    <t>C1242</t>
  </si>
  <si>
    <t>T100404</t>
  </si>
  <si>
    <t>T100405</t>
  </si>
  <si>
    <t>T100406</t>
  </si>
  <si>
    <t>T100407</t>
  </si>
  <si>
    <t>C1271</t>
  </si>
  <si>
    <t>T100408</t>
  </si>
  <si>
    <t>C1412</t>
  </si>
  <si>
    <t>T100409</t>
  </si>
  <si>
    <t>T100410</t>
  </si>
  <si>
    <t>T100411</t>
  </si>
  <si>
    <t>T100412</t>
  </si>
  <si>
    <t>C1467</t>
  </si>
  <si>
    <t>T100413</t>
  </si>
  <si>
    <t>C1072</t>
  </si>
  <si>
    <t>T100414</t>
  </si>
  <si>
    <t>T100415</t>
  </si>
  <si>
    <t>T100416</t>
  </si>
  <si>
    <t>C1378</t>
  </si>
  <si>
    <t>T100417</t>
  </si>
  <si>
    <t>T100418</t>
  </si>
  <si>
    <t>T100419</t>
  </si>
  <si>
    <t>C1238</t>
  </si>
  <si>
    <t>T100420</t>
  </si>
  <si>
    <t>T100421</t>
  </si>
  <si>
    <t>C1333</t>
  </si>
  <si>
    <t>T100422</t>
  </si>
  <si>
    <t>C1137</t>
  </si>
  <si>
    <t>T100423</t>
  </si>
  <si>
    <t>C1397</t>
  </si>
  <si>
    <t>T100424</t>
  </si>
  <si>
    <t>C1310</t>
  </si>
  <si>
    <t>T100425</t>
  </si>
  <si>
    <t>T100426</t>
  </si>
  <si>
    <t>T100427</t>
  </si>
  <si>
    <t>C1128</t>
  </si>
  <si>
    <t>T100428</t>
  </si>
  <si>
    <t>C1358</t>
  </si>
  <si>
    <t>T100429</t>
  </si>
  <si>
    <t>T100430</t>
  </si>
  <si>
    <t>T100431</t>
  </si>
  <si>
    <t>T100432</t>
  </si>
  <si>
    <t>T100433</t>
  </si>
  <si>
    <t>C1060</t>
  </si>
  <si>
    <t>T100434</t>
  </si>
  <si>
    <t>T100435</t>
  </si>
  <si>
    <t>C1170</t>
  </si>
  <si>
    <t>T100436</t>
  </si>
  <si>
    <t>C1369</t>
  </si>
  <si>
    <t>T100437</t>
  </si>
  <si>
    <t>C1068</t>
  </si>
  <si>
    <t>T100438</t>
  </si>
  <si>
    <t>T100439</t>
  </si>
  <si>
    <t>T100440</t>
  </si>
  <si>
    <t>C1076</t>
  </si>
  <si>
    <t>T100441</t>
  </si>
  <si>
    <t>T100442</t>
  </si>
  <si>
    <t>T100443</t>
  </si>
  <si>
    <t>C1098</t>
  </si>
  <si>
    <t>T100444</t>
  </si>
  <si>
    <t>T100445</t>
  </si>
  <si>
    <t>T100446</t>
  </si>
  <si>
    <t>T100447</t>
  </si>
  <si>
    <t>C1152</t>
  </si>
  <si>
    <t>T100448</t>
  </si>
  <si>
    <t>T100449</t>
  </si>
  <si>
    <t>T100450</t>
  </si>
  <si>
    <t>T100451</t>
  </si>
  <si>
    <t>T100452</t>
  </si>
  <si>
    <t>T100453</t>
  </si>
  <si>
    <t>C1166</t>
  </si>
  <si>
    <t>T100454</t>
  </si>
  <si>
    <t>T100455</t>
  </si>
  <si>
    <t>T100456</t>
  </si>
  <si>
    <t>T100457</t>
  </si>
  <si>
    <t>T100458</t>
  </si>
  <si>
    <t>T100459</t>
  </si>
  <si>
    <t>T100460</t>
  </si>
  <si>
    <t>T100461</t>
  </si>
  <si>
    <t>T100462</t>
  </si>
  <si>
    <t>T100463</t>
  </si>
  <si>
    <t>C1010</t>
  </si>
  <si>
    <t>T100464</t>
  </si>
  <si>
    <t>C1001</t>
  </si>
  <si>
    <t>T100465</t>
  </si>
  <si>
    <t>C1233</t>
  </si>
  <si>
    <t>T100466</t>
  </si>
  <si>
    <t>T100467</t>
  </si>
  <si>
    <t>C1488</t>
  </si>
  <si>
    <t>T100468</t>
  </si>
  <si>
    <t>C1267</t>
  </si>
  <si>
    <t>T100469</t>
  </si>
  <si>
    <t>C1062</t>
  </si>
  <si>
    <t>T100470</t>
  </si>
  <si>
    <t>T100471</t>
  </si>
  <si>
    <t>C1342</t>
  </si>
  <si>
    <t>T100472</t>
  </si>
  <si>
    <t>T100473</t>
  </si>
  <si>
    <t>T100474</t>
  </si>
  <si>
    <t>C1229</t>
  </si>
  <si>
    <t>T100475</t>
  </si>
  <si>
    <t>T100476</t>
  </si>
  <si>
    <t>T100477</t>
  </si>
  <si>
    <t>T100478</t>
  </si>
  <si>
    <t>C1370</t>
  </si>
  <si>
    <t>T100479</t>
  </si>
  <si>
    <t>T100480</t>
  </si>
  <si>
    <t>T100481</t>
  </si>
  <si>
    <t>T100482</t>
  </si>
  <si>
    <t>T100483</t>
  </si>
  <si>
    <t>T100484</t>
  </si>
  <si>
    <t>C1003</t>
  </si>
  <si>
    <t>T100485</t>
  </si>
  <si>
    <t>C1191</t>
  </si>
  <si>
    <t>T100486</t>
  </si>
  <si>
    <t>T100487</t>
  </si>
  <si>
    <t>T100488</t>
  </si>
  <si>
    <t>T100489</t>
  </si>
  <si>
    <t>C1449</t>
  </si>
  <si>
    <t>T100490</t>
  </si>
  <si>
    <t>C1116</t>
  </si>
  <si>
    <t>T100491</t>
  </si>
  <si>
    <t>T100492</t>
  </si>
  <si>
    <t>T100493</t>
  </si>
  <si>
    <t>C1028</t>
  </si>
  <si>
    <t>T100494</t>
  </si>
  <si>
    <t>T100495</t>
  </si>
  <si>
    <t>T100496</t>
  </si>
  <si>
    <t>T100497</t>
  </si>
  <si>
    <t>C1159</t>
  </si>
  <si>
    <t>T100498</t>
  </si>
  <si>
    <t>C1231</t>
  </si>
  <si>
    <t>T100499</t>
  </si>
  <si>
    <t>C1463</t>
  </si>
  <si>
    <t>T100500</t>
  </si>
  <si>
    <t>T100501</t>
  </si>
  <si>
    <t>C1112</t>
  </si>
  <si>
    <t>T100502</t>
  </si>
  <si>
    <t>T100503</t>
  </si>
  <si>
    <t>C1273</t>
  </si>
  <si>
    <t>T100504</t>
  </si>
  <si>
    <t>T100505</t>
  </si>
  <si>
    <t>C1222</t>
  </si>
  <si>
    <t>T100506</t>
  </si>
  <si>
    <t>C1140</t>
  </si>
  <si>
    <t>T100507</t>
  </si>
  <si>
    <t>T100508</t>
  </si>
  <si>
    <t>T100509</t>
  </si>
  <si>
    <t>C1281</t>
  </si>
  <si>
    <t>T100510</t>
  </si>
  <si>
    <t>T100511</t>
  </si>
  <si>
    <t>T100512</t>
  </si>
  <si>
    <t>T100513</t>
  </si>
  <si>
    <t>T100514</t>
  </si>
  <si>
    <t>T100515</t>
  </si>
  <si>
    <t>C1419</t>
  </si>
  <si>
    <t>T100516</t>
  </si>
  <si>
    <t>T100517</t>
  </si>
  <si>
    <t>T100518</t>
  </si>
  <si>
    <t>C1033</t>
  </si>
  <si>
    <t>T100519</t>
  </si>
  <si>
    <t>C1460</t>
  </si>
  <si>
    <t>T100520</t>
  </si>
  <si>
    <t>T100521</t>
  </si>
  <si>
    <t>T100522</t>
  </si>
  <si>
    <t>T100523</t>
  </si>
  <si>
    <t>T100524</t>
  </si>
  <si>
    <t>C1276</t>
  </si>
  <si>
    <t>T100525</t>
  </si>
  <si>
    <t>T100526</t>
  </si>
  <si>
    <t>C1239</t>
  </si>
  <si>
    <t>T100527</t>
  </si>
  <si>
    <t>C1459</t>
  </si>
  <si>
    <t>T100528</t>
  </si>
  <si>
    <t>C1105</t>
  </si>
  <si>
    <t>T100529</t>
  </si>
  <si>
    <t>T100530</t>
  </si>
  <si>
    <t>C1335</t>
  </si>
  <si>
    <t>T100531</t>
  </si>
  <si>
    <t>T100532</t>
  </si>
  <si>
    <t>C1005</t>
  </si>
  <si>
    <t>T100533</t>
  </si>
  <si>
    <t>T100534</t>
  </si>
  <si>
    <t>T100535</t>
  </si>
  <si>
    <t>C1226</t>
  </si>
  <si>
    <t>T100536</t>
  </si>
  <si>
    <t>T100537</t>
  </si>
  <si>
    <t>C1301</t>
  </si>
  <si>
    <t>T100538</t>
  </si>
  <si>
    <t>C1094</t>
  </si>
  <si>
    <t>T100539</t>
  </si>
  <si>
    <t>T100540</t>
  </si>
  <si>
    <t>T100541</t>
  </si>
  <si>
    <t>C1374</t>
  </si>
  <si>
    <t>T100542</t>
  </si>
  <si>
    <t>T100543</t>
  </si>
  <si>
    <t>C1262</t>
  </si>
  <si>
    <t>T100544</t>
  </si>
  <si>
    <t>C1049</t>
  </si>
  <si>
    <t>T100545</t>
  </si>
  <si>
    <t>T100546</t>
  </si>
  <si>
    <t>T100547</t>
  </si>
  <si>
    <t>C1294</t>
  </si>
  <si>
    <t>T100548</t>
  </si>
  <si>
    <t>T100549</t>
  </si>
  <si>
    <t>T100550</t>
  </si>
  <si>
    <t>C1101</t>
  </si>
  <si>
    <t>T100551</t>
  </si>
  <si>
    <t>T100552</t>
  </si>
  <si>
    <t>C1269</t>
  </si>
  <si>
    <t>T100553</t>
  </si>
  <si>
    <t>T100554</t>
  </si>
  <si>
    <t>T100555</t>
  </si>
  <si>
    <t>T100556</t>
  </si>
  <si>
    <t>C1075</t>
  </si>
  <si>
    <t>T100557</t>
  </si>
  <si>
    <t>T100558</t>
  </si>
  <si>
    <t>C1406</t>
  </si>
  <si>
    <t>T100559</t>
  </si>
  <si>
    <t>T100560</t>
  </si>
  <si>
    <t>C1223</t>
  </si>
  <si>
    <t>T100561</t>
  </si>
  <si>
    <t>T100562</t>
  </si>
  <si>
    <t>T100563</t>
  </si>
  <si>
    <t>T100564</t>
  </si>
  <si>
    <t>T100565</t>
  </si>
  <si>
    <t>T100566</t>
  </si>
  <si>
    <t>C1359</t>
  </si>
  <si>
    <t>T100567</t>
  </si>
  <si>
    <t>C1065</t>
  </si>
  <si>
    <t>T100568</t>
  </si>
  <si>
    <t>T100569</t>
  </si>
  <si>
    <t>T100570</t>
  </si>
  <si>
    <t>C1307</t>
  </si>
  <si>
    <t>T100571</t>
  </si>
  <si>
    <t>T100572</t>
  </si>
  <si>
    <t>T100573</t>
  </si>
  <si>
    <t>T100574</t>
  </si>
  <si>
    <t>T100575</t>
  </si>
  <si>
    <t>T100576</t>
  </si>
  <si>
    <t>T100577</t>
  </si>
  <si>
    <t>T100578</t>
  </si>
  <si>
    <t>T100579</t>
  </si>
  <si>
    <t>T100580</t>
  </si>
  <si>
    <t>T100581</t>
  </si>
  <si>
    <t>T100582</t>
  </si>
  <si>
    <t>T100583</t>
  </si>
  <si>
    <t>C1434</t>
  </si>
  <si>
    <t>T100584</t>
  </si>
  <si>
    <t>T100585</t>
  </si>
  <si>
    <t>C1432</t>
  </si>
  <si>
    <t>T100586</t>
  </si>
  <si>
    <t>T100587</t>
  </si>
  <si>
    <t>C1113</t>
  </si>
  <si>
    <t>T100588</t>
  </si>
  <si>
    <t>T100589</t>
  </si>
  <si>
    <t>T100590</t>
  </si>
  <si>
    <t>T100591</t>
  </si>
  <si>
    <t>T100592</t>
  </si>
  <si>
    <t>T100593</t>
  </si>
  <si>
    <t>T100594</t>
  </si>
  <si>
    <t>T100595</t>
  </si>
  <si>
    <t>C1064</t>
  </si>
  <si>
    <t>T100596</t>
  </si>
  <si>
    <t>T100597</t>
  </si>
  <si>
    <t>C1161</t>
  </si>
  <si>
    <t>T100598</t>
  </si>
  <si>
    <t>T100599</t>
  </si>
  <si>
    <t>T100600</t>
  </si>
  <si>
    <t>T100601</t>
  </si>
  <si>
    <t>C1141</t>
  </si>
  <si>
    <t>T100602</t>
  </si>
  <si>
    <t>T100603</t>
  </si>
  <si>
    <t>T100604</t>
  </si>
  <si>
    <t>T100605</t>
  </si>
  <si>
    <t>C1045</t>
  </si>
  <si>
    <t>T100606</t>
  </si>
  <si>
    <t>C1315</t>
  </si>
  <si>
    <t>T100607</t>
  </si>
  <si>
    <t>C1057</t>
  </si>
  <si>
    <t>T100608</t>
  </si>
  <si>
    <t>T100609</t>
  </si>
  <si>
    <t>T100610</t>
  </si>
  <si>
    <t>C1389</t>
  </si>
  <si>
    <t>T100611</t>
  </si>
  <si>
    <t>C1200</t>
  </si>
  <si>
    <t>T100612</t>
  </si>
  <si>
    <t>C1456</t>
  </si>
  <si>
    <t>T100613</t>
  </si>
  <si>
    <t>T100614</t>
  </si>
  <si>
    <t>T100615</t>
  </si>
  <si>
    <t>T100616</t>
  </si>
  <si>
    <t>T100617</t>
  </si>
  <si>
    <t>C1006</t>
  </si>
  <si>
    <t>T100618</t>
  </si>
  <si>
    <t>T100619</t>
  </si>
  <si>
    <t>T100620</t>
  </si>
  <si>
    <t>T100621</t>
  </si>
  <si>
    <t>T100622</t>
  </si>
  <si>
    <t>T100623</t>
  </si>
  <si>
    <t>C1173</t>
  </si>
  <si>
    <t>T100624</t>
  </si>
  <si>
    <t>T100625</t>
  </si>
  <si>
    <t>C1235</t>
  </si>
  <si>
    <t>T100626</t>
  </si>
  <si>
    <t>T100627</t>
  </si>
  <si>
    <t>C1030</t>
  </si>
  <si>
    <t>T100628</t>
  </si>
  <si>
    <t>T100629</t>
  </si>
  <si>
    <t>T100630</t>
  </si>
  <si>
    <t>C1148</t>
  </si>
  <si>
    <t>T100631</t>
  </si>
  <si>
    <t>C1464</t>
  </si>
  <si>
    <t>T100632</t>
  </si>
  <si>
    <t>C1330</t>
  </si>
  <si>
    <t>T100633</t>
  </si>
  <si>
    <t>T100634</t>
  </si>
  <si>
    <t>T100635</t>
  </si>
  <si>
    <t>T100636</t>
  </si>
  <si>
    <t>T100637</t>
  </si>
  <si>
    <t>T100638</t>
  </si>
  <si>
    <t>T100639</t>
  </si>
  <si>
    <t>T100640</t>
  </si>
  <si>
    <t>C1004</t>
  </si>
  <si>
    <t>T100641</t>
  </si>
  <si>
    <t>C1286</t>
  </si>
  <si>
    <t>T100642</t>
  </si>
  <si>
    <t>T100643</t>
  </si>
  <si>
    <t>T100644</t>
  </si>
  <si>
    <t>T100645</t>
  </si>
  <si>
    <t>T100646</t>
  </si>
  <si>
    <t>C1259</t>
  </si>
  <si>
    <t>T100647</t>
  </si>
  <si>
    <t>T100648</t>
  </si>
  <si>
    <t>T100649</t>
  </si>
  <si>
    <t>T100650</t>
  </si>
  <si>
    <t>C1371</t>
  </si>
  <si>
    <t>T100651</t>
  </si>
  <si>
    <t>T100652</t>
  </si>
  <si>
    <t>C1029</t>
  </si>
  <si>
    <t>T100653</t>
  </si>
  <si>
    <t>T100654</t>
  </si>
  <si>
    <t>C1107</t>
  </si>
  <si>
    <t>T100655</t>
  </si>
  <si>
    <t>T100656</t>
  </si>
  <si>
    <t>T100657</t>
  </si>
  <si>
    <t>T100658</t>
  </si>
  <si>
    <t>T100659</t>
  </si>
  <si>
    <t>T100660</t>
  </si>
  <si>
    <t>C1025</t>
  </si>
  <si>
    <t>T100661</t>
  </si>
  <si>
    <t>C1285</t>
  </si>
  <si>
    <t>T100662</t>
  </si>
  <si>
    <t>C1357</t>
  </si>
  <si>
    <t>T100663</t>
  </si>
  <si>
    <t>C1111</t>
  </si>
  <si>
    <t>T100664</t>
  </si>
  <si>
    <t>T100665</t>
  </si>
  <si>
    <t>T100666</t>
  </si>
  <si>
    <t>C1446</t>
  </si>
  <si>
    <t>T100667</t>
  </si>
  <si>
    <t>T100668</t>
  </si>
  <si>
    <t>T100669</t>
  </si>
  <si>
    <t>T100670</t>
  </si>
  <si>
    <t>C1272</t>
  </si>
  <si>
    <t>T100671</t>
  </si>
  <si>
    <t>C1484</t>
  </si>
  <si>
    <t>T100672</t>
  </si>
  <si>
    <t>T100673</t>
  </si>
  <si>
    <t>T100674</t>
  </si>
  <si>
    <t>T100675</t>
  </si>
  <si>
    <t>T100676</t>
  </si>
  <si>
    <t>T100677</t>
  </si>
  <si>
    <t>T100678</t>
  </si>
  <si>
    <t>T100679</t>
  </si>
  <si>
    <t>C1435</t>
  </si>
  <si>
    <t>T100680</t>
  </si>
  <si>
    <t>C1244</t>
  </si>
  <si>
    <t>T100681</t>
  </si>
  <si>
    <t>T100682</t>
  </si>
  <si>
    <t>T100683</t>
  </si>
  <si>
    <t>T100684</t>
  </si>
  <si>
    <t>T100685</t>
  </si>
  <si>
    <t>C1108</t>
  </si>
  <si>
    <t>T100686</t>
  </si>
  <si>
    <t>T100687</t>
  </si>
  <si>
    <t>T100688</t>
  </si>
  <si>
    <t>T100689</t>
  </si>
  <si>
    <t>C1252</t>
  </si>
  <si>
    <t>T100690</t>
  </si>
  <si>
    <t>T100691</t>
  </si>
  <si>
    <t>T100692</t>
  </si>
  <si>
    <t>T100693</t>
  </si>
  <si>
    <t>T100694</t>
  </si>
  <si>
    <t>T100695</t>
  </si>
  <si>
    <t>T100696</t>
  </si>
  <si>
    <t>C1444</t>
  </si>
  <si>
    <t>T100697</t>
  </si>
  <si>
    <t>T100698</t>
  </si>
  <si>
    <t>T100699</t>
  </si>
  <si>
    <t>T100700</t>
  </si>
  <si>
    <t>C1445</t>
  </si>
  <si>
    <t>T100701</t>
  </si>
  <si>
    <t>T100702</t>
  </si>
  <si>
    <t>T100703</t>
  </si>
  <si>
    <t>T100704</t>
  </si>
  <si>
    <t>T100705</t>
  </si>
  <si>
    <t>T100706</t>
  </si>
  <si>
    <t>T100707</t>
  </si>
  <si>
    <t>T100708</t>
  </si>
  <si>
    <t>T100709</t>
  </si>
  <si>
    <t>T100710</t>
  </si>
  <si>
    <t>T100711</t>
  </si>
  <si>
    <t>T100712</t>
  </si>
  <si>
    <t>T100713</t>
  </si>
  <si>
    <t>T100714</t>
  </si>
  <si>
    <t>T100715</t>
  </si>
  <si>
    <t>T100716</t>
  </si>
  <si>
    <t>T100717</t>
  </si>
  <si>
    <t>T100718</t>
  </si>
  <si>
    <t>T100719</t>
  </si>
  <si>
    <t>T100720</t>
  </si>
  <si>
    <t>T100721</t>
  </si>
  <si>
    <t>T100722</t>
  </si>
  <si>
    <t>T100723</t>
  </si>
  <si>
    <t>T100724</t>
  </si>
  <si>
    <t>C1036</t>
  </si>
  <si>
    <t>T100725</t>
  </si>
  <si>
    <t>T100726</t>
  </si>
  <si>
    <t>T100727</t>
  </si>
  <si>
    <t>T100728</t>
  </si>
  <si>
    <t>T100729</t>
  </si>
  <si>
    <t>T100730</t>
  </si>
  <si>
    <t>C1031</t>
  </si>
  <si>
    <t>T100731</t>
  </si>
  <si>
    <t>T100732</t>
  </si>
  <si>
    <t>T100733</t>
  </si>
  <si>
    <t>T100734</t>
  </si>
  <si>
    <t>T100735</t>
  </si>
  <si>
    <t>T100736</t>
  </si>
  <si>
    <t>T100737</t>
  </si>
  <si>
    <t>T100738</t>
  </si>
  <si>
    <t>T100739</t>
  </si>
  <si>
    <t>T100740</t>
  </si>
  <si>
    <t>C1069</t>
  </si>
  <si>
    <t>T100741</t>
  </si>
  <si>
    <t>T100742</t>
  </si>
  <si>
    <t>T100743</t>
  </si>
  <si>
    <t>C1325</t>
  </si>
  <si>
    <t>T100744</t>
  </si>
  <si>
    <t>T100745</t>
  </si>
  <si>
    <t>C1135</t>
  </si>
  <si>
    <t>T100746</t>
  </si>
  <si>
    <t>T100747</t>
  </si>
  <si>
    <t>T100748</t>
  </si>
  <si>
    <t>T100749</t>
  </si>
  <si>
    <t>T100750</t>
  </si>
  <si>
    <t>C1425</t>
  </si>
  <si>
    <t>T100751</t>
  </si>
  <si>
    <t>C1438</t>
  </si>
  <si>
    <t>T100752</t>
  </si>
  <si>
    <t>T100753</t>
  </si>
  <si>
    <t>T100754</t>
  </si>
  <si>
    <t>T100755</t>
  </si>
  <si>
    <t>T100756</t>
  </si>
  <si>
    <t>C1420</t>
  </si>
  <si>
    <t>T100757</t>
  </si>
  <si>
    <t>C1322</t>
  </si>
  <si>
    <t>T100758</t>
  </si>
  <si>
    <t>T100759</t>
  </si>
  <si>
    <t>C1104</t>
  </si>
  <si>
    <t>T100760</t>
  </si>
  <si>
    <t>T100761</t>
  </si>
  <si>
    <t>T100762</t>
  </si>
  <si>
    <t>T100763</t>
  </si>
  <si>
    <t>T100764</t>
  </si>
  <si>
    <t>T100765</t>
  </si>
  <si>
    <t>T100766</t>
  </si>
  <si>
    <t>T100767</t>
  </si>
  <si>
    <t>T100768</t>
  </si>
  <si>
    <t>T100769</t>
  </si>
  <si>
    <t>T100770</t>
  </si>
  <si>
    <t>T100771</t>
  </si>
  <si>
    <t>C1187</t>
  </si>
  <si>
    <t>T100772</t>
  </si>
  <si>
    <t>T100773</t>
  </si>
  <si>
    <t>C1468</t>
  </si>
  <si>
    <t>T100774</t>
  </si>
  <si>
    <t>T100775</t>
  </si>
  <si>
    <t>T100776</t>
  </si>
  <si>
    <t>T100777</t>
  </si>
  <si>
    <t>T100778</t>
  </si>
  <si>
    <t>C1312</t>
  </si>
  <si>
    <t>T100779</t>
  </si>
  <si>
    <t>T100780</t>
  </si>
  <si>
    <t>C1431</t>
  </si>
  <si>
    <t>T100781</t>
  </si>
  <si>
    <t>T100782</t>
  </si>
  <si>
    <t>T100783</t>
  </si>
  <si>
    <t>T100784</t>
  </si>
  <si>
    <t>T100785</t>
  </si>
  <si>
    <t>T100786</t>
  </si>
  <si>
    <t>C1165</t>
  </si>
  <si>
    <t>T100787</t>
  </si>
  <si>
    <t>T100788</t>
  </si>
  <si>
    <t>T100789</t>
  </si>
  <si>
    <t>T100790</t>
  </si>
  <si>
    <t>T100791</t>
  </si>
  <si>
    <t>T100792</t>
  </si>
  <si>
    <t>T100793</t>
  </si>
  <si>
    <t>T100794</t>
  </si>
  <si>
    <t>C1282</t>
  </si>
  <si>
    <t>T100795</t>
  </si>
  <si>
    <t>C1211</t>
  </si>
  <si>
    <t>T100796</t>
  </si>
  <si>
    <t>T100797</t>
  </si>
  <si>
    <t>T100798</t>
  </si>
  <si>
    <t>T100799</t>
  </si>
  <si>
    <t>T100800</t>
  </si>
  <si>
    <t>C1409</t>
  </si>
  <si>
    <t>T100801</t>
  </si>
  <si>
    <t>T100802</t>
  </si>
  <si>
    <t>T100803</t>
  </si>
  <si>
    <t>T100804</t>
  </si>
  <si>
    <t>T100805</t>
  </si>
  <si>
    <t>T100806</t>
  </si>
  <si>
    <t>T100807</t>
  </si>
  <si>
    <t>T100808</t>
  </si>
  <si>
    <t>T100809</t>
  </si>
  <si>
    <t>C1400</t>
  </si>
  <si>
    <t>T100810</t>
  </si>
  <si>
    <t>C1121</t>
  </si>
  <si>
    <t>T100811</t>
  </si>
  <si>
    <t>T100812</t>
  </si>
  <si>
    <t>T100813</t>
  </si>
  <si>
    <t>T100814</t>
  </si>
  <si>
    <t>T100815</t>
  </si>
  <si>
    <t>T100816</t>
  </si>
  <si>
    <t>T100817</t>
  </si>
  <si>
    <t>T100818</t>
  </si>
  <si>
    <t>T100819</t>
  </si>
  <si>
    <t>T100820</t>
  </si>
  <si>
    <t>T100821</t>
  </si>
  <si>
    <t>T100822</t>
  </si>
  <si>
    <t>C1453</t>
  </si>
  <si>
    <t>T100823</t>
  </si>
  <si>
    <t>T100824</t>
  </si>
  <si>
    <t>T100825</t>
  </si>
  <si>
    <t>T100826</t>
  </si>
  <si>
    <t>T100827</t>
  </si>
  <si>
    <t>T100828</t>
  </si>
  <si>
    <t>T100829</t>
  </si>
  <si>
    <t>T100830</t>
  </si>
  <si>
    <t>T100831</t>
  </si>
  <si>
    <t>T100832</t>
  </si>
  <si>
    <t>C1185</t>
  </si>
  <si>
    <t>T100833</t>
  </si>
  <si>
    <t>T100834</t>
  </si>
  <si>
    <t>T100835</t>
  </si>
  <si>
    <t>C1458</t>
  </si>
  <si>
    <t>T100836</t>
  </si>
  <si>
    <t>T100837</t>
  </si>
  <si>
    <t>C1023</t>
  </si>
  <si>
    <t>T100838</t>
  </si>
  <si>
    <t>T100839</t>
  </si>
  <si>
    <t>C1384</t>
  </si>
  <si>
    <t>T100840</t>
  </si>
  <si>
    <t>T100841</t>
  </si>
  <si>
    <t>T100842</t>
  </si>
  <si>
    <t>T100843</t>
  </si>
  <si>
    <t>T100844</t>
  </si>
  <si>
    <t>T100845</t>
  </si>
  <si>
    <t>T100846</t>
  </si>
  <si>
    <t>T100847</t>
  </si>
  <si>
    <t>T100848</t>
  </si>
  <si>
    <t>T100849</t>
  </si>
  <si>
    <t>T100850</t>
  </si>
  <si>
    <t>T100851</t>
  </si>
  <si>
    <t>T100852</t>
  </si>
  <si>
    <t>T100853</t>
  </si>
  <si>
    <t>T100854</t>
  </si>
  <si>
    <t>T100855</t>
  </si>
  <si>
    <t>T100856</t>
  </si>
  <si>
    <t>T100857</t>
  </si>
  <si>
    <t>T100858</t>
  </si>
  <si>
    <t>C1103</t>
  </si>
  <si>
    <t>T100859</t>
  </si>
  <si>
    <t>C1363</t>
  </si>
  <si>
    <t>T100860</t>
  </si>
  <si>
    <t>T100861</t>
  </si>
  <si>
    <t>T100862</t>
  </si>
  <si>
    <t>T100863</t>
  </si>
  <si>
    <t>T100864</t>
  </si>
  <si>
    <t>T100865</t>
  </si>
  <si>
    <t>T100866</t>
  </si>
  <si>
    <t>T100867</t>
  </si>
  <si>
    <t>T100868</t>
  </si>
  <si>
    <t>T100869</t>
  </si>
  <si>
    <t>T100870</t>
  </si>
  <si>
    <t>T100871</t>
  </si>
  <si>
    <t>T100872</t>
  </si>
  <si>
    <t>T100873</t>
  </si>
  <si>
    <t>T100874</t>
  </si>
  <si>
    <t>T100875</t>
  </si>
  <si>
    <t>T100876</t>
  </si>
  <si>
    <t>T100877</t>
  </si>
  <si>
    <t>T100878</t>
  </si>
  <si>
    <t>T100879</t>
  </si>
  <si>
    <t>T100880</t>
  </si>
  <si>
    <t>T100881</t>
  </si>
  <si>
    <t>T100882</t>
  </si>
  <si>
    <t>T100883</t>
  </si>
  <si>
    <t>C1052</t>
  </si>
  <si>
    <t>T100884</t>
  </si>
  <si>
    <t>T100885</t>
  </si>
  <si>
    <t>T100886</t>
  </si>
  <si>
    <t>T100887</t>
  </si>
  <si>
    <t>C1392</t>
  </si>
  <si>
    <t>T100888</t>
  </si>
  <si>
    <t>T100889</t>
  </si>
  <si>
    <t>T100890</t>
  </si>
  <si>
    <t>C1192</t>
  </si>
  <si>
    <t>T100891</t>
  </si>
  <si>
    <t>T100892</t>
  </si>
  <si>
    <t>T100893</t>
  </si>
  <si>
    <t>C1447</t>
  </si>
  <si>
    <t>T100894</t>
  </si>
  <si>
    <t>T100895</t>
  </si>
  <si>
    <t>C1258</t>
  </si>
  <si>
    <t>T100896</t>
  </si>
  <si>
    <t>T100897</t>
  </si>
  <si>
    <t>T100898</t>
  </si>
  <si>
    <t>T100899</t>
  </si>
  <si>
    <t>C1311</t>
  </si>
  <si>
    <t>T100900</t>
  </si>
  <si>
    <t>T100901</t>
  </si>
  <si>
    <t>T100902</t>
  </si>
  <si>
    <t>T100903</t>
  </si>
  <si>
    <t>C1021</t>
  </si>
  <si>
    <t>T100904</t>
  </si>
  <si>
    <t>T100905</t>
  </si>
  <si>
    <t>T100906</t>
  </si>
  <si>
    <t>T100907</t>
  </si>
  <si>
    <t>T100908</t>
  </si>
  <si>
    <t>T100909</t>
  </si>
  <si>
    <t>T100910</t>
  </si>
  <si>
    <t>T100911</t>
  </si>
  <si>
    <t>T100912</t>
  </si>
  <si>
    <t>T100913</t>
  </si>
  <si>
    <t>C1063</t>
  </si>
  <si>
    <t>T100914</t>
  </si>
  <si>
    <t>T100915</t>
  </si>
  <si>
    <t>T100916</t>
  </si>
  <si>
    <t>T100917</t>
  </si>
  <si>
    <t>C1261</t>
  </si>
  <si>
    <t>T100918</t>
  </si>
  <si>
    <t>T100919</t>
  </si>
  <si>
    <t>T100920</t>
  </si>
  <si>
    <t>T100921</t>
  </si>
  <si>
    <t>T100922</t>
  </si>
  <si>
    <t>T100923</t>
  </si>
  <si>
    <t>T100924</t>
  </si>
  <si>
    <t>T100925</t>
  </si>
  <si>
    <t>C1411</t>
  </si>
  <si>
    <t>T100926</t>
  </si>
  <si>
    <t>C1024</t>
  </si>
  <si>
    <t>T100927</t>
  </si>
  <si>
    <t>T100928</t>
  </si>
  <si>
    <t>T100929</t>
  </si>
  <si>
    <t>T100930</t>
  </si>
  <si>
    <t>T100931</t>
  </si>
  <si>
    <t>T100932</t>
  </si>
  <si>
    <t>T100933</t>
  </si>
  <si>
    <t>T100934</t>
  </si>
  <si>
    <t>T100935</t>
  </si>
  <si>
    <t>T100936</t>
  </si>
  <si>
    <t>T100937</t>
  </si>
  <si>
    <t>C1245</t>
  </si>
  <si>
    <t>T100938</t>
  </si>
  <si>
    <t>T100939</t>
  </si>
  <si>
    <t>T100940</t>
  </si>
  <si>
    <t>T100941</t>
  </si>
  <si>
    <t>T100942</t>
  </si>
  <si>
    <t>T100943</t>
  </si>
  <si>
    <t>C1361</t>
  </si>
  <si>
    <t>T100944</t>
  </si>
  <si>
    <t>T100945</t>
  </si>
  <si>
    <t>T100946</t>
  </si>
  <si>
    <t>T100947</t>
  </si>
  <si>
    <t>T100948</t>
  </si>
  <si>
    <t>T100949</t>
  </si>
  <si>
    <t>T100950</t>
  </si>
  <si>
    <t>T100951</t>
  </si>
  <si>
    <t>T100952</t>
  </si>
  <si>
    <t>T100953</t>
  </si>
  <si>
    <t>T100954</t>
  </si>
  <si>
    <t>T100955</t>
  </si>
  <si>
    <t>T100956</t>
  </si>
  <si>
    <t>T100957</t>
  </si>
  <si>
    <t>C1018</t>
  </si>
  <si>
    <t>T100958</t>
  </si>
  <si>
    <t>T100959</t>
  </si>
  <si>
    <t>T100960</t>
  </si>
  <si>
    <t>T100961</t>
  </si>
  <si>
    <t>T100962</t>
  </si>
  <si>
    <t>T100963</t>
  </si>
  <si>
    <t>T100964</t>
  </si>
  <si>
    <t>T100965</t>
  </si>
  <si>
    <t>T100966</t>
  </si>
  <si>
    <t>T100967</t>
  </si>
  <si>
    <t>T100968</t>
  </si>
  <si>
    <t>T100969</t>
  </si>
  <si>
    <t>T100970</t>
  </si>
  <si>
    <t>T100971</t>
  </si>
  <si>
    <t>T100972</t>
  </si>
  <si>
    <t>T100973</t>
  </si>
  <si>
    <t>T100974</t>
  </si>
  <si>
    <t>C1181</t>
  </si>
  <si>
    <t>T100975</t>
  </si>
  <si>
    <t>C1198</t>
  </si>
  <si>
    <t>T100976</t>
  </si>
  <si>
    <t>T100977</t>
  </si>
  <si>
    <t>C1349</t>
  </si>
  <si>
    <t>T100978</t>
  </si>
  <si>
    <t>T100979</t>
  </si>
  <si>
    <t>T100980</t>
  </si>
  <si>
    <t>T100981</t>
  </si>
  <si>
    <t>T100982</t>
  </si>
  <si>
    <t>T100983</t>
  </si>
  <si>
    <t>T100984</t>
  </si>
  <si>
    <t>T100985</t>
  </si>
  <si>
    <t>T100986</t>
  </si>
  <si>
    <t>T100987</t>
  </si>
  <si>
    <t>T100988</t>
  </si>
  <si>
    <t>T100989</t>
  </si>
  <si>
    <t>T100990</t>
  </si>
  <si>
    <t>T100991</t>
  </si>
  <si>
    <t>T100992</t>
  </si>
  <si>
    <t>T100993</t>
  </si>
  <si>
    <t>C1365</t>
  </si>
  <si>
    <t>T100994</t>
  </si>
  <si>
    <t>T100995</t>
  </si>
  <si>
    <t>T100996</t>
  </si>
  <si>
    <t>T100997</t>
  </si>
  <si>
    <t>T100998</t>
  </si>
  <si>
    <t>T100999</t>
  </si>
  <si>
    <t>T101000</t>
  </si>
  <si>
    <t>T101001</t>
  </si>
  <si>
    <t>T101002</t>
  </si>
  <si>
    <t>C1026</t>
  </si>
  <si>
    <t>T101003</t>
  </si>
  <si>
    <t>T101004</t>
  </si>
  <si>
    <t>C1304</t>
  </si>
  <si>
    <t>T101005</t>
  </si>
  <si>
    <t>T101006</t>
  </si>
  <si>
    <t>T101007</t>
  </si>
  <si>
    <t>T101008</t>
  </si>
  <si>
    <t>T101009</t>
  </si>
  <si>
    <t>T101010</t>
  </si>
  <si>
    <t>T101011</t>
  </si>
  <si>
    <t>T101012</t>
  </si>
  <si>
    <t>T101013</t>
  </si>
  <si>
    <t>C1215</t>
  </si>
  <si>
    <t>T101014</t>
  </si>
  <si>
    <t>T101015</t>
  </si>
  <si>
    <t>T101016</t>
  </si>
  <si>
    <t>T101017</t>
  </si>
  <si>
    <t>T101018</t>
  </si>
  <si>
    <t>T101019</t>
  </si>
  <si>
    <t>T101020</t>
  </si>
  <si>
    <t>T101021</t>
  </si>
  <si>
    <t>T101022</t>
  </si>
  <si>
    <t>T101023</t>
  </si>
  <si>
    <t>T101024</t>
  </si>
  <si>
    <t>T101025</t>
  </si>
  <si>
    <t>C1343</t>
  </si>
  <si>
    <t>T101026</t>
  </si>
  <si>
    <t>T101027</t>
  </si>
  <si>
    <t>T101028</t>
  </si>
  <si>
    <t>T101029</t>
  </si>
  <si>
    <t>C1344</t>
  </si>
  <si>
    <t>T101030</t>
  </si>
  <si>
    <t>T101031</t>
  </si>
  <si>
    <t>T101032</t>
  </si>
  <si>
    <t>T101033</t>
  </si>
  <si>
    <t>T101034</t>
  </si>
  <si>
    <t>T101035</t>
  </si>
  <si>
    <t>T101036</t>
  </si>
  <si>
    <t>T101037</t>
  </si>
  <si>
    <t>T101038</t>
  </si>
  <si>
    <t>T101039</t>
  </si>
  <si>
    <t>T101040</t>
  </si>
  <si>
    <t>T101041</t>
  </si>
  <si>
    <t>T101042</t>
  </si>
  <si>
    <t>T101043</t>
  </si>
  <si>
    <t>T101044</t>
  </si>
  <si>
    <t>T101045</t>
  </si>
  <si>
    <t>C1486</t>
  </si>
  <si>
    <t>T101046</t>
  </si>
  <si>
    <t>T101047</t>
  </si>
  <si>
    <t>T101048</t>
  </si>
  <si>
    <t>T101049</t>
  </si>
  <si>
    <t>T101050</t>
  </si>
  <si>
    <t>T101051</t>
  </si>
  <si>
    <t>T101052</t>
  </si>
  <si>
    <t>T101053</t>
  </si>
  <si>
    <t>C1119</t>
  </si>
  <si>
    <t>T101054</t>
  </si>
  <si>
    <t>T101055</t>
  </si>
  <si>
    <t>T101056</t>
  </si>
  <si>
    <t>T101057</t>
  </si>
  <si>
    <t>T101058</t>
  </si>
  <si>
    <t>T101059</t>
  </si>
  <si>
    <t>T101060</t>
  </si>
  <si>
    <t>T101061</t>
  </si>
  <si>
    <t>T101062</t>
  </si>
  <si>
    <t>T101063</t>
  </si>
  <si>
    <t>T101064</t>
  </si>
  <si>
    <t>T101065</t>
  </si>
  <si>
    <t>T101066</t>
  </si>
  <si>
    <t>C1350</t>
  </si>
  <si>
    <t>T101067</t>
  </si>
  <si>
    <t>T101068</t>
  </si>
  <si>
    <t>T101069</t>
  </si>
  <si>
    <t>T101070</t>
  </si>
  <si>
    <t>T101071</t>
  </si>
  <si>
    <t>T101072</t>
  </si>
  <si>
    <t>T101073</t>
  </si>
  <si>
    <t>T101074</t>
  </si>
  <si>
    <t>T101075</t>
  </si>
  <si>
    <t>T101076</t>
  </si>
  <si>
    <t>T101077</t>
  </si>
  <si>
    <t>T101078</t>
  </si>
  <si>
    <t>T101079</t>
  </si>
  <si>
    <t>T101080</t>
  </si>
  <si>
    <t>T101081</t>
  </si>
  <si>
    <t>C1186</t>
  </si>
  <si>
    <t>T101082</t>
  </si>
  <si>
    <t>T101083</t>
  </si>
  <si>
    <t>C1027</t>
  </si>
  <si>
    <t>T101084</t>
  </si>
  <si>
    <t>T101085</t>
  </si>
  <si>
    <t>T101086</t>
  </si>
  <si>
    <t>T101087</t>
  </si>
  <si>
    <t>T101088</t>
  </si>
  <si>
    <t>T101089</t>
  </si>
  <si>
    <t>T101090</t>
  </si>
  <si>
    <t>T101091</t>
  </si>
  <si>
    <t>T101092</t>
  </si>
  <si>
    <t>T101093</t>
  </si>
  <si>
    <t>C1422</t>
  </si>
  <si>
    <t>T101094</t>
  </si>
  <si>
    <t>T101095</t>
  </si>
  <si>
    <t>T101096</t>
  </si>
  <si>
    <t>T101097</t>
  </si>
  <si>
    <t>T101098</t>
  </si>
  <si>
    <t>T101099</t>
  </si>
  <si>
    <t>T101100</t>
  </si>
  <si>
    <t>T101101</t>
  </si>
  <si>
    <t>T101102</t>
  </si>
  <si>
    <t>T101103</t>
  </si>
  <si>
    <t>T101104</t>
  </si>
  <si>
    <t>T101105</t>
  </si>
  <si>
    <t>T101106</t>
  </si>
  <si>
    <t>T101107</t>
  </si>
  <si>
    <t>T101108</t>
  </si>
  <si>
    <t>C1053</t>
  </si>
  <si>
    <t>T101109</t>
  </si>
  <si>
    <t>T101110</t>
  </si>
  <si>
    <t>T101111</t>
  </si>
  <si>
    <t>T101112</t>
  </si>
  <si>
    <t>C1439</t>
  </si>
  <si>
    <t>T101113</t>
  </si>
  <si>
    <t>T101114</t>
  </si>
  <si>
    <t>T101115</t>
  </si>
  <si>
    <t>T101116</t>
  </si>
  <si>
    <t>T101117</t>
  </si>
  <si>
    <t>T101118</t>
  </si>
  <si>
    <t>T101119</t>
  </si>
  <si>
    <t>T101120</t>
  </si>
  <si>
    <t>T101121</t>
  </si>
  <si>
    <t>T101122</t>
  </si>
  <si>
    <t>T101123</t>
  </si>
  <si>
    <t>T101124</t>
  </si>
  <si>
    <t>T101125</t>
  </si>
  <si>
    <t>T101126</t>
  </si>
  <si>
    <t>T101127</t>
  </si>
  <si>
    <t>T101128</t>
  </si>
  <si>
    <t>T101129</t>
  </si>
  <si>
    <t>T101130</t>
  </si>
  <si>
    <t>T101131</t>
  </si>
  <si>
    <t>T101132</t>
  </si>
  <si>
    <t>T101133</t>
  </si>
  <si>
    <t>T101134</t>
  </si>
  <si>
    <t>C1032</t>
  </si>
  <si>
    <t>T101135</t>
  </si>
  <si>
    <t>T101136</t>
  </si>
  <si>
    <t>T101137</t>
  </si>
  <si>
    <t>T101138</t>
  </si>
  <si>
    <t>T101139</t>
  </si>
  <si>
    <t>T101140</t>
  </si>
  <si>
    <t>C1114</t>
  </si>
  <si>
    <t>T101141</t>
  </si>
  <si>
    <t>T101142</t>
  </si>
  <si>
    <t>C1403</t>
  </si>
  <si>
    <t>T101143</t>
  </si>
  <si>
    <t>T101144</t>
  </si>
  <si>
    <t>C1324</t>
  </si>
  <si>
    <t>T101145</t>
  </si>
  <si>
    <t>T101146</t>
  </si>
  <si>
    <t>T101147</t>
  </si>
  <si>
    <t>T101148</t>
  </si>
  <si>
    <t>C1448</t>
  </si>
  <si>
    <t>T101149</t>
  </si>
  <si>
    <t>T101150</t>
  </si>
  <si>
    <t>C1275</t>
  </si>
  <si>
    <t>T101151</t>
  </si>
  <si>
    <t>C1290</t>
  </si>
  <si>
    <t>T101152</t>
  </si>
  <si>
    <t>T101153</t>
  </si>
  <si>
    <t>T101154</t>
  </si>
  <si>
    <t>T101155</t>
  </si>
  <si>
    <t>T101156</t>
  </si>
  <si>
    <t>T101157</t>
  </si>
  <si>
    <t>T101158</t>
  </si>
  <si>
    <t>C1168</t>
  </si>
  <si>
    <t>T101159</t>
  </si>
  <si>
    <t>T101160</t>
  </si>
  <si>
    <t>T101161</t>
  </si>
  <si>
    <t>C1118</t>
  </si>
  <si>
    <t>T101162</t>
  </si>
  <si>
    <t>T101163</t>
  </si>
  <si>
    <t>T101164</t>
  </si>
  <si>
    <t>T101165</t>
  </si>
  <si>
    <t>T101166</t>
  </si>
  <si>
    <t>T101167</t>
  </si>
  <si>
    <t>T101168</t>
  </si>
  <si>
    <t>C1479</t>
  </si>
  <si>
    <t>T101169</t>
  </si>
  <si>
    <t>T101170</t>
  </si>
  <si>
    <t>C1163</t>
  </si>
  <si>
    <t>T101171</t>
  </si>
  <si>
    <t>T101172</t>
  </si>
  <si>
    <t>T101173</t>
  </si>
  <si>
    <t>T101174</t>
  </si>
  <si>
    <t>T101175</t>
  </si>
  <si>
    <t>T101176</t>
  </si>
  <si>
    <t>C1048</t>
  </si>
  <si>
    <t>T101177</t>
  </si>
  <si>
    <t>T101178</t>
  </si>
  <si>
    <t>T101179</t>
  </si>
  <si>
    <t>T101180</t>
  </si>
  <si>
    <t>T101181</t>
  </si>
  <si>
    <t>T101182</t>
  </si>
  <si>
    <t>T101183</t>
  </si>
  <si>
    <t>T101184</t>
  </si>
  <si>
    <t>T101185</t>
  </si>
  <si>
    <t>T101186</t>
  </si>
  <si>
    <t>T101187</t>
  </si>
  <si>
    <t>T101188</t>
  </si>
  <si>
    <t>T101189</t>
  </si>
  <si>
    <t>T101190</t>
  </si>
  <si>
    <t>T101191</t>
  </si>
  <si>
    <t>T101192</t>
  </si>
  <si>
    <t>C1193</t>
  </si>
  <si>
    <t>T101193</t>
  </si>
  <si>
    <t>T101194</t>
  </si>
  <si>
    <t>T101195</t>
  </si>
  <si>
    <t>T101196</t>
  </si>
  <si>
    <t>C1188</t>
  </si>
  <si>
    <t>T101197</t>
  </si>
  <si>
    <t>T101198</t>
  </si>
  <si>
    <t>T101199</t>
  </si>
  <si>
    <t>T101200</t>
  </si>
  <si>
    <t>T101201</t>
  </si>
  <si>
    <t>T101202</t>
  </si>
  <si>
    <t>T101203</t>
  </si>
  <si>
    <t>T101204</t>
  </si>
  <si>
    <t>T101205</t>
  </si>
  <si>
    <t>T101206</t>
  </si>
  <si>
    <t>T101207</t>
  </si>
  <si>
    <t>T101208</t>
  </si>
  <si>
    <t>T101209</t>
  </si>
  <si>
    <t>T101210</t>
  </si>
  <si>
    <t>T101211</t>
  </si>
  <si>
    <t>T101212</t>
  </si>
  <si>
    <t>T101213</t>
  </si>
  <si>
    <t>T101214</t>
  </si>
  <si>
    <t>T101215</t>
  </si>
  <si>
    <t>T101216</t>
  </si>
  <si>
    <t>T101217</t>
  </si>
  <si>
    <t>T101218</t>
  </si>
  <si>
    <t>T101219</t>
  </si>
  <si>
    <t>T101220</t>
  </si>
  <si>
    <t>T101221</t>
  </si>
  <si>
    <t>T101222</t>
  </si>
  <si>
    <t>T101223</t>
  </si>
  <si>
    <t>T101224</t>
  </si>
  <si>
    <t>T101225</t>
  </si>
  <si>
    <t>T101226</t>
  </si>
  <si>
    <t>T101227</t>
  </si>
  <si>
    <t>T101228</t>
  </si>
  <si>
    <t>C1329</t>
  </si>
  <si>
    <t>T101229</t>
  </si>
  <si>
    <t>T101230</t>
  </si>
  <si>
    <t>T101231</t>
  </si>
  <si>
    <t>T101232</t>
  </si>
  <si>
    <t>T101233</t>
  </si>
  <si>
    <t>T101234</t>
  </si>
  <si>
    <t>T101235</t>
  </si>
  <si>
    <t>T101236</t>
  </si>
  <si>
    <t>T101237</t>
  </si>
  <si>
    <t>T101238</t>
  </si>
  <si>
    <t>T101239</t>
  </si>
  <si>
    <t>T101240</t>
  </si>
  <si>
    <t>C1305</t>
  </si>
  <si>
    <t>T101241</t>
  </si>
  <si>
    <t>T101242</t>
  </si>
  <si>
    <t>C1368</t>
  </si>
  <si>
    <t>T101243</t>
  </si>
  <si>
    <t>C1402</t>
  </si>
  <si>
    <t>T101244</t>
  </si>
  <si>
    <t>T101245</t>
  </si>
  <si>
    <t>T101246</t>
  </si>
  <si>
    <t>T101247</t>
  </si>
  <si>
    <t>T101248</t>
  </si>
  <si>
    <t>T101249</t>
  </si>
  <si>
    <t>T101250</t>
  </si>
  <si>
    <t>T101251</t>
  </si>
  <si>
    <t>T101252</t>
  </si>
  <si>
    <t>T101253</t>
  </si>
  <si>
    <t>T101254</t>
  </si>
  <si>
    <t>T101255</t>
  </si>
  <si>
    <t>C1203</t>
  </si>
  <si>
    <t>T101256</t>
  </si>
  <si>
    <t>T101257</t>
  </si>
  <si>
    <t>T101258</t>
  </si>
  <si>
    <t>T101259</t>
  </si>
  <si>
    <t>T101260</t>
  </si>
  <si>
    <t>T101261</t>
  </si>
  <si>
    <t>T101262</t>
  </si>
  <si>
    <t>T101263</t>
  </si>
  <si>
    <t>C1287</t>
  </si>
  <si>
    <t>T101264</t>
  </si>
  <si>
    <t>T101265</t>
  </si>
  <si>
    <t>T101266</t>
  </si>
  <si>
    <t>T101267</t>
  </si>
  <si>
    <t>T101268</t>
  </si>
  <si>
    <t>C1387</t>
  </si>
  <si>
    <t>T101269</t>
  </si>
  <si>
    <t>T101270</t>
  </si>
  <si>
    <t>T101271</t>
  </si>
  <si>
    <t>T101272</t>
  </si>
  <si>
    <t>T101273</t>
  </si>
  <si>
    <t>T101274</t>
  </si>
  <si>
    <t>T101275</t>
  </si>
  <si>
    <t>T101276</t>
  </si>
  <si>
    <t>T101277</t>
  </si>
  <si>
    <t>T101278</t>
  </si>
  <si>
    <t>T101279</t>
  </si>
  <si>
    <t>T101280</t>
  </si>
  <si>
    <t>T101281</t>
  </si>
  <si>
    <t>T101282</t>
  </si>
  <si>
    <t>T101283</t>
  </si>
  <si>
    <t>T101284</t>
  </si>
  <si>
    <t>T101285</t>
  </si>
  <si>
    <t>T101286</t>
  </si>
  <si>
    <t>T101287</t>
  </si>
  <si>
    <t>T101288</t>
  </si>
  <si>
    <t>T101289</t>
  </si>
  <si>
    <t>T101290</t>
  </si>
  <si>
    <t>T101291</t>
  </si>
  <si>
    <t>T101292</t>
  </si>
  <si>
    <t>T101293</t>
  </si>
  <si>
    <t>T101294</t>
  </si>
  <si>
    <t>T101295</t>
  </si>
  <si>
    <t>T101296</t>
  </si>
  <si>
    <t>T101297</t>
  </si>
  <si>
    <t>T101298</t>
  </si>
  <si>
    <t>T101299</t>
  </si>
  <si>
    <t>T101300</t>
  </si>
  <si>
    <t>T101301</t>
  </si>
  <si>
    <t>T101302</t>
  </si>
  <si>
    <t>T101303</t>
  </si>
  <si>
    <t>T101304</t>
  </si>
  <si>
    <t>T101305</t>
  </si>
  <si>
    <t>T101306</t>
  </si>
  <si>
    <t>T101307</t>
  </si>
  <si>
    <t>T101308</t>
  </si>
  <si>
    <t>T101309</t>
  </si>
  <si>
    <t>T101310</t>
  </si>
  <si>
    <t>T101311</t>
  </si>
  <si>
    <t>T101312</t>
  </si>
  <si>
    <t>T101313</t>
  </si>
  <si>
    <t>T101314</t>
  </si>
  <si>
    <t>T101315</t>
  </si>
  <si>
    <t>T101316</t>
  </si>
  <si>
    <t>C1415</t>
  </si>
  <si>
    <t>T101317</t>
  </si>
  <si>
    <t>T101318</t>
  </si>
  <si>
    <t>T101319</t>
  </si>
  <si>
    <t>T101320</t>
  </si>
  <si>
    <t>T101321</t>
  </si>
  <si>
    <t>T101322</t>
  </si>
  <si>
    <t>T101323</t>
  </si>
  <si>
    <t>T101324</t>
  </si>
  <si>
    <t>T101325</t>
  </si>
  <si>
    <t>T101326</t>
  </si>
  <si>
    <t>T101327</t>
  </si>
  <si>
    <t>T101328</t>
  </si>
  <si>
    <t>T101329</t>
  </si>
  <si>
    <t>T101330</t>
  </si>
  <si>
    <t>T101331</t>
  </si>
  <si>
    <t>T101332</t>
  </si>
  <si>
    <t>T101333</t>
  </si>
  <si>
    <t>T101334</t>
  </si>
  <si>
    <t>T101335</t>
  </si>
  <si>
    <t>T101336</t>
  </si>
  <si>
    <t>T101337</t>
  </si>
  <si>
    <t>C1216</t>
  </si>
  <si>
    <t>T101338</t>
  </si>
  <si>
    <t>T101339</t>
  </si>
  <si>
    <t>T101340</t>
  </si>
  <si>
    <t>T101341</t>
  </si>
  <si>
    <t>T101342</t>
  </si>
  <si>
    <t>T101343</t>
  </si>
  <si>
    <t>T101344</t>
  </si>
  <si>
    <t>T101345</t>
  </si>
  <si>
    <t>T101346</t>
  </si>
  <si>
    <t>T101347</t>
  </si>
  <si>
    <t>T101348</t>
  </si>
  <si>
    <t>T101349</t>
  </si>
  <si>
    <t>T101350</t>
  </si>
  <si>
    <t>T101351</t>
  </si>
  <si>
    <t>T101352</t>
  </si>
  <si>
    <t>T101353</t>
  </si>
  <si>
    <t>T101354</t>
  </si>
  <si>
    <t>T101355</t>
  </si>
  <si>
    <t>T101356</t>
  </si>
  <si>
    <t>T101357</t>
  </si>
  <si>
    <t>T101358</t>
  </si>
  <si>
    <t>T101359</t>
  </si>
  <si>
    <t>T101360</t>
  </si>
  <si>
    <t>C1091</t>
  </si>
  <si>
    <t>T101361</t>
  </si>
  <si>
    <t>T101362</t>
  </si>
  <si>
    <t>T101363</t>
  </si>
  <si>
    <t>T101364</t>
  </si>
  <si>
    <t>T101365</t>
  </si>
  <si>
    <t>T101366</t>
  </si>
  <si>
    <t>T101367</t>
  </si>
  <si>
    <t>T101368</t>
  </si>
  <si>
    <t>T101369</t>
  </si>
  <si>
    <t>T101370</t>
  </si>
  <si>
    <t>T101371</t>
  </si>
  <si>
    <t>T101372</t>
  </si>
  <si>
    <t>C1260</t>
  </si>
  <si>
    <t>T101373</t>
  </si>
  <si>
    <t>T101374</t>
  </si>
  <si>
    <t>T101375</t>
  </si>
  <si>
    <t>C1491</t>
  </si>
  <si>
    <t>T101376</t>
  </si>
  <si>
    <t>T101377</t>
  </si>
  <si>
    <t>T101378</t>
  </si>
  <si>
    <t>T101379</t>
  </si>
  <si>
    <t>T101380</t>
  </si>
  <si>
    <t>T101381</t>
  </si>
  <si>
    <t>T101382</t>
  </si>
  <si>
    <t>T101383</t>
  </si>
  <si>
    <t>T101384</t>
  </si>
  <si>
    <t>T101385</t>
  </si>
  <si>
    <t>T101386</t>
  </si>
  <si>
    <t>T101387</t>
  </si>
  <si>
    <t>T101388</t>
  </si>
  <si>
    <t>T101389</t>
  </si>
  <si>
    <t>T101390</t>
  </si>
  <si>
    <t>T101391</t>
  </si>
  <si>
    <t>T101392</t>
  </si>
  <si>
    <t>T101393</t>
  </si>
  <si>
    <t>T101394</t>
  </si>
  <si>
    <t>T101395</t>
  </si>
  <si>
    <t>T101396</t>
  </si>
  <si>
    <t>T101397</t>
  </si>
  <si>
    <t>T101398</t>
  </si>
  <si>
    <t>T101399</t>
  </si>
  <si>
    <t>T101400</t>
  </si>
  <si>
    <t>C1160</t>
  </si>
  <si>
    <t>T101401</t>
  </si>
  <si>
    <t>T101402</t>
  </si>
  <si>
    <t>C1017</t>
  </si>
  <si>
    <t>T101403</t>
  </si>
  <si>
    <t>T101404</t>
  </si>
  <si>
    <t>T101405</t>
  </si>
  <si>
    <t>T101406</t>
  </si>
  <si>
    <t>T101407</t>
  </si>
  <si>
    <t>T101408</t>
  </si>
  <si>
    <t>T101409</t>
  </si>
  <si>
    <t>T101410</t>
  </si>
  <si>
    <t>T101411</t>
  </si>
  <si>
    <t>T101412</t>
  </si>
  <si>
    <t>T101413</t>
  </si>
  <si>
    <t>T101414</t>
  </si>
  <si>
    <t>T101415</t>
  </si>
  <si>
    <t>T101416</t>
  </si>
  <si>
    <t>C1008</t>
  </si>
  <si>
    <t>T101417</t>
  </si>
  <si>
    <t>T101418</t>
  </si>
  <si>
    <t>T101419</t>
  </si>
  <si>
    <t>T101420</t>
  </si>
  <si>
    <t>T101421</t>
  </si>
  <si>
    <t>C1092</t>
  </si>
  <si>
    <t>T101422</t>
  </si>
  <si>
    <t>T101423</t>
  </si>
  <si>
    <t>T101424</t>
  </si>
  <si>
    <t>T101425</t>
  </si>
  <si>
    <t>T101426</t>
  </si>
  <si>
    <t>T101427</t>
  </si>
  <si>
    <t>T101428</t>
  </si>
  <si>
    <t>T101429</t>
  </si>
  <si>
    <t>T101430</t>
  </si>
  <si>
    <t>T101431</t>
  </si>
  <si>
    <t>T101432</t>
  </si>
  <si>
    <t>T101433</t>
  </si>
  <si>
    <t>T101434</t>
  </si>
  <si>
    <t>T101435</t>
  </si>
  <si>
    <t>T101436</t>
  </si>
  <si>
    <t>T101437</t>
  </si>
  <si>
    <t>T101438</t>
  </si>
  <si>
    <t>T101439</t>
  </si>
  <si>
    <t>T101440</t>
  </si>
  <si>
    <t>T101441</t>
  </si>
  <si>
    <t>T101442</t>
  </si>
  <si>
    <t>T101443</t>
  </si>
  <si>
    <t>T101444</t>
  </si>
  <si>
    <t>T101445</t>
  </si>
  <si>
    <t>T101446</t>
  </si>
  <si>
    <t>T101447</t>
  </si>
  <si>
    <t>T101448</t>
  </si>
  <si>
    <t>T101449</t>
  </si>
  <si>
    <t>T101450</t>
  </si>
  <si>
    <t>T101451</t>
  </si>
  <si>
    <t>T101452</t>
  </si>
  <si>
    <t>T101453</t>
  </si>
  <si>
    <t>T101454</t>
  </si>
  <si>
    <t>T101455</t>
  </si>
  <si>
    <t>T101456</t>
  </si>
  <si>
    <t>T101457</t>
  </si>
  <si>
    <t>T101458</t>
  </si>
  <si>
    <t>T101459</t>
  </si>
  <si>
    <t>T101460</t>
  </si>
  <si>
    <t>T101461</t>
  </si>
  <si>
    <t>T101462</t>
  </si>
  <si>
    <t>T101463</t>
  </si>
  <si>
    <t>T101464</t>
  </si>
  <si>
    <t>T101465</t>
  </si>
  <si>
    <t>T101466</t>
  </si>
  <si>
    <t>T101467</t>
  </si>
  <si>
    <t>T101468</t>
  </si>
  <si>
    <t>T101469</t>
  </si>
  <si>
    <t>T101470</t>
  </si>
  <si>
    <t>T101471</t>
  </si>
  <si>
    <t>T101472</t>
  </si>
  <si>
    <t>T101473</t>
  </si>
  <si>
    <t>T101474</t>
  </si>
  <si>
    <t>T101475</t>
  </si>
  <si>
    <t>T101476</t>
  </si>
  <si>
    <t>T101477</t>
  </si>
  <si>
    <t>T101478</t>
  </si>
  <si>
    <t>T101479</t>
  </si>
  <si>
    <t>T101480</t>
  </si>
  <si>
    <t>T101481</t>
  </si>
  <si>
    <t>T101482</t>
  </si>
  <si>
    <t>T101483</t>
  </si>
  <si>
    <t>T101484</t>
  </si>
  <si>
    <t>T101485</t>
  </si>
  <si>
    <t>T101486</t>
  </si>
  <si>
    <t>T101487</t>
  </si>
  <si>
    <t>T101488</t>
  </si>
  <si>
    <t>T101489</t>
  </si>
  <si>
    <t>T101490</t>
  </si>
  <si>
    <t>C1070</t>
  </si>
  <si>
    <t>T101491</t>
  </si>
  <si>
    <t>T101492</t>
  </si>
  <si>
    <t>T101493</t>
  </si>
  <si>
    <t>T101494</t>
  </si>
  <si>
    <t>T101495</t>
  </si>
  <si>
    <t>T101496</t>
  </si>
  <si>
    <t>T101497</t>
  </si>
  <si>
    <t>T101498</t>
  </si>
  <si>
    <t>T101499</t>
  </si>
  <si>
    <t>T101500</t>
  </si>
  <si>
    <t>T101501</t>
  </si>
  <si>
    <t>T101502</t>
  </si>
  <si>
    <t>T101503</t>
  </si>
  <si>
    <t>T101504</t>
  </si>
  <si>
    <t>T101505</t>
  </si>
  <si>
    <t>T101506</t>
  </si>
  <si>
    <t>T101507</t>
  </si>
  <si>
    <t>T101508</t>
  </si>
  <si>
    <t>T101509</t>
  </si>
  <si>
    <t>T101510</t>
  </si>
  <si>
    <t>T101511</t>
  </si>
  <si>
    <t>T101512</t>
  </si>
  <si>
    <t>T101513</t>
  </si>
  <si>
    <t>T101514</t>
  </si>
  <si>
    <t>T101515</t>
  </si>
  <si>
    <t>T101516</t>
  </si>
  <si>
    <t>T101517</t>
  </si>
  <si>
    <t>T101518</t>
  </si>
  <si>
    <t>T101519</t>
  </si>
  <si>
    <t>T101520</t>
  </si>
  <si>
    <t>T101521</t>
  </si>
  <si>
    <t>T101522</t>
  </si>
  <si>
    <t>T101523</t>
  </si>
  <si>
    <t>T101524</t>
  </si>
  <si>
    <t>T101525</t>
  </si>
  <si>
    <t>T101526</t>
  </si>
  <si>
    <t>T101527</t>
  </si>
  <si>
    <t>T101528</t>
  </si>
  <si>
    <t>T101529</t>
  </si>
  <si>
    <t>T101530</t>
  </si>
  <si>
    <t>T101531</t>
  </si>
  <si>
    <t>T101532</t>
  </si>
  <si>
    <t>T101533</t>
  </si>
  <si>
    <t>C1407</t>
  </si>
  <si>
    <t>T101534</t>
  </si>
  <si>
    <t>T101535</t>
  </si>
  <si>
    <t>C1156</t>
  </si>
  <si>
    <t>T101536</t>
  </si>
  <si>
    <t>T101537</t>
  </si>
  <si>
    <t>T101538</t>
  </si>
  <si>
    <t>T101539</t>
  </si>
  <si>
    <t>T101540</t>
  </si>
  <si>
    <t>T101541</t>
  </si>
  <si>
    <t>T101542</t>
  </si>
  <si>
    <t>T101543</t>
  </si>
  <si>
    <t>T101544</t>
  </si>
  <si>
    <t>T101545</t>
  </si>
  <si>
    <t>T101546</t>
  </si>
  <si>
    <t>T101547</t>
  </si>
  <si>
    <t>T101548</t>
  </si>
  <si>
    <t>T101549</t>
  </si>
  <si>
    <t>T101550</t>
  </si>
  <si>
    <t>T101551</t>
  </si>
  <si>
    <t>T101552</t>
  </si>
  <si>
    <t>T101553</t>
  </si>
  <si>
    <t>T101554</t>
  </si>
  <si>
    <t>T101555</t>
  </si>
  <si>
    <t>T101556</t>
  </si>
  <si>
    <t>T101557</t>
  </si>
  <si>
    <t>T101558</t>
  </si>
  <si>
    <t>T101559</t>
  </si>
  <si>
    <t>T101560</t>
  </si>
  <si>
    <t>T101561</t>
  </si>
  <si>
    <t>T101562</t>
  </si>
  <si>
    <t>T101563</t>
  </si>
  <si>
    <t>T101564</t>
  </si>
  <si>
    <t>T101565</t>
  </si>
  <si>
    <t>T101566</t>
  </si>
  <si>
    <t>T101567</t>
  </si>
  <si>
    <t>T101568</t>
  </si>
  <si>
    <t>T101569</t>
  </si>
  <si>
    <t>T101570</t>
  </si>
  <si>
    <t>T101571</t>
  </si>
  <si>
    <t>T101572</t>
  </si>
  <si>
    <t>T101573</t>
  </si>
  <si>
    <t>T101574</t>
  </si>
  <si>
    <t>T101575</t>
  </si>
  <si>
    <t>T101576</t>
  </si>
  <si>
    <t>T101577</t>
  </si>
  <si>
    <t>C1109</t>
  </si>
  <si>
    <t>T101578</t>
  </si>
  <si>
    <t>T101579</t>
  </si>
  <si>
    <t>T101580</t>
  </si>
  <si>
    <t>T101581</t>
  </si>
  <si>
    <t>T101582</t>
  </si>
  <si>
    <t>T101583</t>
  </si>
  <si>
    <t>T101584</t>
  </si>
  <si>
    <t>T101585</t>
  </si>
  <si>
    <t>T101586</t>
  </si>
  <si>
    <t>T101587</t>
  </si>
  <si>
    <t>T101588</t>
  </si>
  <si>
    <t>T101589</t>
  </si>
  <si>
    <t>T101590</t>
  </si>
  <si>
    <t>T101591</t>
  </si>
  <si>
    <t>T101592</t>
  </si>
  <si>
    <t>T101593</t>
  </si>
  <si>
    <t>T101594</t>
  </si>
  <si>
    <t>T101595</t>
  </si>
  <si>
    <t>T101596</t>
  </si>
  <si>
    <t>T101597</t>
  </si>
  <si>
    <t>T101598</t>
  </si>
  <si>
    <t>T101599</t>
  </si>
  <si>
    <t>T101600</t>
  </si>
  <si>
    <t>T101601</t>
  </si>
  <si>
    <t>T101602</t>
  </si>
  <si>
    <t>T101603</t>
  </si>
  <si>
    <t>T101604</t>
  </si>
  <si>
    <t>T101605</t>
  </si>
  <si>
    <t>T101606</t>
  </si>
  <si>
    <t>T101607</t>
  </si>
  <si>
    <t>T101608</t>
  </si>
  <si>
    <t>T101609</t>
  </si>
  <si>
    <t>T101610</t>
  </si>
  <si>
    <t>T101611</t>
  </si>
  <si>
    <t>T101612</t>
  </si>
  <si>
    <t>T101613</t>
  </si>
  <si>
    <t>T101614</t>
  </si>
  <si>
    <t>T101615</t>
  </si>
  <si>
    <t>T101616</t>
  </si>
  <si>
    <t>T101617</t>
  </si>
  <si>
    <t>T101618</t>
  </si>
  <si>
    <t>T101619</t>
  </si>
  <si>
    <t>T101620</t>
  </si>
  <si>
    <t>T101621</t>
  </si>
  <si>
    <t>T101622</t>
  </si>
  <si>
    <t>T101623</t>
  </si>
  <si>
    <t>T101624</t>
  </si>
  <si>
    <t>T101625</t>
  </si>
  <si>
    <t>T101626</t>
  </si>
  <si>
    <t>T101627</t>
  </si>
  <si>
    <t>T101628</t>
  </si>
  <si>
    <t>T101629</t>
  </si>
  <si>
    <t>T101630</t>
  </si>
  <si>
    <t>T101631</t>
  </si>
  <si>
    <t>T101632</t>
  </si>
  <si>
    <t>T101633</t>
  </si>
  <si>
    <t>T101634</t>
  </si>
  <si>
    <t>T101635</t>
  </si>
  <si>
    <t>T101636</t>
  </si>
  <si>
    <t>T101637</t>
  </si>
  <si>
    <t>T101638</t>
  </si>
  <si>
    <t>T101639</t>
  </si>
  <si>
    <t>T101640</t>
  </si>
  <si>
    <t>T101641</t>
  </si>
  <si>
    <t>T101642</t>
  </si>
  <si>
    <t>T101643</t>
  </si>
  <si>
    <t>T101644</t>
  </si>
  <si>
    <t>T101645</t>
  </si>
  <si>
    <t>T101646</t>
  </si>
  <si>
    <t>T101647</t>
  </si>
  <si>
    <t>T101648</t>
  </si>
  <si>
    <t>T101649</t>
  </si>
  <si>
    <t>C1470</t>
  </si>
  <si>
    <t>T101650</t>
  </si>
  <si>
    <t>T101651</t>
  </si>
  <si>
    <t>T101652</t>
  </si>
  <si>
    <t>T101653</t>
  </si>
  <si>
    <t>T101654</t>
  </si>
  <si>
    <t>C1465</t>
  </si>
  <si>
    <t>T101655</t>
  </si>
  <si>
    <t>T101656</t>
  </si>
  <si>
    <t>T101657</t>
  </si>
  <si>
    <t>T101658</t>
  </si>
  <si>
    <t>T101659</t>
  </si>
  <si>
    <t>T101660</t>
  </si>
  <si>
    <t>T101661</t>
  </si>
  <si>
    <t>T101662</t>
  </si>
  <si>
    <t>T101663</t>
  </si>
  <si>
    <t>T101664</t>
  </si>
  <si>
    <t>T101665</t>
  </si>
  <si>
    <t>T101666</t>
  </si>
  <si>
    <t>T101667</t>
  </si>
  <si>
    <t>T101668</t>
  </si>
  <si>
    <t>T101669</t>
  </si>
  <si>
    <t>T101670</t>
  </si>
  <si>
    <t>T101671</t>
  </si>
  <si>
    <t>T101672</t>
  </si>
  <si>
    <t>T101673</t>
  </si>
  <si>
    <t>T101674</t>
  </si>
  <si>
    <t>T101675</t>
  </si>
  <si>
    <t>T101676</t>
  </si>
  <si>
    <t>T101677</t>
  </si>
  <si>
    <t>T101678</t>
  </si>
  <si>
    <t>T101679</t>
  </si>
  <si>
    <t>T101680</t>
  </si>
  <si>
    <t>T101681</t>
  </si>
  <si>
    <t>T101682</t>
  </si>
  <si>
    <t>T101683</t>
  </si>
  <si>
    <t>T101684</t>
  </si>
  <si>
    <t>T101685</t>
  </si>
  <si>
    <t>T101686</t>
  </si>
  <si>
    <t>T101687</t>
  </si>
  <si>
    <t>T101688</t>
  </si>
  <si>
    <t>T101689</t>
  </si>
  <si>
    <t>T101690</t>
  </si>
  <si>
    <t>T101691</t>
  </si>
  <si>
    <t>T101692</t>
  </si>
  <si>
    <t>T101693</t>
  </si>
  <si>
    <t>T101694</t>
  </si>
  <si>
    <t>T101695</t>
  </si>
  <si>
    <t>T101696</t>
  </si>
  <si>
    <t>T101697</t>
  </si>
  <si>
    <t>T101698</t>
  </si>
  <si>
    <t>T101699</t>
  </si>
  <si>
    <t>T101700</t>
  </si>
  <si>
    <t>T101701</t>
  </si>
  <si>
    <t>C1082</t>
  </si>
  <si>
    <t>T101702</t>
  </si>
  <si>
    <t>T101703</t>
  </si>
  <si>
    <t>T101704</t>
  </si>
  <si>
    <t>T101705</t>
  </si>
  <si>
    <t>T101706</t>
  </si>
  <si>
    <t>T101707</t>
  </si>
  <si>
    <t>T101708</t>
  </si>
  <si>
    <t>T101709</t>
  </si>
  <si>
    <t>T101710</t>
  </si>
  <si>
    <t>T101711</t>
  </si>
  <si>
    <t>T101712</t>
  </si>
  <si>
    <t>T101713</t>
  </si>
  <si>
    <t>T101714</t>
  </si>
  <si>
    <t>T101715</t>
  </si>
  <si>
    <t>T101716</t>
  </si>
  <si>
    <t>T101717</t>
  </si>
  <si>
    <t>T101718</t>
  </si>
  <si>
    <t>T101719</t>
  </si>
  <si>
    <t>T101720</t>
  </si>
  <si>
    <t>T101721</t>
  </si>
  <si>
    <t>C1413</t>
  </si>
  <si>
    <t>T101722</t>
  </si>
  <si>
    <t>T101723</t>
  </si>
  <si>
    <t>T101724</t>
  </si>
  <si>
    <t>T101725</t>
  </si>
  <si>
    <t>T101726</t>
  </si>
  <si>
    <t>T101727</t>
  </si>
  <si>
    <t>T101728</t>
  </si>
  <si>
    <t>T101729</t>
  </si>
  <si>
    <t>T101730</t>
  </si>
  <si>
    <t>T101731</t>
  </si>
  <si>
    <t>T101732</t>
  </si>
  <si>
    <t>T101733</t>
  </si>
  <si>
    <t>T101734</t>
  </si>
  <si>
    <t>T101735</t>
  </si>
  <si>
    <t>T101736</t>
  </si>
  <si>
    <t>T101737</t>
  </si>
  <si>
    <t>T101738</t>
  </si>
  <si>
    <t>T101739</t>
  </si>
  <si>
    <t>T101740</t>
  </si>
  <si>
    <t>T101741</t>
  </si>
  <si>
    <t>T101742</t>
  </si>
  <si>
    <t>T101743</t>
  </si>
  <si>
    <t>T101744</t>
  </si>
  <si>
    <t>T101745</t>
  </si>
  <si>
    <t>T101746</t>
  </si>
  <si>
    <t>T101747</t>
  </si>
  <si>
    <t>T101748</t>
  </si>
  <si>
    <t>T101749</t>
  </si>
  <si>
    <t>C1213</t>
  </si>
  <si>
    <t>T101750</t>
  </si>
  <si>
    <t>T101751</t>
  </si>
  <si>
    <t>T101752</t>
  </si>
  <si>
    <t>T101753</t>
  </si>
  <si>
    <t>T101754</t>
  </si>
  <si>
    <t>T101755</t>
  </si>
  <si>
    <t>T101756</t>
  </si>
  <si>
    <t>T101757</t>
  </si>
  <si>
    <t>C1162</t>
  </si>
  <si>
    <t>T101758</t>
  </si>
  <si>
    <t>T101759</t>
  </si>
  <si>
    <t>T101760</t>
  </si>
  <si>
    <t>T101761</t>
  </si>
  <si>
    <t>T101762</t>
  </si>
  <si>
    <t>T101763</t>
  </si>
  <si>
    <t>T101764</t>
  </si>
  <si>
    <t>T101765</t>
  </si>
  <si>
    <t>T101766</t>
  </si>
  <si>
    <t>T101767</t>
  </si>
  <si>
    <t>T101768</t>
  </si>
  <si>
    <t>T101769</t>
  </si>
  <si>
    <t>T101770</t>
  </si>
  <si>
    <t>T101771</t>
  </si>
  <si>
    <t>T101772</t>
  </si>
  <si>
    <t>T101773</t>
  </si>
  <si>
    <t>C1190</t>
  </si>
  <si>
    <t>T101774</t>
  </si>
  <si>
    <t>T101775</t>
  </si>
  <si>
    <t>T101776</t>
  </si>
  <si>
    <t>T101777</t>
  </si>
  <si>
    <t>T101778</t>
  </si>
  <si>
    <t>T101779</t>
  </si>
  <si>
    <t>T101780</t>
  </si>
  <si>
    <t>T101781</t>
  </si>
  <si>
    <t>T101782</t>
  </si>
  <si>
    <t>T101783</t>
  </si>
  <si>
    <t>T101784</t>
  </si>
  <si>
    <t>T101785</t>
  </si>
  <si>
    <t>T101786</t>
  </si>
  <si>
    <t>T101787</t>
  </si>
  <si>
    <t>T101788</t>
  </si>
  <si>
    <t>T101789</t>
  </si>
  <si>
    <t>T101790</t>
  </si>
  <si>
    <t>T101791</t>
  </si>
  <si>
    <t>T101792</t>
  </si>
  <si>
    <t>T101793</t>
  </si>
  <si>
    <t>T101794</t>
  </si>
  <si>
    <t>T101795</t>
  </si>
  <si>
    <t>T101796</t>
  </si>
  <si>
    <t>T101797</t>
  </si>
  <si>
    <t>T101798</t>
  </si>
  <si>
    <t>T101799</t>
  </si>
  <si>
    <t>T101800</t>
  </si>
  <si>
    <t>T101801</t>
  </si>
  <si>
    <t>T101802</t>
  </si>
  <si>
    <t>T101803</t>
  </si>
  <si>
    <t>T101804</t>
  </si>
  <si>
    <t>T101805</t>
  </si>
  <si>
    <t>T101806</t>
  </si>
  <si>
    <t>T101807</t>
  </si>
  <si>
    <t>T101808</t>
  </si>
  <si>
    <t>T101809</t>
  </si>
  <si>
    <t>T101810</t>
  </si>
  <si>
    <t>T101811</t>
  </si>
  <si>
    <t>T101812</t>
  </si>
  <si>
    <t>T101813</t>
  </si>
  <si>
    <t>T101814</t>
  </si>
  <si>
    <t>T101815</t>
  </si>
  <si>
    <t>T101816</t>
  </si>
  <si>
    <t>T101817</t>
  </si>
  <si>
    <t>T101818</t>
  </si>
  <si>
    <t>T101819</t>
  </si>
  <si>
    <t>T101820</t>
  </si>
  <si>
    <t>T101821</t>
  </si>
  <si>
    <t>T101822</t>
  </si>
  <si>
    <t>T101823</t>
  </si>
  <si>
    <t>T101824</t>
  </si>
  <si>
    <t>T101825</t>
  </si>
  <si>
    <t>T101826</t>
  </si>
  <si>
    <t>T101827</t>
  </si>
  <si>
    <t>T101828</t>
  </si>
  <si>
    <t>T101829</t>
  </si>
  <si>
    <t>T101830</t>
  </si>
  <si>
    <t>T101831</t>
  </si>
  <si>
    <t>T101832</t>
  </si>
  <si>
    <t>T101833</t>
  </si>
  <si>
    <t>T101834</t>
  </si>
  <si>
    <t>T101835</t>
  </si>
  <si>
    <t>T101836</t>
  </si>
  <si>
    <t>T101837</t>
  </si>
  <si>
    <t>T101838</t>
  </si>
  <si>
    <t>T101839</t>
  </si>
  <si>
    <t>T101840</t>
  </si>
  <si>
    <t>T101841</t>
  </si>
  <si>
    <t>T101842</t>
  </si>
  <si>
    <t>T101843</t>
  </si>
  <si>
    <t>T101844</t>
  </si>
  <si>
    <t>T101845</t>
  </si>
  <si>
    <t>T101846</t>
  </si>
  <si>
    <t>T101847</t>
  </si>
  <si>
    <t>T101848</t>
  </si>
  <si>
    <t>T101849</t>
  </si>
  <si>
    <t>T101850</t>
  </si>
  <si>
    <t>T101851</t>
  </si>
  <si>
    <t>T101852</t>
  </si>
  <si>
    <t>T101853</t>
  </si>
  <si>
    <t>T101854</t>
  </si>
  <si>
    <t>T101855</t>
  </si>
  <si>
    <t>T101856</t>
  </si>
  <si>
    <t>T101857</t>
  </si>
  <si>
    <t>T101858</t>
  </si>
  <si>
    <t>T101859</t>
  </si>
  <si>
    <t>T101860</t>
  </si>
  <si>
    <t>T101861</t>
  </si>
  <si>
    <t>T101862</t>
  </si>
  <si>
    <t>T101863</t>
  </si>
  <si>
    <t>T101864</t>
  </si>
  <si>
    <t>T101865</t>
  </si>
  <si>
    <t>T101866</t>
  </si>
  <si>
    <t>T101867</t>
  </si>
  <si>
    <t>T101868</t>
  </si>
  <si>
    <t>T101869</t>
  </si>
  <si>
    <t>T101870</t>
  </si>
  <si>
    <t>T101871</t>
  </si>
  <si>
    <t>T101872</t>
  </si>
  <si>
    <t>T101873</t>
  </si>
  <si>
    <t>T101874</t>
  </si>
  <si>
    <t>T101875</t>
  </si>
  <si>
    <t>T101876</t>
  </si>
  <si>
    <t>T101877</t>
  </si>
  <si>
    <t>T101878</t>
  </si>
  <si>
    <t>T101879</t>
  </si>
  <si>
    <t>T101880</t>
  </si>
  <si>
    <t>T101881</t>
  </si>
  <si>
    <t>T101882</t>
  </si>
  <si>
    <t>T101883</t>
  </si>
  <si>
    <t>T101884</t>
  </si>
  <si>
    <t>T101885</t>
  </si>
  <si>
    <t>T101886</t>
  </si>
  <si>
    <t>T101887</t>
  </si>
  <si>
    <t>T101888</t>
  </si>
  <si>
    <t>T101889</t>
  </si>
  <si>
    <t>T101890</t>
  </si>
  <si>
    <t>T101891</t>
  </si>
  <si>
    <t>T101892</t>
  </si>
  <si>
    <t>T101893</t>
  </si>
  <si>
    <t>T101894</t>
  </si>
  <si>
    <t>T101895</t>
  </si>
  <si>
    <t>T101896</t>
  </si>
  <si>
    <t>T101897</t>
  </si>
  <si>
    <t>C1117</t>
  </si>
  <si>
    <t>T101898</t>
  </si>
  <si>
    <t>T101899</t>
  </si>
  <si>
    <t>T101900</t>
  </si>
  <si>
    <t>T101901</t>
  </si>
  <si>
    <t>T101902</t>
  </si>
  <si>
    <t>T101903</t>
  </si>
  <si>
    <t>T101904</t>
  </si>
  <si>
    <t>T101905</t>
  </si>
  <si>
    <t>T101906</t>
  </si>
  <si>
    <t>T101907</t>
  </si>
  <si>
    <t>T101908</t>
  </si>
  <si>
    <t>C1483</t>
  </si>
  <si>
    <t>T101909</t>
  </si>
  <si>
    <t>T101910</t>
  </si>
  <si>
    <t>T101911</t>
  </si>
  <si>
    <t>T101912</t>
  </si>
  <si>
    <t>T101913</t>
  </si>
  <si>
    <t>T101914</t>
  </si>
  <si>
    <t>T101915</t>
  </si>
  <si>
    <t>T101916</t>
  </si>
  <si>
    <t>T101917</t>
  </si>
  <si>
    <t>T101918</t>
  </si>
  <si>
    <t>T101919</t>
  </si>
  <si>
    <t>T101920</t>
  </si>
  <si>
    <t>C1393</t>
  </si>
  <si>
    <t>T101921</t>
  </si>
  <si>
    <t>T101922</t>
  </si>
  <si>
    <t>T101923</t>
  </si>
  <si>
    <t>T101924</t>
  </si>
  <si>
    <t>T101925</t>
  </si>
  <si>
    <t>T101926</t>
  </si>
  <si>
    <t>T101927</t>
  </si>
  <si>
    <t>T101928</t>
  </si>
  <si>
    <t>T101929</t>
  </si>
  <si>
    <t>T101930</t>
  </si>
  <si>
    <t>T101931</t>
  </si>
  <si>
    <t>T101932</t>
  </si>
  <si>
    <t>T101933</t>
  </si>
  <si>
    <t>T101934</t>
  </si>
  <si>
    <t>T101935</t>
  </si>
  <si>
    <t>T101936</t>
  </si>
  <si>
    <t>T101937</t>
  </si>
  <si>
    <t>T101938</t>
  </si>
  <si>
    <t>T101939</t>
  </si>
  <si>
    <t>T101940</t>
  </si>
  <si>
    <t>T101941</t>
  </si>
  <si>
    <t>T101942</t>
  </si>
  <si>
    <t>T101943</t>
  </si>
  <si>
    <t>T101944</t>
  </si>
  <si>
    <t>T101945</t>
  </si>
  <si>
    <t>T101946</t>
  </si>
  <si>
    <t>T101947</t>
  </si>
  <si>
    <t>T101948</t>
  </si>
  <si>
    <t>T101949</t>
  </si>
  <si>
    <t>T101950</t>
  </si>
  <si>
    <t>T101951</t>
  </si>
  <si>
    <t>T101952</t>
  </si>
  <si>
    <t>T101953</t>
  </si>
  <si>
    <t>T101954</t>
  </si>
  <si>
    <t>T101955</t>
  </si>
  <si>
    <t>T101956</t>
  </si>
  <si>
    <t>T101957</t>
  </si>
  <si>
    <t>T101958</t>
  </si>
  <si>
    <t>T101959</t>
  </si>
  <si>
    <t>T101960</t>
  </si>
  <si>
    <t>T101961</t>
  </si>
  <si>
    <t>T101962</t>
  </si>
  <si>
    <t>T101963</t>
  </si>
  <si>
    <t>T101964</t>
  </si>
  <si>
    <t>T101965</t>
  </si>
  <si>
    <t>T101966</t>
  </si>
  <si>
    <t>T101967</t>
  </si>
  <si>
    <t>T101968</t>
  </si>
  <si>
    <t>T101969</t>
  </si>
  <si>
    <t>T101970</t>
  </si>
  <si>
    <t>T101971</t>
  </si>
  <si>
    <t>T101972</t>
  </si>
  <si>
    <t>T101973</t>
  </si>
  <si>
    <t>T101974</t>
  </si>
  <si>
    <t>T101975</t>
  </si>
  <si>
    <t>T101976</t>
  </si>
  <si>
    <t>T101977</t>
  </si>
  <si>
    <t>T101978</t>
  </si>
  <si>
    <t>T101979</t>
  </si>
  <si>
    <t>T101980</t>
  </si>
  <si>
    <t>T101981</t>
  </si>
  <si>
    <t>T101982</t>
  </si>
  <si>
    <t>T101983</t>
  </si>
  <si>
    <t>T101984</t>
  </si>
  <si>
    <t>T101985</t>
  </si>
  <si>
    <t>T101986</t>
  </si>
  <si>
    <t>T101987</t>
  </si>
  <si>
    <t>T101988</t>
  </si>
  <si>
    <t>T101989</t>
  </si>
  <si>
    <t>T101990</t>
  </si>
  <si>
    <t>T101991</t>
  </si>
  <si>
    <t>T101992</t>
  </si>
  <si>
    <t>T101993</t>
  </si>
  <si>
    <t>T101994</t>
  </si>
  <si>
    <t>T101995</t>
  </si>
  <si>
    <t>T101996</t>
  </si>
  <si>
    <t>T101997</t>
  </si>
  <si>
    <t>T101998</t>
  </si>
  <si>
    <t>T101999</t>
  </si>
  <si>
    <t>T102000</t>
  </si>
  <si>
    <t>T102001</t>
  </si>
  <si>
    <t>T102002</t>
  </si>
  <si>
    <t>T102003</t>
  </si>
  <si>
    <t>T102004</t>
  </si>
  <si>
    <t>T102005</t>
  </si>
  <si>
    <t>T102006</t>
  </si>
  <si>
    <t>T102007</t>
  </si>
  <si>
    <t>T102008</t>
  </si>
  <si>
    <t>T102009</t>
  </si>
  <si>
    <t>T102010</t>
  </si>
  <si>
    <t>T102011</t>
  </si>
  <si>
    <t>T102012</t>
  </si>
  <si>
    <t>T102013</t>
  </si>
  <si>
    <t>T102014</t>
  </si>
  <si>
    <t>T102015</t>
  </si>
  <si>
    <t>T102016</t>
  </si>
  <si>
    <t>T102017</t>
  </si>
  <si>
    <t>T102018</t>
  </si>
  <si>
    <t>T102019</t>
  </si>
  <si>
    <t>T102020</t>
  </si>
  <si>
    <t>T102021</t>
  </si>
  <si>
    <t>T102022</t>
  </si>
  <si>
    <t>T102023</t>
  </si>
  <si>
    <t>T102024</t>
  </si>
  <si>
    <t>T102025</t>
  </si>
  <si>
    <t>T102026</t>
  </si>
  <si>
    <t>T102027</t>
  </si>
  <si>
    <t>T102028</t>
  </si>
  <si>
    <t>T102029</t>
  </si>
  <si>
    <t>T102030</t>
  </si>
  <si>
    <t>T102031</t>
  </si>
  <si>
    <t>T102032</t>
  </si>
  <si>
    <t>T102033</t>
  </si>
  <si>
    <t>T102034</t>
  </si>
  <si>
    <t>T102035</t>
  </si>
  <si>
    <t>T102036</t>
  </si>
  <si>
    <t>T102037</t>
  </si>
  <si>
    <t>T102038</t>
  </si>
  <si>
    <t>T102039</t>
  </si>
  <si>
    <t>T102040</t>
  </si>
  <si>
    <t>T102041</t>
  </si>
  <si>
    <t>T102042</t>
  </si>
  <si>
    <t>T102043</t>
  </si>
  <si>
    <t>T102044</t>
  </si>
  <si>
    <t>T102045</t>
  </si>
  <si>
    <t>T102046</t>
  </si>
  <si>
    <t>T102047</t>
  </si>
  <si>
    <t>T102048</t>
  </si>
  <si>
    <t>T102049</t>
  </si>
  <si>
    <t>T102050</t>
  </si>
  <si>
    <t>T102051</t>
  </si>
  <si>
    <t>T102052</t>
  </si>
  <si>
    <t>T102053</t>
  </si>
  <si>
    <t>T102054</t>
  </si>
  <si>
    <t>T102055</t>
  </si>
  <si>
    <t>T102056</t>
  </si>
  <si>
    <t>T102057</t>
  </si>
  <si>
    <t>T102058</t>
  </si>
  <si>
    <t>T102059</t>
  </si>
  <si>
    <t>T102060</t>
  </si>
  <si>
    <t>T102061</t>
  </si>
  <si>
    <t>T102062</t>
  </si>
  <si>
    <t>T102063</t>
  </si>
  <si>
    <t>T102064</t>
  </si>
  <si>
    <t>T102065</t>
  </si>
  <si>
    <t>T102066</t>
  </si>
  <si>
    <t>T102067</t>
  </si>
  <si>
    <t>T102068</t>
  </si>
  <si>
    <t>T102069</t>
  </si>
  <si>
    <t>T102070</t>
  </si>
  <si>
    <t>T102071</t>
  </si>
  <si>
    <t>T102072</t>
  </si>
  <si>
    <t>T102073</t>
  </si>
  <si>
    <t>T102074</t>
  </si>
  <si>
    <t>T102075</t>
  </si>
  <si>
    <t>T102076</t>
  </si>
  <si>
    <t>T102077</t>
  </si>
  <si>
    <t>T102078</t>
  </si>
  <si>
    <t>T102079</t>
  </si>
  <si>
    <t>T102080</t>
  </si>
  <si>
    <t>T102081</t>
  </si>
  <si>
    <t>T102082</t>
  </si>
  <si>
    <t>T102083</t>
  </si>
  <si>
    <t>T102084</t>
  </si>
  <si>
    <t>T102085</t>
  </si>
  <si>
    <t>T102086</t>
  </si>
  <si>
    <t>T102087</t>
  </si>
  <si>
    <t>T102088</t>
  </si>
  <si>
    <t>T102089</t>
  </si>
  <si>
    <t>T102090</t>
  </si>
  <si>
    <t>T102091</t>
  </si>
  <si>
    <t>T102092</t>
  </si>
  <si>
    <t>T102093</t>
  </si>
  <si>
    <t>T102094</t>
  </si>
  <si>
    <t>T102095</t>
  </si>
  <si>
    <t>T102096</t>
  </si>
  <si>
    <t>T102097</t>
  </si>
  <si>
    <t>T102098</t>
  </si>
  <si>
    <t>T102099</t>
  </si>
  <si>
    <t>T102100</t>
  </si>
  <si>
    <t>T102101</t>
  </si>
  <si>
    <t>T102102</t>
  </si>
  <si>
    <t>T102103</t>
  </si>
  <si>
    <t>T102104</t>
  </si>
  <si>
    <t>T102105</t>
  </si>
  <si>
    <t>T102106</t>
  </si>
  <si>
    <t>T102107</t>
  </si>
  <si>
    <t>T102108</t>
  </si>
  <si>
    <t>T102109</t>
  </si>
  <si>
    <t>T102110</t>
  </si>
  <si>
    <t>T102111</t>
  </si>
  <si>
    <t>T102112</t>
  </si>
  <si>
    <t>T102113</t>
  </si>
  <si>
    <t>T102114</t>
  </si>
  <si>
    <t>C1424</t>
  </si>
  <si>
    <t>T102115</t>
  </si>
  <si>
    <t>T102116</t>
  </si>
  <si>
    <t>T102117</t>
  </si>
  <si>
    <t>T102118</t>
  </si>
  <si>
    <t>T102119</t>
  </si>
  <si>
    <t>T102120</t>
  </si>
  <si>
    <t>T102121</t>
  </si>
  <si>
    <t>T102122</t>
  </si>
  <si>
    <t>T102123</t>
  </si>
  <si>
    <t>T102124</t>
  </si>
  <si>
    <t>T102125</t>
  </si>
  <si>
    <t>T102126</t>
  </si>
  <si>
    <t>T102127</t>
  </si>
  <si>
    <t>T102128</t>
  </si>
  <si>
    <t>T102129</t>
  </si>
  <si>
    <t>T102130</t>
  </si>
  <si>
    <t>T102131</t>
  </si>
  <si>
    <t>T102132</t>
  </si>
  <si>
    <t>T102133</t>
  </si>
  <si>
    <t>T102134</t>
  </si>
  <si>
    <t>T102135</t>
  </si>
  <si>
    <t>T102136</t>
  </si>
  <si>
    <t>T102137</t>
  </si>
  <si>
    <t>T102138</t>
  </si>
  <si>
    <t>T102139</t>
  </si>
  <si>
    <t>T102140</t>
  </si>
  <si>
    <t>T102141</t>
  </si>
  <si>
    <t>T102142</t>
  </si>
  <si>
    <t>T102143</t>
  </si>
  <si>
    <t>T102144</t>
  </si>
  <si>
    <t>T102145</t>
  </si>
  <si>
    <t>T102146</t>
  </si>
  <si>
    <t>T102147</t>
  </si>
  <si>
    <t>T102148</t>
  </si>
  <si>
    <t>T102149</t>
  </si>
  <si>
    <t>T102150</t>
  </si>
  <si>
    <t>T102151</t>
  </si>
  <si>
    <t>T102152</t>
  </si>
  <si>
    <t>T102153</t>
  </si>
  <si>
    <t>T102154</t>
  </si>
  <si>
    <t>T102155</t>
  </si>
  <si>
    <t>T102156</t>
  </si>
  <si>
    <t>C1474</t>
  </si>
  <si>
    <t>T102157</t>
  </si>
  <si>
    <t>T102158</t>
  </si>
  <si>
    <t>T102159</t>
  </si>
  <si>
    <t>T102160</t>
  </si>
  <si>
    <t>T102161</t>
  </si>
  <si>
    <t>T102162</t>
  </si>
  <si>
    <t>T102163</t>
  </si>
  <si>
    <t>T102164</t>
  </si>
  <si>
    <t>T102165</t>
  </si>
  <si>
    <t>T102166</t>
  </si>
  <si>
    <t>T102167</t>
  </si>
  <si>
    <t>T102168</t>
  </si>
  <si>
    <t>T102169</t>
  </si>
  <si>
    <t>T102170</t>
  </si>
  <si>
    <t>T102171</t>
  </si>
  <si>
    <t>T102172</t>
  </si>
  <si>
    <t>T102173</t>
  </si>
  <si>
    <t>T102174</t>
  </si>
  <si>
    <t>T102175</t>
  </si>
  <si>
    <t>T102176</t>
  </si>
  <si>
    <t>C1476</t>
  </si>
  <si>
    <t>T102177</t>
  </si>
  <si>
    <t>T102178</t>
  </si>
  <si>
    <t>T102179</t>
  </si>
  <si>
    <t>T102180</t>
  </si>
  <si>
    <t>T102181</t>
  </si>
  <si>
    <t>T102182</t>
  </si>
  <si>
    <t>T102183</t>
  </si>
  <si>
    <t>T102184</t>
  </si>
  <si>
    <t>T102185</t>
  </si>
  <si>
    <t>T102186</t>
  </si>
  <si>
    <t>T102187</t>
  </si>
  <si>
    <t>T102188</t>
  </si>
  <si>
    <t>T102189</t>
  </si>
  <si>
    <t>T102190</t>
  </si>
  <si>
    <t>T102191</t>
  </si>
  <si>
    <t>T102192</t>
  </si>
  <si>
    <t>T102193</t>
  </si>
  <si>
    <t>T102194</t>
  </si>
  <si>
    <t>T102195</t>
  </si>
  <si>
    <t>T102196</t>
  </si>
  <si>
    <t>T102197</t>
  </si>
  <si>
    <t>T102198</t>
  </si>
  <si>
    <t>T102199</t>
  </si>
  <si>
    <t>T102200</t>
  </si>
  <si>
    <t>T102201</t>
  </si>
  <si>
    <t>T102202</t>
  </si>
  <si>
    <t>T102203</t>
  </si>
  <si>
    <t>T102204</t>
  </si>
  <si>
    <t>T102205</t>
  </si>
  <si>
    <t>T102206</t>
  </si>
  <si>
    <t>T102207</t>
  </si>
  <si>
    <t>T102208</t>
  </si>
  <si>
    <t>T102209</t>
  </si>
  <si>
    <t>T102210</t>
  </si>
  <si>
    <t>T102211</t>
  </si>
  <si>
    <t>T102212</t>
  </si>
  <si>
    <t>T102213</t>
  </si>
  <si>
    <t>T102214</t>
  </si>
  <si>
    <t>T102215</t>
  </si>
  <si>
    <t>T102216</t>
  </si>
  <si>
    <t>T102217</t>
  </si>
  <si>
    <t>T102218</t>
  </si>
  <si>
    <t>T102219</t>
  </si>
  <si>
    <t>T102220</t>
  </si>
  <si>
    <t>T102221</t>
  </si>
  <si>
    <t>T102222</t>
  </si>
  <si>
    <t>T102223</t>
  </si>
  <si>
    <t>T102224</t>
  </si>
  <si>
    <t>T102225</t>
  </si>
  <si>
    <t>T102226</t>
  </si>
  <si>
    <t>T102227</t>
  </si>
  <si>
    <t>T102228</t>
  </si>
  <si>
    <t>T102229</t>
  </si>
  <si>
    <t>T102230</t>
  </si>
  <si>
    <t>T102231</t>
  </si>
  <si>
    <t>T102232</t>
  </si>
  <si>
    <t>T102233</t>
  </si>
  <si>
    <t>T102234</t>
  </si>
  <si>
    <t>C1500</t>
  </si>
  <si>
    <t>T102235</t>
  </si>
  <si>
    <t>T102236</t>
  </si>
  <si>
    <t>T102237</t>
  </si>
  <si>
    <t>T102238</t>
  </si>
  <si>
    <t>T102239</t>
  </si>
  <si>
    <t>T102240</t>
  </si>
  <si>
    <t>T102241</t>
  </si>
  <si>
    <t>T102242</t>
  </si>
  <si>
    <t>T102243</t>
  </si>
  <si>
    <t>T102244</t>
  </si>
  <si>
    <t>T102245</t>
  </si>
  <si>
    <t>T102246</t>
  </si>
  <si>
    <t>T102247</t>
  </si>
  <si>
    <t>T102248</t>
  </si>
  <si>
    <t>T102249</t>
  </si>
  <si>
    <t>T102250</t>
  </si>
  <si>
    <t>T102251</t>
  </si>
  <si>
    <t>T102252</t>
  </si>
  <si>
    <t>T102253</t>
  </si>
  <si>
    <t>T102254</t>
  </si>
  <si>
    <t>T102255</t>
  </si>
  <si>
    <t>T102256</t>
  </si>
  <si>
    <t>T102257</t>
  </si>
  <si>
    <t>T102258</t>
  </si>
  <si>
    <t>T102259</t>
  </si>
  <si>
    <t>T102260</t>
  </si>
  <si>
    <t>T102261</t>
  </si>
  <si>
    <t>T102262</t>
  </si>
  <si>
    <t>T102263</t>
  </si>
  <si>
    <t>T102264</t>
  </si>
  <si>
    <t>T102265</t>
  </si>
  <si>
    <t>T102266</t>
  </si>
  <si>
    <t>T102267</t>
  </si>
  <si>
    <t>T102268</t>
  </si>
  <si>
    <t>T102269</t>
  </si>
  <si>
    <t>T102270</t>
  </si>
  <si>
    <t>T102271</t>
  </si>
  <si>
    <t>T102272</t>
  </si>
  <si>
    <t>T102273</t>
  </si>
  <si>
    <t>T102274</t>
  </si>
  <si>
    <t>T102275</t>
  </si>
  <si>
    <t>T102276</t>
  </si>
  <si>
    <t>T102277</t>
  </si>
  <si>
    <t>T102278</t>
  </si>
  <si>
    <t>T102279</t>
  </si>
  <si>
    <t>T102280</t>
  </si>
  <si>
    <t>T102281</t>
  </si>
  <si>
    <t>T102282</t>
  </si>
  <si>
    <t>T102283</t>
  </si>
  <si>
    <t>T102284</t>
  </si>
  <si>
    <t>T102285</t>
  </si>
  <si>
    <t>C1462</t>
  </si>
  <si>
    <t>T102286</t>
  </si>
  <si>
    <t>T102287</t>
  </si>
  <si>
    <t>T102288</t>
  </si>
  <si>
    <t>T102289</t>
  </si>
  <si>
    <t>T102290</t>
  </si>
  <si>
    <t>T102291</t>
  </si>
  <si>
    <t>T102292</t>
  </si>
  <si>
    <t>T102293</t>
  </si>
  <si>
    <t>T102294</t>
  </si>
  <si>
    <t>T102295</t>
  </si>
  <si>
    <t>T102296</t>
  </si>
  <si>
    <t>T102297</t>
  </si>
  <si>
    <t>T102298</t>
  </si>
  <si>
    <t>T102299</t>
  </si>
  <si>
    <t>T102300</t>
  </si>
  <si>
    <t>T102301</t>
  </si>
  <si>
    <t>T102302</t>
  </si>
  <si>
    <t>T102303</t>
  </si>
  <si>
    <t>T102304</t>
  </si>
  <si>
    <t>T102305</t>
  </si>
  <si>
    <t>T102306</t>
  </si>
  <si>
    <t>T102307</t>
  </si>
  <si>
    <t>T102308</t>
  </si>
  <si>
    <t>T102309</t>
  </si>
  <si>
    <t>T102310</t>
  </si>
  <si>
    <t>T102311</t>
  </si>
  <si>
    <t>T102312</t>
  </si>
  <si>
    <t>T102313</t>
  </si>
  <si>
    <t>T102314</t>
  </si>
  <si>
    <t>T102315</t>
  </si>
  <si>
    <t>T102316</t>
  </si>
  <si>
    <t>T102317</t>
  </si>
  <si>
    <t>T102318</t>
  </si>
  <si>
    <t>T102319</t>
  </si>
  <si>
    <t>T102320</t>
  </si>
  <si>
    <t>T102321</t>
  </si>
  <si>
    <t>T102322</t>
  </si>
  <si>
    <t>T102323</t>
  </si>
  <si>
    <t>T102324</t>
  </si>
  <si>
    <t>T102325</t>
  </si>
  <si>
    <t>T102326</t>
  </si>
  <si>
    <t>T102327</t>
  </si>
  <si>
    <t>T102328</t>
  </si>
  <si>
    <t>T102329</t>
  </si>
  <si>
    <t>T102330</t>
  </si>
  <si>
    <t>T102331</t>
  </si>
  <si>
    <t>T102332</t>
  </si>
  <si>
    <t>T102333</t>
  </si>
  <si>
    <t>T102334</t>
  </si>
  <si>
    <t>T102335</t>
  </si>
  <si>
    <t>T102336</t>
  </si>
  <si>
    <t>T102337</t>
  </si>
  <si>
    <t>T102338</t>
  </si>
  <si>
    <t>T102339</t>
  </si>
  <si>
    <t>T102340</t>
  </si>
  <si>
    <t>T102341</t>
  </si>
  <si>
    <t>T102342</t>
  </si>
  <si>
    <t>T102343</t>
  </si>
  <si>
    <t>T102344</t>
  </si>
  <si>
    <t>T102345</t>
  </si>
  <si>
    <t>T102346</t>
  </si>
  <si>
    <t>T102347</t>
  </si>
  <si>
    <t>T102348</t>
  </si>
  <si>
    <t>T102349</t>
  </si>
  <si>
    <t>T102350</t>
  </si>
  <si>
    <t>T102351</t>
  </si>
  <si>
    <t>T102352</t>
  </si>
  <si>
    <t>T102353</t>
  </si>
  <si>
    <t>T102354</t>
  </si>
  <si>
    <t>T102355</t>
  </si>
  <si>
    <t>T102356</t>
  </si>
  <si>
    <t>T102357</t>
  </si>
  <si>
    <t>T102358</t>
  </si>
  <si>
    <t>T102359</t>
  </si>
  <si>
    <t>T102360</t>
  </si>
  <si>
    <t>T102361</t>
  </si>
  <si>
    <t>T102362</t>
  </si>
  <si>
    <t>T102363</t>
  </si>
  <si>
    <t>T102364</t>
  </si>
  <si>
    <t>T102365</t>
  </si>
  <si>
    <t>T102366</t>
  </si>
  <si>
    <t>T102367</t>
  </si>
  <si>
    <t>T102368</t>
  </si>
  <si>
    <t>T102369</t>
  </si>
  <si>
    <t>T102370</t>
  </si>
  <si>
    <t>T102371</t>
  </si>
  <si>
    <t>T102372</t>
  </si>
  <si>
    <t>T102373</t>
  </si>
  <si>
    <t>T102374</t>
  </si>
  <si>
    <t>T102375</t>
  </si>
  <si>
    <t>T102376</t>
  </si>
  <si>
    <t>T102377</t>
  </si>
  <si>
    <t>T102378</t>
  </si>
  <si>
    <t>T102379</t>
  </si>
  <si>
    <t>T102380</t>
  </si>
  <si>
    <t>T102381</t>
  </si>
  <si>
    <t>T102382</t>
  </si>
  <si>
    <t>T102383</t>
  </si>
  <si>
    <t>T102384</t>
  </si>
  <si>
    <t>T102385</t>
  </si>
  <si>
    <t>T102386</t>
  </si>
  <si>
    <t>T102387</t>
  </si>
  <si>
    <t>T102388</t>
  </si>
  <si>
    <t>T102389</t>
  </si>
  <si>
    <t>T102390</t>
  </si>
  <si>
    <t>T102391</t>
  </si>
  <si>
    <t>T102392</t>
  </si>
  <si>
    <t>T102393</t>
  </si>
  <si>
    <t>T102394</t>
  </si>
  <si>
    <t>T102395</t>
  </si>
  <si>
    <t>T102396</t>
  </si>
  <si>
    <t>T102397</t>
  </si>
  <si>
    <t>T102398</t>
  </si>
  <si>
    <t>T102399</t>
  </si>
  <si>
    <t>T102400</t>
  </si>
  <si>
    <t>T102401</t>
  </si>
  <si>
    <t>T102402</t>
  </si>
  <si>
    <t>T102403</t>
  </si>
  <si>
    <t>T102404</t>
  </si>
  <si>
    <t>T102405</t>
  </si>
  <si>
    <t>T102406</t>
  </si>
  <si>
    <t>T102407</t>
  </si>
  <si>
    <t>T102408</t>
  </si>
  <si>
    <t>T102409</t>
  </si>
  <si>
    <t>T102410</t>
  </si>
  <si>
    <t>T102411</t>
  </si>
  <si>
    <t>T102412</t>
  </si>
  <si>
    <t>T102413</t>
  </si>
  <si>
    <t>T102414</t>
  </si>
  <si>
    <t>T102415</t>
  </si>
  <si>
    <t>T102416</t>
  </si>
  <si>
    <t>T102417</t>
  </si>
  <si>
    <t>T102418</t>
  </si>
  <si>
    <t>T102419</t>
  </si>
  <si>
    <t>T102420</t>
  </si>
  <si>
    <t>T102421</t>
  </si>
  <si>
    <t>T102422</t>
  </si>
  <si>
    <t>T102423</t>
  </si>
  <si>
    <t>T102424</t>
  </si>
  <si>
    <t>T102425</t>
  </si>
  <si>
    <t>T102426</t>
  </si>
  <si>
    <t>T102427</t>
  </si>
  <si>
    <t>T102428</t>
  </si>
  <si>
    <t>T102429</t>
  </si>
  <si>
    <t>T102430</t>
  </si>
  <si>
    <t>T102431</t>
  </si>
  <si>
    <t>T102432</t>
  </si>
  <si>
    <t>T102433</t>
  </si>
  <si>
    <t>T102434</t>
  </si>
  <si>
    <t>T102435</t>
  </si>
  <si>
    <t>T102436</t>
  </si>
  <si>
    <t>T102437</t>
  </si>
  <si>
    <t>T102438</t>
  </si>
  <si>
    <t>T102439</t>
  </si>
  <si>
    <t>T102440</t>
  </si>
  <si>
    <t>T102441</t>
  </si>
  <si>
    <t>T102442</t>
  </si>
  <si>
    <t>T102443</t>
  </si>
  <si>
    <t>T102444</t>
  </si>
  <si>
    <t>T102445</t>
  </si>
  <si>
    <t>T102446</t>
  </si>
  <si>
    <t>T102447</t>
  </si>
  <si>
    <t>T102448</t>
  </si>
  <si>
    <t>T102449</t>
  </si>
  <si>
    <t>T102450</t>
  </si>
  <si>
    <t>T102451</t>
  </si>
  <si>
    <t>T102452</t>
  </si>
  <si>
    <t>T102453</t>
  </si>
  <si>
    <t>T102454</t>
  </si>
  <si>
    <t>T102455</t>
  </si>
  <si>
    <t>T102456</t>
  </si>
  <si>
    <t>T102457</t>
  </si>
  <si>
    <t>T102458</t>
  </si>
  <si>
    <t>T102459</t>
  </si>
  <si>
    <t>T102460</t>
  </si>
  <si>
    <t>T102461</t>
  </si>
  <si>
    <t>T102462</t>
  </si>
  <si>
    <t>T102463</t>
  </si>
  <si>
    <t>T102464</t>
  </si>
  <si>
    <t>T102465</t>
  </si>
  <si>
    <t>T102466</t>
  </si>
  <si>
    <t>T102467</t>
  </si>
  <si>
    <t>T102468</t>
  </si>
  <si>
    <t>T102469</t>
  </si>
  <si>
    <t>T102470</t>
  </si>
  <si>
    <t>T102471</t>
  </si>
  <si>
    <t>T102472</t>
  </si>
  <si>
    <t>T102473</t>
  </si>
  <si>
    <t>T102474</t>
  </si>
  <si>
    <t>T102475</t>
  </si>
  <si>
    <t>T102476</t>
  </si>
  <si>
    <t>T102477</t>
  </si>
  <si>
    <t>T102478</t>
  </si>
  <si>
    <t>T102479</t>
  </si>
  <si>
    <t>T102480</t>
  </si>
  <si>
    <t>T102481</t>
  </si>
  <si>
    <t>T102482</t>
  </si>
  <si>
    <t>T102483</t>
  </si>
  <si>
    <t>T102484</t>
  </si>
  <si>
    <t>T102485</t>
  </si>
  <si>
    <t>T102486</t>
  </si>
  <si>
    <t>T102487</t>
  </si>
  <si>
    <t>T102488</t>
  </si>
  <si>
    <t>T102489</t>
  </si>
  <si>
    <t>T102490</t>
  </si>
  <si>
    <t>T102491</t>
  </si>
  <si>
    <t>T102492</t>
  </si>
  <si>
    <t>T102493</t>
  </si>
  <si>
    <t>T102494</t>
  </si>
  <si>
    <t>T102495</t>
  </si>
  <si>
    <t>T102496</t>
  </si>
  <si>
    <t>T102497</t>
  </si>
  <si>
    <t>T102498</t>
  </si>
  <si>
    <t>T102499</t>
  </si>
  <si>
    <t>Total Transactions</t>
  </si>
  <si>
    <t>Total fraud Cases</t>
  </si>
  <si>
    <t>Risk Category</t>
  </si>
  <si>
    <t>Month</t>
  </si>
  <si>
    <t>Frude Rate %</t>
  </si>
  <si>
    <t>Total Transaction Amount</t>
  </si>
  <si>
    <t>High Risk Transactions</t>
  </si>
  <si>
    <t>&gt;8</t>
  </si>
  <si>
    <t>High</t>
  </si>
  <si>
    <t>&gt;5 and &lt;=8</t>
  </si>
  <si>
    <t>Med</t>
  </si>
  <si>
    <t>&lt;=5</t>
  </si>
  <si>
    <t>Low</t>
  </si>
  <si>
    <t>Row Labels</t>
  </si>
  <si>
    <t>Grand Total</t>
  </si>
  <si>
    <t>Count of Transaction_ID</t>
  </si>
  <si>
    <t>Frude_Status</t>
  </si>
  <si>
    <t>No</t>
  </si>
  <si>
    <t>Yes</t>
  </si>
  <si>
    <t>Sum of Is_Fraud</t>
  </si>
  <si>
    <t>Jan</t>
  </si>
  <si>
    <t>Feb</t>
  </si>
  <si>
    <t>Mar</t>
  </si>
  <si>
    <t>Apr</t>
  </si>
  <si>
    <t>Sum of Transaction_Amount</t>
  </si>
  <si>
    <t>Column Labels</t>
  </si>
  <si>
    <t>Fraud VS Non-Fraud</t>
  </si>
  <si>
    <t>Fraud by Transaction Type</t>
  </si>
  <si>
    <t>Monthly Fraud Trend</t>
  </si>
  <si>
    <t>Risk Category Distribution</t>
  </si>
  <si>
    <t>Amount VS Fraud</t>
  </si>
  <si>
    <t>Fraud by Payment Method</t>
  </si>
  <si>
    <t>Fraud by Location ,Transaction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</si>
</sst>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Narrow"/>
      <family val="2"/>
      <scheme val="minor"/>
    </font>
    <font>
      <b/>
      <sz val="16"/>
      <color theme="1"/>
      <name val="Aptos Narrow (Body)"/>
    </font>
    <font>
      <b/>
      <sz val="18"/>
      <color theme="1"/>
      <name val="Aptos Narrow (Body)"/>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22" fontId="0" fillId="0" borderId="0" xfId="0" applyNumberFormat="1"/>
    <xf numFmtId="0" fontId="0" fillId="2" borderId="0" xfId="0" applyFill="1"/>
    <xf numFmtId="9" fontId="0" fillId="2" borderId="0" xfId="1" applyFont="1" applyFill="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0" fillId="0" borderId="0" xfId="0" applyNumberFormat="1"/>
  </cellXfs>
  <cellStyles count="2">
    <cellStyle name="Normal" xfId="0" builtinId="0"/>
    <cellStyle name="Per cent" xfId="1"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Fraud Detection.xlsx]Pivot Table!Fraud VS Non-Fraud</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GB"/>
              <a:t>Fraud VS Non-Fraud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833333333333334"/>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833333333333334"/>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0833333333333334"/>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Table'!$B$3</c:f>
              <c:strCache>
                <c:ptCount val="1"/>
                <c:pt idx="0">
                  <c:v>Total</c:v>
                </c:pt>
              </c:strCache>
            </c:strRef>
          </c:tx>
          <c:dPt>
            <c:idx val="0"/>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EBE-8B43-A9FF-82F46378999E}"/>
              </c:ext>
            </c:extLst>
          </c:dPt>
          <c:dPt>
            <c:idx val="1"/>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EBE-8B43-A9FF-82F46378999E}"/>
              </c:ext>
            </c:extLst>
          </c:dPt>
          <c:dLbls>
            <c:dLbl>
              <c:idx val="0"/>
              <c:layout>
                <c:manualLayout>
                  <c:x val="0.10833333333333334"/>
                  <c:y val="4.629629629629629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EBE-8B43-A9FF-82F4637899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Table'!$A$4:$A$5</c:f>
              <c:strCache>
                <c:ptCount val="2"/>
                <c:pt idx="0">
                  <c:v>No</c:v>
                </c:pt>
                <c:pt idx="1">
                  <c:v>Yes</c:v>
                </c:pt>
              </c:strCache>
            </c:strRef>
          </c:cat>
          <c:val>
            <c:numRef>
              <c:f>'Pivot Table'!$B$4:$B$5</c:f>
              <c:numCache>
                <c:formatCode>General</c:formatCode>
                <c:ptCount val="2"/>
                <c:pt idx="0">
                  <c:v>774</c:v>
                </c:pt>
                <c:pt idx="1">
                  <c:v>1726</c:v>
                </c:pt>
              </c:numCache>
            </c:numRef>
          </c:val>
          <c:extLst>
            <c:ext xmlns:c16="http://schemas.microsoft.com/office/drawing/2014/chart" uri="{C3380CC4-5D6E-409C-BE32-E72D297353CC}">
              <c16:uniqueId val="{00000004-9EBE-8B43-A9FF-82F46378999E}"/>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latin typeface="Calibri" panose="020F0502020204030204" pitchFamily="34" charset="0"/>
                <a:cs typeface="Calibri" panose="020F0502020204030204" pitchFamily="34" charset="0"/>
              </a:rPr>
              <a:t>Risk</a:t>
            </a:r>
            <a:r>
              <a:rPr lang="en-GB" sz="1800" b="1" baseline="0">
                <a:latin typeface="Calibri" panose="020F0502020204030204" pitchFamily="34" charset="0"/>
                <a:cs typeface="Calibri" panose="020F0502020204030204" pitchFamily="34" charset="0"/>
              </a:rPr>
              <a:t> Score vs Amount</a:t>
            </a:r>
            <a:endParaRPr lang="en-GB" sz="18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25400" cap="rnd">
              <a:noFill/>
              <a:round/>
            </a:ln>
            <a:effectLst/>
          </c:spPr>
          <c:marker>
            <c:symbol val="circle"/>
            <c:size val="5"/>
            <c:spPr>
              <a:solidFill>
                <a:schemeClr val="bg1"/>
              </a:solidFill>
              <a:ln w="9525">
                <a:solidFill>
                  <a:schemeClr val="accent1"/>
                </a:solidFill>
              </a:ln>
              <a:effectLst/>
            </c:spPr>
          </c:marker>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F923-7A45-B136-DF57D5710925}"/>
            </c:ext>
          </c:extLst>
        </c:ser>
        <c:ser>
          <c:idx val="1"/>
          <c:order val="1"/>
          <c:spPr>
            <a:ln w="25400" cap="rnd">
              <a:noFill/>
              <a:round/>
            </a:ln>
            <a:effectLst/>
          </c:spPr>
          <c:marker>
            <c:symbol val="circle"/>
            <c:size val="5"/>
            <c:spPr>
              <a:solidFill>
                <a:schemeClr val="accent2"/>
              </a:solidFill>
              <a:ln w="9525">
                <a:solidFill>
                  <a:schemeClr val="accent2"/>
                </a:solidFill>
              </a:ln>
              <a:effectLst/>
            </c:spPr>
          </c:marker>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F923-7A45-B136-DF57D5710925}"/>
            </c:ext>
          </c:extLst>
        </c:ser>
        <c:dLbls>
          <c:showLegendKey val="0"/>
          <c:showVal val="0"/>
          <c:showCatName val="0"/>
          <c:showSerName val="0"/>
          <c:showPercent val="0"/>
          <c:showBubbleSize val="0"/>
        </c:dLbls>
        <c:axId val="1600550912"/>
        <c:axId val="1598604160"/>
      </c:scatterChart>
      <c:valAx>
        <c:axId val="1600550912"/>
        <c:scaling>
          <c:orientation val="minMax"/>
        </c:scaling>
        <c:delete val="0"/>
        <c:axPos val="b"/>
        <c:majorGridlines>
          <c:spPr>
            <a:ln w="9525" cap="flat" cmpd="sng" algn="ctr">
              <a:no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604160"/>
        <c:crosses val="autoZero"/>
        <c:crossBetween val="midCat"/>
      </c:valAx>
      <c:valAx>
        <c:axId val="1598604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509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Fraud Detection.xlsx]Pivot Table!Monthly Fraud Trend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Calibri" panose="020F0502020204030204" pitchFamily="34" charset="0"/>
                <a:cs typeface="Calibri" panose="020F0502020204030204" pitchFamily="34" charset="0"/>
              </a:rPr>
              <a:t>Monthly</a:t>
            </a:r>
            <a:r>
              <a:rPr lang="en-US" sz="1800" b="1" baseline="0">
                <a:latin typeface="Calibri" panose="020F0502020204030204" pitchFamily="34" charset="0"/>
                <a:cs typeface="Calibri" panose="020F0502020204030204" pitchFamily="34" charset="0"/>
              </a:rPr>
              <a:t> Fraud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4"/>
                <c:pt idx="0">
                  <c:v>Jan</c:v>
                </c:pt>
                <c:pt idx="1">
                  <c:v>Feb</c:v>
                </c:pt>
                <c:pt idx="2">
                  <c:v>Mar</c:v>
                </c:pt>
                <c:pt idx="3">
                  <c:v>Apr</c:v>
                </c:pt>
              </c:strCache>
            </c:strRef>
          </c:cat>
          <c:val>
            <c:numRef>
              <c:f>'Pivot Table'!$B$22:$B$25</c:f>
              <c:numCache>
                <c:formatCode>General</c:formatCode>
                <c:ptCount val="4"/>
                <c:pt idx="0">
                  <c:v>499</c:v>
                </c:pt>
                <c:pt idx="1">
                  <c:v>483</c:v>
                </c:pt>
                <c:pt idx="2">
                  <c:v>522</c:v>
                </c:pt>
                <c:pt idx="3">
                  <c:v>222</c:v>
                </c:pt>
              </c:numCache>
            </c:numRef>
          </c:val>
          <c:smooth val="0"/>
          <c:extLst>
            <c:ext xmlns:c16="http://schemas.microsoft.com/office/drawing/2014/chart" uri="{C3380CC4-5D6E-409C-BE32-E72D297353CC}">
              <c16:uniqueId val="{00000000-C00C-ED49-895C-30246AE08B20}"/>
            </c:ext>
          </c:extLst>
        </c:ser>
        <c:dLbls>
          <c:showLegendKey val="0"/>
          <c:showVal val="0"/>
          <c:showCatName val="0"/>
          <c:showSerName val="0"/>
          <c:showPercent val="0"/>
          <c:showBubbleSize val="0"/>
        </c:dLbls>
        <c:smooth val="0"/>
        <c:axId val="1615950976"/>
        <c:axId val="1600572480"/>
      </c:lineChart>
      <c:catAx>
        <c:axId val="1615950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72480"/>
        <c:crosses val="autoZero"/>
        <c:auto val="1"/>
        <c:lblAlgn val="ctr"/>
        <c:lblOffset val="100"/>
        <c:noMultiLvlLbl val="0"/>
      </c:catAx>
      <c:valAx>
        <c:axId val="160057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9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Fraud Detection.xlsx]Pivot Table!Amount VS Fraud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latin typeface="Calibri" panose="020F0502020204030204" pitchFamily="34" charset="0"/>
                <a:cs typeface="Calibri" panose="020F0502020204030204" pitchFamily="34" charset="0"/>
              </a:rPr>
              <a:t>Amount</a:t>
            </a:r>
            <a:r>
              <a:rPr lang="en-GB" sz="1800" b="1" baseline="0">
                <a:latin typeface="Calibri" panose="020F0502020204030204" pitchFamily="34" charset="0"/>
                <a:cs typeface="Calibri" panose="020F0502020204030204" pitchFamily="34" charset="0"/>
              </a:rPr>
              <a:t> vs Fraud</a:t>
            </a:r>
            <a:endParaRPr lang="en-GB" sz="18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Table'!$B$37</c:f>
              <c:strCache>
                <c:ptCount val="1"/>
                <c:pt idx="0">
                  <c:v>Total</c:v>
                </c:pt>
              </c:strCache>
            </c:strRef>
          </c:tx>
          <c:spPr>
            <a:solidFill>
              <a:schemeClr val="accent1"/>
            </a:solidFill>
            <a:ln>
              <a:noFill/>
            </a:ln>
            <a:effectLst/>
            <a:sp3d/>
          </c:spPr>
          <c:invertIfNegative val="0"/>
          <c:cat>
            <c:strRef>
              <c:f>'Pivot Table'!$A$38:$A$39</c:f>
              <c:strCache>
                <c:ptCount val="2"/>
                <c:pt idx="0">
                  <c:v>No</c:v>
                </c:pt>
                <c:pt idx="1">
                  <c:v>Yes</c:v>
                </c:pt>
              </c:strCache>
            </c:strRef>
          </c:cat>
          <c:val>
            <c:numRef>
              <c:f>'Pivot Table'!$B$38:$B$39</c:f>
              <c:numCache>
                <c:formatCode>General</c:formatCode>
                <c:ptCount val="2"/>
                <c:pt idx="0">
                  <c:v>12686204.050000006</c:v>
                </c:pt>
                <c:pt idx="1">
                  <c:v>49736219.449999928</c:v>
                </c:pt>
              </c:numCache>
            </c:numRef>
          </c:val>
          <c:extLst>
            <c:ext xmlns:c16="http://schemas.microsoft.com/office/drawing/2014/chart" uri="{C3380CC4-5D6E-409C-BE32-E72D297353CC}">
              <c16:uniqueId val="{00000000-0B4C-FD43-89B5-8C652686A7F7}"/>
            </c:ext>
          </c:extLst>
        </c:ser>
        <c:dLbls>
          <c:showLegendKey val="0"/>
          <c:showVal val="0"/>
          <c:showCatName val="0"/>
          <c:showSerName val="0"/>
          <c:showPercent val="0"/>
          <c:showBubbleSize val="0"/>
        </c:dLbls>
        <c:gapWidth val="150"/>
        <c:shape val="box"/>
        <c:axId val="1646875904"/>
        <c:axId val="1646872320"/>
        <c:axId val="0"/>
      </c:bar3DChart>
      <c:catAx>
        <c:axId val="1646875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72320"/>
        <c:crosses val="autoZero"/>
        <c:auto val="1"/>
        <c:lblAlgn val="ctr"/>
        <c:lblOffset val="100"/>
        <c:noMultiLvlLbl val="0"/>
      </c:catAx>
      <c:valAx>
        <c:axId val="164687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Fraud Detection.xlsx]Pivot Table!Fraud by Payment Method</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Fraud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c:f>
              <c:strCache>
                <c:ptCount val="1"/>
                <c:pt idx="0">
                  <c:v>Total</c:v>
                </c:pt>
              </c:strCache>
            </c:strRef>
          </c:tx>
          <c:spPr>
            <a:solidFill>
              <a:schemeClr val="accent1"/>
            </a:solidFill>
            <a:ln>
              <a:noFill/>
            </a:ln>
            <a:effectLst/>
          </c:spPr>
          <c:invertIfNegative val="0"/>
          <c:cat>
            <c:strRef>
              <c:f>'Pivot Table'!$A$53:$A$56</c:f>
              <c:strCache>
                <c:ptCount val="4"/>
                <c:pt idx="0">
                  <c:v>Credit Card</c:v>
                </c:pt>
                <c:pt idx="1">
                  <c:v>Debit Card</c:v>
                </c:pt>
                <c:pt idx="2">
                  <c:v>Net Banking</c:v>
                </c:pt>
                <c:pt idx="3">
                  <c:v>UPI</c:v>
                </c:pt>
              </c:strCache>
            </c:strRef>
          </c:cat>
          <c:val>
            <c:numRef>
              <c:f>'Pivot Table'!$B$53:$B$56</c:f>
              <c:numCache>
                <c:formatCode>General</c:formatCode>
                <c:ptCount val="4"/>
                <c:pt idx="0">
                  <c:v>411</c:v>
                </c:pt>
                <c:pt idx="1">
                  <c:v>445</c:v>
                </c:pt>
                <c:pt idx="2">
                  <c:v>428</c:v>
                </c:pt>
                <c:pt idx="3">
                  <c:v>442</c:v>
                </c:pt>
              </c:numCache>
            </c:numRef>
          </c:val>
          <c:extLst>
            <c:ext xmlns:c16="http://schemas.microsoft.com/office/drawing/2014/chart" uri="{C3380CC4-5D6E-409C-BE32-E72D297353CC}">
              <c16:uniqueId val="{00000000-28B2-2341-8031-136CF51BFDE0}"/>
            </c:ext>
          </c:extLst>
        </c:ser>
        <c:dLbls>
          <c:showLegendKey val="0"/>
          <c:showVal val="0"/>
          <c:showCatName val="0"/>
          <c:showSerName val="0"/>
          <c:showPercent val="0"/>
          <c:showBubbleSize val="0"/>
        </c:dLbls>
        <c:gapWidth val="182"/>
        <c:axId val="283148287"/>
        <c:axId val="1912629760"/>
      </c:barChart>
      <c:catAx>
        <c:axId val="28314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29760"/>
        <c:crosses val="autoZero"/>
        <c:auto val="1"/>
        <c:lblAlgn val="ctr"/>
        <c:lblOffset val="100"/>
        <c:noMultiLvlLbl val="0"/>
      </c:catAx>
      <c:valAx>
        <c:axId val="1912629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14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Fraud Detection.xlsx]Pivot Table!Risk Category Distribution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latin typeface="Calibri" panose="020F0502020204030204" pitchFamily="34" charset="0"/>
                <a:cs typeface="Calibri" panose="020F0502020204030204" pitchFamily="34" charset="0"/>
              </a:rPr>
              <a:t>Risk</a:t>
            </a:r>
            <a:r>
              <a:rPr lang="en-GB" sz="1800" b="1" baseline="0">
                <a:latin typeface="Calibri" panose="020F0502020204030204" pitchFamily="34" charset="0"/>
                <a:cs typeface="Calibri" panose="020F0502020204030204" pitchFamily="34" charset="0"/>
              </a:rPr>
              <a:t> Category Distribution</a:t>
            </a:r>
            <a:endParaRPr lang="en-GB" sz="18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Table'!$B$71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C9-7C48-A686-9B5DB4C93DB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C9-7C48-A686-9B5DB4C93DB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C9-7C48-A686-9B5DB4C93DBD}"/>
              </c:ext>
            </c:extLst>
          </c:dPt>
          <c:cat>
            <c:strRef>
              <c:f>'Pivot Table'!$A$72:$A$74</c:f>
              <c:strCache>
                <c:ptCount val="3"/>
                <c:pt idx="0">
                  <c:v>High</c:v>
                </c:pt>
                <c:pt idx="1">
                  <c:v>Low</c:v>
                </c:pt>
                <c:pt idx="2">
                  <c:v>Med</c:v>
                </c:pt>
              </c:strCache>
            </c:strRef>
          </c:cat>
          <c:val>
            <c:numRef>
              <c:f>'Pivot Table'!$B$72:$B$74</c:f>
              <c:numCache>
                <c:formatCode>General</c:formatCode>
                <c:ptCount val="3"/>
                <c:pt idx="0">
                  <c:v>747</c:v>
                </c:pt>
                <c:pt idx="1">
                  <c:v>774</c:v>
                </c:pt>
                <c:pt idx="2">
                  <c:v>979</c:v>
                </c:pt>
              </c:numCache>
            </c:numRef>
          </c:val>
          <c:extLst>
            <c:ext xmlns:c16="http://schemas.microsoft.com/office/drawing/2014/chart" uri="{C3380CC4-5D6E-409C-BE32-E72D297353CC}">
              <c16:uniqueId val="{00000006-77C9-7C48-A686-9B5DB4C93DB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Fraud Detection.xlsx]Pivot Table!Fraud by Location ,Trsn type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a:latin typeface="Calibri" panose="020F0502020204030204" pitchFamily="34" charset="0"/>
                <a:cs typeface="Calibri" panose="020F0502020204030204" pitchFamily="34" charset="0"/>
              </a:rPr>
              <a:t>Fraud</a:t>
            </a:r>
            <a:r>
              <a:rPr lang="en-GB" sz="1800" b="1" baseline="0">
                <a:latin typeface="Calibri" panose="020F0502020204030204" pitchFamily="34" charset="0"/>
                <a:cs typeface="Calibri" panose="020F0502020204030204" pitchFamily="34" charset="0"/>
              </a:rPr>
              <a:t> by Location &amp; Transaction Type</a:t>
            </a:r>
            <a:endParaRPr lang="en-GB" sz="18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Table'!$B$91:$B$92</c:f>
              <c:strCache>
                <c:ptCount val="1"/>
                <c:pt idx="0">
                  <c:v>ATM</c:v>
                </c:pt>
              </c:strCache>
            </c:strRef>
          </c:tx>
          <c:spPr>
            <a:solidFill>
              <a:schemeClr val="accent1"/>
            </a:solidFill>
            <a:ln>
              <a:noFill/>
            </a:ln>
            <a:effectLst/>
          </c:spPr>
          <c:invertIfNegative val="0"/>
          <c:cat>
            <c:strRef>
              <c:f>'Pivot Table'!$A$93:$A$97</c:f>
              <c:strCache>
                <c:ptCount val="5"/>
                <c:pt idx="0">
                  <c:v>Delhi</c:v>
                </c:pt>
                <c:pt idx="1">
                  <c:v>Karnataka</c:v>
                </c:pt>
                <c:pt idx="2">
                  <c:v>Kerala</c:v>
                </c:pt>
                <c:pt idx="3">
                  <c:v>Maharashtra</c:v>
                </c:pt>
                <c:pt idx="4">
                  <c:v>Tamil Nadu</c:v>
                </c:pt>
              </c:strCache>
            </c:strRef>
          </c:cat>
          <c:val>
            <c:numRef>
              <c:f>'Pivot Table'!$B$93:$B$97</c:f>
              <c:numCache>
                <c:formatCode>General</c:formatCode>
                <c:ptCount val="5"/>
                <c:pt idx="0">
                  <c:v>87</c:v>
                </c:pt>
                <c:pt idx="1">
                  <c:v>75</c:v>
                </c:pt>
                <c:pt idx="2">
                  <c:v>94</c:v>
                </c:pt>
                <c:pt idx="3">
                  <c:v>78</c:v>
                </c:pt>
                <c:pt idx="4">
                  <c:v>99</c:v>
                </c:pt>
              </c:numCache>
            </c:numRef>
          </c:val>
          <c:extLst>
            <c:ext xmlns:c16="http://schemas.microsoft.com/office/drawing/2014/chart" uri="{C3380CC4-5D6E-409C-BE32-E72D297353CC}">
              <c16:uniqueId val="{00000000-3693-B24F-8811-9BCF4634BE5C}"/>
            </c:ext>
          </c:extLst>
        </c:ser>
        <c:ser>
          <c:idx val="1"/>
          <c:order val="1"/>
          <c:tx>
            <c:strRef>
              <c:f>'Pivot Table'!$C$91:$C$92</c:f>
              <c:strCache>
                <c:ptCount val="1"/>
                <c:pt idx="0">
                  <c:v>Bank Transfer</c:v>
                </c:pt>
              </c:strCache>
            </c:strRef>
          </c:tx>
          <c:spPr>
            <a:solidFill>
              <a:schemeClr val="accent2"/>
            </a:solidFill>
            <a:ln>
              <a:noFill/>
            </a:ln>
            <a:effectLst/>
          </c:spPr>
          <c:invertIfNegative val="0"/>
          <c:cat>
            <c:strRef>
              <c:f>'Pivot Table'!$A$93:$A$97</c:f>
              <c:strCache>
                <c:ptCount val="5"/>
                <c:pt idx="0">
                  <c:v>Delhi</c:v>
                </c:pt>
                <c:pt idx="1">
                  <c:v>Karnataka</c:v>
                </c:pt>
                <c:pt idx="2">
                  <c:v>Kerala</c:v>
                </c:pt>
                <c:pt idx="3">
                  <c:v>Maharashtra</c:v>
                </c:pt>
                <c:pt idx="4">
                  <c:v>Tamil Nadu</c:v>
                </c:pt>
              </c:strCache>
            </c:strRef>
          </c:cat>
          <c:val>
            <c:numRef>
              <c:f>'Pivot Table'!$C$93:$C$97</c:f>
              <c:numCache>
                <c:formatCode>General</c:formatCode>
                <c:ptCount val="5"/>
                <c:pt idx="0">
                  <c:v>88</c:v>
                </c:pt>
                <c:pt idx="1">
                  <c:v>83</c:v>
                </c:pt>
                <c:pt idx="2">
                  <c:v>88</c:v>
                </c:pt>
                <c:pt idx="3">
                  <c:v>101</c:v>
                </c:pt>
                <c:pt idx="4">
                  <c:v>95</c:v>
                </c:pt>
              </c:numCache>
            </c:numRef>
          </c:val>
          <c:extLst>
            <c:ext xmlns:c16="http://schemas.microsoft.com/office/drawing/2014/chart" uri="{C3380CC4-5D6E-409C-BE32-E72D297353CC}">
              <c16:uniqueId val="{00000001-3693-B24F-8811-9BCF4634BE5C}"/>
            </c:ext>
          </c:extLst>
        </c:ser>
        <c:ser>
          <c:idx val="2"/>
          <c:order val="2"/>
          <c:tx>
            <c:strRef>
              <c:f>'Pivot Table'!$D$91:$D$92</c:f>
              <c:strCache>
                <c:ptCount val="1"/>
                <c:pt idx="0">
                  <c:v>Online</c:v>
                </c:pt>
              </c:strCache>
            </c:strRef>
          </c:tx>
          <c:spPr>
            <a:solidFill>
              <a:schemeClr val="accent3"/>
            </a:solidFill>
            <a:ln>
              <a:noFill/>
            </a:ln>
            <a:effectLst/>
          </c:spPr>
          <c:invertIfNegative val="0"/>
          <c:cat>
            <c:strRef>
              <c:f>'Pivot Table'!$A$93:$A$97</c:f>
              <c:strCache>
                <c:ptCount val="5"/>
                <c:pt idx="0">
                  <c:v>Delhi</c:v>
                </c:pt>
                <c:pt idx="1">
                  <c:v>Karnataka</c:v>
                </c:pt>
                <c:pt idx="2">
                  <c:v>Kerala</c:v>
                </c:pt>
                <c:pt idx="3">
                  <c:v>Maharashtra</c:v>
                </c:pt>
                <c:pt idx="4">
                  <c:v>Tamil Nadu</c:v>
                </c:pt>
              </c:strCache>
            </c:strRef>
          </c:cat>
          <c:val>
            <c:numRef>
              <c:f>'Pivot Table'!$D$93:$D$97</c:f>
              <c:numCache>
                <c:formatCode>General</c:formatCode>
                <c:ptCount val="5"/>
                <c:pt idx="0">
                  <c:v>95</c:v>
                </c:pt>
                <c:pt idx="1">
                  <c:v>82</c:v>
                </c:pt>
                <c:pt idx="2">
                  <c:v>86</c:v>
                </c:pt>
                <c:pt idx="3">
                  <c:v>91</c:v>
                </c:pt>
                <c:pt idx="4">
                  <c:v>87</c:v>
                </c:pt>
              </c:numCache>
            </c:numRef>
          </c:val>
          <c:extLst>
            <c:ext xmlns:c16="http://schemas.microsoft.com/office/drawing/2014/chart" uri="{C3380CC4-5D6E-409C-BE32-E72D297353CC}">
              <c16:uniqueId val="{00000002-3693-B24F-8811-9BCF4634BE5C}"/>
            </c:ext>
          </c:extLst>
        </c:ser>
        <c:ser>
          <c:idx val="3"/>
          <c:order val="3"/>
          <c:tx>
            <c:strRef>
              <c:f>'Pivot Table'!$E$91:$E$92</c:f>
              <c:strCache>
                <c:ptCount val="1"/>
                <c:pt idx="0">
                  <c:v>POS</c:v>
                </c:pt>
              </c:strCache>
            </c:strRef>
          </c:tx>
          <c:spPr>
            <a:solidFill>
              <a:schemeClr val="accent4"/>
            </a:solidFill>
            <a:ln>
              <a:noFill/>
            </a:ln>
            <a:effectLst/>
          </c:spPr>
          <c:invertIfNegative val="0"/>
          <c:cat>
            <c:strRef>
              <c:f>'Pivot Table'!$A$93:$A$97</c:f>
              <c:strCache>
                <c:ptCount val="5"/>
                <c:pt idx="0">
                  <c:v>Delhi</c:v>
                </c:pt>
                <c:pt idx="1">
                  <c:v>Karnataka</c:v>
                </c:pt>
                <c:pt idx="2">
                  <c:v>Kerala</c:v>
                </c:pt>
                <c:pt idx="3">
                  <c:v>Maharashtra</c:v>
                </c:pt>
                <c:pt idx="4">
                  <c:v>Tamil Nadu</c:v>
                </c:pt>
              </c:strCache>
            </c:strRef>
          </c:cat>
          <c:val>
            <c:numRef>
              <c:f>'Pivot Table'!$E$93:$E$97</c:f>
              <c:numCache>
                <c:formatCode>General</c:formatCode>
                <c:ptCount val="5"/>
                <c:pt idx="0">
                  <c:v>95</c:v>
                </c:pt>
                <c:pt idx="1">
                  <c:v>78</c:v>
                </c:pt>
                <c:pt idx="2">
                  <c:v>76</c:v>
                </c:pt>
                <c:pt idx="3">
                  <c:v>65</c:v>
                </c:pt>
                <c:pt idx="4">
                  <c:v>83</c:v>
                </c:pt>
              </c:numCache>
            </c:numRef>
          </c:val>
          <c:extLst>
            <c:ext xmlns:c16="http://schemas.microsoft.com/office/drawing/2014/chart" uri="{C3380CC4-5D6E-409C-BE32-E72D297353CC}">
              <c16:uniqueId val="{00000003-3693-B24F-8811-9BCF4634BE5C}"/>
            </c:ext>
          </c:extLst>
        </c:ser>
        <c:dLbls>
          <c:showLegendKey val="0"/>
          <c:showVal val="0"/>
          <c:showCatName val="0"/>
          <c:showSerName val="0"/>
          <c:showPercent val="0"/>
          <c:showBubbleSize val="0"/>
        </c:dLbls>
        <c:gapWidth val="219"/>
        <c:overlap val="-27"/>
        <c:axId val="1646880832"/>
        <c:axId val="1609913152"/>
      </c:barChart>
      <c:catAx>
        <c:axId val="16468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913152"/>
        <c:crosses val="autoZero"/>
        <c:auto val="1"/>
        <c:lblAlgn val="ctr"/>
        <c:lblOffset val="100"/>
        <c:noMultiLvlLbl val="0"/>
      </c:catAx>
      <c:valAx>
        <c:axId val="160991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8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[Financial Fraud Detection.xlsx]Pivot Table!Fraud by Transaction Type</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Fraud by Transaction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1343E-3"/>
              <c:y val="-0.3705357142857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8479532163742687E-3"/>
              <c:y val="-0.3080357142857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2419E-3"/>
              <c:y val="-0.33482142857142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2419E-3"/>
              <c:y val="-0.1741071428571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8479532163742687E-3"/>
              <c:y val="-0.3080357142857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1343E-3"/>
              <c:y val="-0.3705357142857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2419E-3"/>
              <c:y val="-0.33482142857142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2419E-3"/>
              <c:y val="-0.1741071428571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5.8479532163742687E-3"/>
              <c:y val="-0.3080357142857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1343E-3"/>
              <c:y val="-0.3705357142857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2419E-3"/>
              <c:y val="-0.33482142857142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2.9239766081872419E-3"/>
              <c:y val="-0.1741071428571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Table'!$B$111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s>
            <c:dLbl>
              <c:idx val="0"/>
              <c:layout>
                <c:manualLayout>
                  <c:x val="5.8479532163742687E-3"/>
                  <c:y val="-0.3080357142857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3C-E841-8F09-B1AF29A0DBD9}"/>
                </c:ext>
              </c:extLst>
            </c:dLbl>
            <c:dLbl>
              <c:idx val="1"/>
              <c:layout>
                <c:manualLayout>
                  <c:x val="2.9239766081871343E-3"/>
                  <c:y val="-0.3705357142857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3C-E841-8F09-B1AF29A0DBD9}"/>
                </c:ext>
              </c:extLst>
            </c:dLbl>
            <c:dLbl>
              <c:idx val="2"/>
              <c:layout>
                <c:manualLayout>
                  <c:x val="-2.9239766081872419E-3"/>
                  <c:y val="-0.33482142857142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3C-E841-8F09-B1AF29A0DBD9}"/>
                </c:ext>
              </c:extLst>
            </c:dLbl>
            <c:dLbl>
              <c:idx val="3"/>
              <c:layout>
                <c:manualLayout>
                  <c:x val="-2.9239766081872419E-3"/>
                  <c:y val="-0.17410714285714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3C-E841-8F09-B1AF29A0DB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Table'!$A$112:$A$115</c:f>
              <c:strCache>
                <c:ptCount val="4"/>
                <c:pt idx="0">
                  <c:v>ATM</c:v>
                </c:pt>
                <c:pt idx="1">
                  <c:v>Bank Transfer</c:v>
                </c:pt>
                <c:pt idx="2">
                  <c:v>Online</c:v>
                </c:pt>
                <c:pt idx="3">
                  <c:v>POS</c:v>
                </c:pt>
              </c:strCache>
            </c:strRef>
          </c:cat>
          <c:val>
            <c:numRef>
              <c:f>'Pivot Table'!$B$112:$B$115</c:f>
              <c:numCache>
                <c:formatCode>General</c:formatCode>
                <c:ptCount val="4"/>
                <c:pt idx="0">
                  <c:v>433</c:v>
                </c:pt>
                <c:pt idx="1">
                  <c:v>455</c:v>
                </c:pt>
                <c:pt idx="2">
                  <c:v>441</c:v>
                </c:pt>
                <c:pt idx="3">
                  <c:v>397</c:v>
                </c:pt>
              </c:numCache>
            </c:numRef>
          </c:val>
          <c:extLst>
            <c:ext xmlns:c16="http://schemas.microsoft.com/office/drawing/2014/chart" uri="{C3380CC4-5D6E-409C-BE32-E72D297353CC}">
              <c16:uniqueId val="{00000004-C53C-E841-8F09-B1AF29A0DBD9}"/>
            </c:ext>
          </c:extLst>
        </c:ser>
        <c:dLbls>
          <c:showLegendKey val="0"/>
          <c:showVal val="1"/>
          <c:showCatName val="0"/>
          <c:showSerName val="0"/>
          <c:showPercent val="0"/>
          <c:showBubbleSize val="0"/>
        </c:dLbls>
        <c:axId val="1609914048"/>
        <c:axId val="1615949184"/>
      </c:areaChart>
      <c:catAx>
        <c:axId val="16099140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5949184"/>
        <c:crosses val="autoZero"/>
        <c:auto val="1"/>
        <c:lblAlgn val="ctr"/>
        <c:lblOffset val="100"/>
        <c:noMultiLvlLbl val="0"/>
      </c:catAx>
      <c:valAx>
        <c:axId val="161594918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9914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title pos="t" align="ctr" overlay="0">
      <cx:tx>
        <cx:txData>
          <cx:v>Fraud by Payment Method</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75000"/>
                  <a:lumOff val="25000"/>
                </a:sysClr>
              </a:solidFill>
              <a:latin typeface="Aptos Narrow"/>
            </a:rPr>
            <a:t>Fraud by Payment Method</a:t>
          </a:r>
        </a:p>
      </cx:txPr>
    </cx:title>
    <cx:plotArea>
      <cx:plotAreaRegion>
        <cx:series layoutId="treemap" uniqueId="{525F7FA0-048E-5642-9027-980276FA4C89}">
          <cx:spPr>
            <a:ln>
              <a:solidFill>
                <a:schemeClr val="accent1">
                  <a:lumMod val="50000"/>
                </a:schemeClr>
              </a:solidFill>
            </a:ln>
          </cx:spPr>
          <cx:dataPt idx="0">
            <cx:spPr>
              <a:solidFill>
                <a:srgbClr val="156082">
                  <a:lumMod val="50000"/>
                </a:srgbClr>
              </a:solidFill>
              <a:ln>
                <a:solidFill>
                  <a:srgbClr val="156082">
                    <a:lumMod val="50000"/>
                  </a:srgbClr>
                </a:solidFill>
              </a:ln>
            </cx:spPr>
          </cx:dataPt>
          <cx:dataPt idx="1">
            <cx:spPr>
              <a:solidFill>
                <a:srgbClr val="0E2841">
                  <a:lumMod val="75000"/>
                  <a:lumOff val="25000"/>
                </a:srgbClr>
              </a:solidFill>
              <a:ln>
                <a:solidFill>
                  <a:srgbClr val="156082">
                    <a:lumMod val="75000"/>
                  </a:srgbClr>
                </a:solidFill>
              </a:ln>
            </cx:spPr>
          </cx:dataPt>
          <cx:dataPt idx="2">
            <cx:spPr>
              <a:solidFill>
                <a:srgbClr val="0E2841">
                  <a:lumMod val="50000"/>
                  <a:lumOff val="50000"/>
                </a:srgbClr>
              </a:solidFill>
              <a:ln>
                <a:solidFill>
                  <a:srgbClr val="156082">
                    <a:lumMod val="50000"/>
                  </a:srgbClr>
                </a:solidFill>
              </a:ln>
            </cx:spPr>
          </cx:dataPt>
          <cx:dataPt idx="3">
            <cx:spPr>
              <a:solidFill>
                <a:srgbClr val="156082">
                  <a:lumMod val="40000"/>
                  <a:lumOff val="60000"/>
                </a:srgbClr>
              </a:solidFill>
              <a:ln>
                <a:solidFill>
                  <a:srgbClr val="156082">
                    <a:lumMod val="50000"/>
                  </a:srgbClr>
                </a:solidFill>
              </a:ln>
            </cx:spPr>
          </cx:dataPt>
          <cx:dataLabels pos="inEnd">
            <cx:visibility seriesName="0" categoryName="1" value="1"/>
            <cx:separator>, </cx:separator>
            <cx:dataLabel idx="0">
              <cx:visibility seriesName="0" categoryName="1" value="1"/>
              <cx:separator>
</cx:separator>
            </cx:dataLabel>
            <cx:dataLabel idx="1">
              <cx:visibility seriesName="0" categoryName="1" value="1"/>
              <cx:separator>
</cx:separator>
            </cx:dataLabel>
            <cx:dataLabel idx="2">
              <cx:visibility seriesName="0" categoryName="1" value="1"/>
              <cx:separator>
</cx:separator>
            </cx:dataLabel>
            <cx:dataLabel idx="3">
              <cx:visibility seriesName="0" categoryName="1" value="1"/>
              <cx:separator>
</cx:separator>
            </cx:dataLabel>
          </cx:dataLabels>
          <cx:dataId val="0"/>
          <cx:layoutPr>
            <cx:parentLabelLayout val="overlapping"/>
          </cx:layoutPr>
        </cx:series>
      </cx:plotAreaRegion>
    </cx:plotArea>
    <cx:legend pos="r" align="ctr" overlay="0"/>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88900</xdr:rowOff>
    </xdr:from>
    <xdr:to>
      <xdr:col>11</xdr:col>
      <xdr:colOff>330200</xdr:colOff>
      <xdr:row>13</xdr:row>
      <xdr:rowOff>114300</xdr:rowOff>
    </xdr:to>
    <xdr:graphicFrame macro="">
      <xdr:nvGraphicFramePr>
        <xdr:cNvPr id="9" name="Chart 8">
          <a:extLst>
            <a:ext uri="{FF2B5EF4-FFF2-40B4-BE49-F238E27FC236}">
              <a16:creationId xmlns:a16="http://schemas.microsoft.com/office/drawing/2014/main" id="{F38641A5-272D-AF44-A44C-ACB0F95B1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584200</xdr:colOff>
      <xdr:row>193</xdr:row>
      <xdr:rowOff>158750</xdr:rowOff>
    </xdr:from>
    <xdr:to>
      <xdr:col>14</xdr:col>
      <xdr:colOff>0</xdr:colOff>
      <xdr:row>200</xdr:row>
      <xdr:rowOff>184150</xdr:rowOff>
    </xdr:to>
    <mc:AlternateContent xmlns:mc="http://schemas.openxmlformats.org/markup-compatibility/2006">
      <mc:Choice xmlns:a14="http://schemas.microsoft.com/office/drawing/2010/main" Requires="a14">
        <xdr:graphicFrame macro="">
          <xdr:nvGraphicFramePr>
            <xdr:cNvPr id="35" name="Transaction_Type 1">
              <a:extLst>
                <a:ext uri="{FF2B5EF4-FFF2-40B4-BE49-F238E27FC236}">
                  <a16:creationId xmlns:a16="http://schemas.microsoft.com/office/drawing/2014/main" id="{627E49D1-642A-ED42-A0A2-2656A1227B85}"/>
                </a:ext>
              </a:extLst>
            </xdr:cNvPr>
            <xdr:cNvGraphicFramePr/>
          </xdr:nvGraphicFramePr>
          <xdr:xfrm>
            <a:off x="0" y="0"/>
            <a:ext cx="0" cy="0"/>
          </xdr:xfrm>
          <a:graphic>
            <a:graphicData uri="http://schemas.microsoft.com/office/drawing/2010/slicer">
              <sle:slicer xmlns:sle="http://schemas.microsoft.com/office/drawing/2010/slicer" name="Transaction_Type 1"/>
            </a:graphicData>
          </a:graphic>
        </xdr:graphicFrame>
      </mc:Choice>
      <mc:Fallback>
        <xdr:sp macro="" textlink="">
          <xdr:nvSpPr>
            <xdr:cNvPr id="0" name=""/>
            <xdr:cNvSpPr>
              <a:spLocks noTextEdit="1"/>
            </xdr:cNvSpPr>
          </xdr:nvSpPr>
          <xdr:spPr>
            <a:xfrm>
              <a:off x="13449300" y="40062150"/>
              <a:ext cx="12827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218</xdr:row>
      <xdr:rowOff>82550</xdr:rowOff>
    </xdr:from>
    <xdr:to>
      <xdr:col>6</xdr:col>
      <xdr:colOff>850900</xdr:colOff>
      <xdr:row>233</xdr:row>
      <xdr:rowOff>120650</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74C79399-4A0F-9943-805D-670BE6DF61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90800" y="44557950"/>
              <a:ext cx="5080000" cy="30861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381000</xdr:colOff>
      <xdr:row>218</xdr:row>
      <xdr:rowOff>19050</xdr:rowOff>
    </xdr:from>
    <xdr:to>
      <xdr:col>11</xdr:col>
      <xdr:colOff>330200</xdr:colOff>
      <xdr:row>231</xdr:row>
      <xdr:rowOff>120650</xdr:rowOff>
    </xdr:to>
    <xdr:graphicFrame macro="">
      <xdr:nvGraphicFramePr>
        <xdr:cNvPr id="39" name="Chart 38">
          <a:extLst>
            <a:ext uri="{FF2B5EF4-FFF2-40B4-BE49-F238E27FC236}">
              <a16:creationId xmlns:a16="http://schemas.microsoft.com/office/drawing/2014/main" id="{374573FF-A629-B540-B694-06E6B24A3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482600</xdr:colOff>
      <xdr:row>231</xdr:row>
      <xdr:rowOff>63500</xdr:rowOff>
    </xdr:from>
    <xdr:to>
      <xdr:col>10</xdr:col>
      <xdr:colOff>1587500</xdr:colOff>
      <xdr:row>238</xdr:row>
      <xdr:rowOff>152400</xdr:rowOff>
    </xdr:to>
    <mc:AlternateContent xmlns:mc="http://schemas.openxmlformats.org/markup-compatibility/2006">
      <mc:Choice xmlns:a14="http://schemas.microsoft.com/office/drawing/2010/main" Requires="a14">
        <xdr:graphicFrame macro="">
          <xdr:nvGraphicFramePr>
            <xdr:cNvPr id="53" name="Month">
              <a:extLst>
                <a:ext uri="{FF2B5EF4-FFF2-40B4-BE49-F238E27FC236}">
                  <a16:creationId xmlns:a16="http://schemas.microsoft.com/office/drawing/2014/main" id="{0AC289F8-43CF-0C49-A798-49DABD37F1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013700" y="47688500"/>
              <a:ext cx="3048000" cy="151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25400</xdr:colOff>
      <xdr:row>18</xdr:row>
      <xdr:rowOff>25400</xdr:rowOff>
    </xdr:from>
    <xdr:to>
      <xdr:col>11</xdr:col>
      <xdr:colOff>419100</xdr:colOff>
      <xdr:row>31</xdr:row>
      <xdr:rowOff>25400</xdr:rowOff>
    </xdr:to>
    <xdr:graphicFrame macro="">
      <xdr:nvGraphicFramePr>
        <xdr:cNvPr id="54" name="Chart 53">
          <a:extLst>
            <a:ext uri="{FF2B5EF4-FFF2-40B4-BE49-F238E27FC236}">
              <a16:creationId xmlns:a16="http://schemas.microsoft.com/office/drawing/2014/main" id="{D5638562-A5CE-0041-85DC-9844E252B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12700</xdr:colOff>
      <xdr:row>35</xdr:row>
      <xdr:rowOff>12700</xdr:rowOff>
    </xdr:from>
    <xdr:to>
      <xdr:col>11</xdr:col>
      <xdr:colOff>431800</xdr:colOff>
      <xdr:row>48</xdr:row>
      <xdr:rowOff>12700</xdr:rowOff>
    </xdr:to>
    <xdr:graphicFrame macro="">
      <xdr:nvGraphicFramePr>
        <xdr:cNvPr id="55" name="Chart 54">
          <a:extLst>
            <a:ext uri="{FF2B5EF4-FFF2-40B4-BE49-F238E27FC236}">
              <a16:creationId xmlns:a16="http://schemas.microsoft.com/office/drawing/2014/main" id="{E7E5004B-C12A-3A43-A960-D63018ED7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25400</xdr:colOff>
      <xdr:row>50</xdr:row>
      <xdr:rowOff>12700</xdr:rowOff>
    </xdr:from>
    <xdr:to>
      <xdr:col>11</xdr:col>
      <xdr:colOff>406400</xdr:colOff>
      <xdr:row>63</xdr:row>
      <xdr:rowOff>12700</xdr:rowOff>
    </xdr:to>
    <xdr:graphicFrame macro="">
      <xdr:nvGraphicFramePr>
        <xdr:cNvPr id="56" name="Chart 55">
          <a:extLst>
            <a:ext uri="{FF2B5EF4-FFF2-40B4-BE49-F238E27FC236}">
              <a16:creationId xmlns:a16="http://schemas.microsoft.com/office/drawing/2014/main" id="{E12F35C8-0AD1-934B-8843-918556217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69</xdr:row>
      <xdr:rowOff>0</xdr:rowOff>
    </xdr:from>
    <xdr:to>
      <xdr:col>11</xdr:col>
      <xdr:colOff>368300</xdr:colOff>
      <xdr:row>81</xdr:row>
      <xdr:rowOff>101600</xdr:rowOff>
    </xdr:to>
    <xdr:graphicFrame macro="">
      <xdr:nvGraphicFramePr>
        <xdr:cNvPr id="57" name="Chart 56">
          <a:extLst>
            <a:ext uri="{FF2B5EF4-FFF2-40B4-BE49-F238E27FC236}">
              <a16:creationId xmlns:a16="http://schemas.microsoft.com/office/drawing/2014/main" id="{BFEFAD8F-79EE-1243-8316-F1C98334F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90</xdr:row>
      <xdr:rowOff>0</xdr:rowOff>
    </xdr:from>
    <xdr:to>
      <xdr:col>11</xdr:col>
      <xdr:colOff>241300</xdr:colOff>
      <xdr:row>103</xdr:row>
      <xdr:rowOff>101600</xdr:rowOff>
    </xdr:to>
    <xdr:graphicFrame macro="">
      <xdr:nvGraphicFramePr>
        <xdr:cNvPr id="60" name="Chart 59">
          <a:extLst>
            <a:ext uri="{FF2B5EF4-FFF2-40B4-BE49-F238E27FC236}">
              <a16:creationId xmlns:a16="http://schemas.microsoft.com/office/drawing/2014/main" id="{FECB4BE5-794F-D246-A841-9B73D54F4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109</xdr:row>
      <xdr:rowOff>0</xdr:rowOff>
    </xdr:from>
    <xdr:to>
      <xdr:col>10</xdr:col>
      <xdr:colOff>1320800</xdr:colOff>
      <xdr:row>122</xdr:row>
      <xdr:rowOff>101600</xdr:rowOff>
    </xdr:to>
    <xdr:graphicFrame macro="">
      <xdr:nvGraphicFramePr>
        <xdr:cNvPr id="61" name="Chart 60">
          <a:extLst>
            <a:ext uri="{FF2B5EF4-FFF2-40B4-BE49-F238E27FC236}">
              <a16:creationId xmlns:a16="http://schemas.microsoft.com/office/drawing/2014/main" id="{17AF9E0F-AB9F-5B41-B1A7-647AB2C3B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139</xdr:row>
      <xdr:rowOff>0</xdr:rowOff>
    </xdr:from>
    <xdr:to>
      <xdr:col>1</xdr:col>
      <xdr:colOff>1270000</xdr:colOff>
      <xdr:row>147</xdr:row>
      <xdr:rowOff>139700</xdr:rowOff>
    </xdr:to>
    <mc:AlternateContent xmlns:mc="http://schemas.openxmlformats.org/markup-compatibility/2006">
      <mc:Choice xmlns:a14="http://schemas.microsoft.com/office/drawing/2010/main" Requires="a14">
        <xdr:graphicFrame macro="">
          <xdr:nvGraphicFramePr>
            <xdr:cNvPr id="62" name="Customer_Location">
              <a:extLst>
                <a:ext uri="{FF2B5EF4-FFF2-40B4-BE49-F238E27FC236}">
                  <a16:creationId xmlns:a16="http://schemas.microsoft.com/office/drawing/2014/main" id="{1DF6D18E-66FF-4F48-8DA9-A54C605F43D8}"/>
                </a:ext>
              </a:extLst>
            </xdr:cNvPr>
            <xdr:cNvGraphicFramePr/>
          </xdr:nvGraphicFramePr>
          <xdr:xfrm>
            <a:off x="0" y="0"/>
            <a:ext cx="0" cy="0"/>
          </xdr:xfrm>
          <a:graphic>
            <a:graphicData uri="http://schemas.microsoft.com/office/drawing/2010/slicer">
              <sle:slicer xmlns:sle="http://schemas.microsoft.com/office/drawing/2010/slicer" name="Customer_Location"/>
            </a:graphicData>
          </a:graphic>
        </xdr:graphicFrame>
      </mc:Choice>
      <mc:Fallback>
        <xdr:sp macro="" textlink="">
          <xdr:nvSpPr>
            <xdr:cNvPr id="0" name=""/>
            <xdr:cNvSpPr>
              <a:spLocks noTextEdit="1"/>
            </xdr:cNvSpPr>
          </xdr:nvSpPr>
          <xdr:spPr>
            <a:xfrm>
              <a:off x="0" y="28930600"/>
              <a:ext cx="2260600" cy="1765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139</xdr:row>
      <xdr:rowOff>0</xdr:rowOff>
    </xdr:from>
    <xdr:to>
      <xdr:col>6</xdr:col>
      <xdr:colOff>215900</xdr:colOff>
      <xdr:row>146</xdr:row>
      <xdr:rowOff>25400</xdr:rowOff>
    </xdr:to>
    <mc:AlternateContent xmlns:mc="http://schemas.openxmlformats.org/markup-compatibility/2006">
      <mc:Choice xmlns:a14="http://schemas.microsoft.com/office/drawing/2010/main" Requires="a14">
        <xdr:graphicFrame macro="">
          <xdr:nvGraphicFramePr>
            <xdr:cNvPr id="63" name="Transaction_Type">
              <a:extLst>
                <a:ext uri="{FF2B5EF4-FFF2-40B4-BE49-F238E27FC236}">
                  <a16:creationId xmlns:a16="http://schemas.microsoft.com/office/drawing/2014/main" id="{1B3B1B28-70D5-E749-B96C-E4B2E49FE043}"/>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dr:sp macro="" textlink="">
          <xdr:nvSpPr>
            <xdr:cNvPr id="0" name=""/>
            <xdr:cNvSpPr>
              <a:spLocks noTextEdit="1"/>
            </xdr:cNvSpPr>
          </xdr:nvSpPr>
          <xdr:spPr>
            <a:xfrm>
              <a:off x="3810000" y="28930600"/>
              <a:ext cx="18669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139</xdr:row>
      <xdr:rowOff>0</xdr:rowOff>
    </xdr:from>
    <xdr:to>
      <xdr:col>8</xdr:col>
      <xdr:colOff>203200</xdr:colOff>
      <xdr:row>145</xdr:row>
      <xdr:rowOff>50800</xdr:rowOff>
    </xdr:to>
    <mc:AlternateContent xmlns:mc="http://schemas.openxmlformats.org/markup-compatibility/2006">
      <mc:Choice xmlns:a14="http://schemas.microsoft.com/office/drawing/2010/main" Requires="a14">
        <xdr:graphicFrame macro="">
          <xdr:nvGraphicFramePr>
            <xdr:cNvPr id="64" name="Risk Category">
              <a:extLst>
                <a:ext uri="{FF2B5EF4-FFF2-40B4-BE49-F238E27FC236}">
                  <a16:creationId xmlns:a16="http://schemas.microsoft.com/office/drawing/2014/main" id="{59331EBA-4C6E-D542-BC7E-946A3A6E7637}"/>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6451600" y="28930600"/>
              <a:ext cx="12827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139</xdr:row>
      <xdr:rowOff>0</xdr:rowOff>
    </xdr:from>
    <xdr:to>
      <xdr:col>10</xdr:col>
      <xdr:colOff>876300</xdr:colOff>
      <xdr:row>146</xdr:row>
      <xdr:rowOff>127000</xdr:rowOff>
    </xdr:to>
    <mc:AlternateContent xmlns:mc="http://schemas.openxmlformats.org/markup-compatibility/2006">
      <mc:Choice xmlns:a14="http://schemas.microsoft.com/office/drawing/2010/main" Requires="a14">
        <xdr:graphicFrame macro="">
          <xdr:nvGraphicFramePr>
            <xdr:cNvPr id="65" name="Payment_Method">
              <a:extLst>
                <a:ext uri="{FF2B5EF4-FFF2-40B4-BE49-F238E27FC236}">
                  <a16:creationId xmlns:a16="http://schemas.microsoft.com/office/drawing/2014/main" id="{54B3AAE6-D7AD-204C-A772-016E7786225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8483600" y="28930600"/>
              <a:ext cx="1866900" cy="1549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139</xdr:row>
      <xdr:rowOff>0</xdr:rowOff>
    </xdr:from>
    <xdr:to>
      <xdr:col>13</xdr:col>
      <xdr:colOff>76200</xdr:colOff>
      <xdr:row>146</xdr:row>
      <xdr:rowOff>25400</xdr:rowOff>
    </xdr:to>
    <mc:AlternateContent xmlns:mc="http://schemas.openxmlformats.org/markup-compatibility/2006">
      <mc:Choice xmlns:a14="http://schemas.microsoft.com/office/drawing/2010/main" Requires="a14">
        <xdr:graphicFrame macro="">
          <xdr:nvGraphicFramePr>
            <xdr:cNvPr id="66" name="Transaction_Type 2">
              <a:extLst>
                <a:ext uri="{FF2B5EF4-FFF2-40B4-BE49-F238E27FC236}">
                  <a16:creationId xmlns:a16="http://schemas.microsoft.com/office/drawing/2014/main" id="{0CF418EE-E0A7-8147-A326-AD9F80C7CB71}"/>
                </a:ext>
              </a:extLst>
            </xdr:cNvPr>
            <xdr:cNvGraphicFramePr/>
          </xdr:nvGraphicFramePr>
          <xdr:xfrm>
            <a:off x="0" y="0"/>
            <a:ext cx="0" cy="0"/>
          </xdr:xfrm>
          <a:graphic>
            <a:graphicData uri="http://schemas.microsoft.com/office/drawing/2010/slicer">
              <sle:slicer xmlns:sle="http://schemas.microsoft.com/office/drawing/2010/slicer" name="Transaction_Type 2"/>
            </a:graphicData>
          </a:graphic>
        </xdr:graphicFrame>
      </mc:Choice>
      <mc:Fallback>
        <xdr:sp macro="" textlink="">
          <xdr:nvSpPr>
            <xdr:cNvPr id="0" name=""/>
            <xdr:cNvSpPr>
              <a:spLocks noTextEdit="1"/>
            </xdr:cNvSpPr>
          </xdr:nvSpPr>
          <xdr:spPr>
            <a:xfrm>
              <a:off x="11074400" y="28930600"/>
              <a:ext cx="18669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na Abilash" refreshedDate="46142.843494097222" createdVersion="8" refreshedVersion="8" minRefreshableVersion="3" recordCount="2500" xr:uid="{00000000-000A-0000-FFFF-FFFF00000000}">
  <cacheSource type="worksheet">
    <worksheetSource name="financial_fraud_data"/>
  </cacheSource>
  <cacheFields count="17">
    <cacheField name="Transaction_ID" numFmtId="0">
      <sharedItems count="2500">
        <s v="T100000"/>
        <s v="T100001"/>
        <s v="T100002"/>
        <s v="T100003"/>
        <s v="T100004"/>
        <s v="T100005"/>
        <s v="T100006"/>
        <s v="T100007"/>
        <s v="T100008"/>
        <s v="T100009"/>
        <s v="T100010"/>
        <s v="T100011"/>
        <s v="T100012"/>
        <s v="T100013"/>
        <s v="T100014"/>
        <s v="T100015"/>
        <s v="T100016"/>
        <s v="T100017"/>
        <s v="T100018"/>
        <s v="T100019"/>
        <s v="T100020"/>
        <s v="T100021"/>
        <s v="T100022"/>
        <s v="T100023"/>
        <s v="T100024"/>
        <s v="T100025"/>
        <s v="T100026"/>
        <s v="T100027"/>
        <s v="T100028"/>
        <s v="T100029"/>
        <s v="T100030"/>
        <s v="T100031"/>
        <s v="T100032"/>
        <s v="T100033"/>
        <s v="T100034"/>
        <s v="T100035"/>
        <s v="T100036"/>
        <s v="T100037"/>
        <s v="T100038"/>
        <s v="T100039"/>
        <s v="T100040"/>
        <s v="T100041"/>
        <s v="T100042"/>
        <s v="T100043"/>
        <s v="T100044"/>
        <s v="T100045"/>
        <s v="T100046"/>
        <s v="T100047"/>
        <s v="T100048"/>
        <s v="T100049"/>
        <s v="T100050"/>
        <s v="T100051"/>
        <s v="T100052"/>
        <s v="T100053"/>
        <s v="T100054"/>
        <s v="T100055"/>
        <s v="T100056"/>
        <s v="T100057"/>
        <s v="T100058"/>
        <s v="T100059"/>
        <s v="T100060"/>
        <s v="T100061"/>
        <s v="T100062"/>
        <s v="T100063"/>
        <s v="T100064"/>
        <s v="T100065"/>
        <s v="T100066"/>
        <s v="T100067"/>
        <s v="T100068"/>
        <s v="T100069"/>
        <s v="T100070"/>
        <s v="T100071"/>
        <s v="T100072"/>
        <s v="T100073"/>
        <s v="T100074"/>
        <s v="T100075"/>
        <s v="T100076"/>
        <s v="T100077"/>
        <s v="T100078"/>
        <s v="T100079"/>
        <s v="T100080"/>
        <s v="T100081"/>
        <s v="T100082"/>
        <s v="T100083"/>
        <s v="T100084"/>
        <s v="T100085"/>
        <s v="T100086"/>
        <s v="T100087"/>
        <s v="T100088"/>
        <s v="T100089"/>
        <s v="T100090"/>
        <s v="T100091"/>
        <s v="T100092"/>
        <s v="T100093"/>
        <s v="T100094"/>
        <s v="T100095"/>
        <s v="T100096"/>
        <s v="T100097"/>
        <s v="T100098"/>
        <s v="T100099"/>
        <s v="T100100"/>
        <s v="T100101"/>
        <s v="T100102"/>
        <s v="T100103"/>
        <s v="T100104"/>
        <s v="T100105"/>
        <s v="T100106"/>
        <s v="T100107"/>
        <s v="T100108"/>
        <s v="T100109"/>
        <s v="T100110"/>
        <s v="T100111"/>
        <s v="T100112"/>
        <s v="T100113"/>
        <s v="T100114"/>
        <s v="T100115"/>
        <s v="T100116"/>
        <s v="T100117"/>
        <s v="T100118"/>
        <s v="T100119"/>
        <s v="T100120"/>
        <s v="T100121"/>
        <s v="T100122"/>
        <s v="T100123"/>
        <s v="T100124"/>
        <s v="T100125"/>
        <s v="T100126"/>
        <s v="T100127"/>
        <s v="T100128"/>
        <s v="T100129"/>
        <s v="T100130"/>
        <s v="T100131"/>
        <s v="T100132"/>
        <s v="T100133"/>
        <s v="T100134"/>
        <s v="T100135"/>
        <s v="T100136"/>
        <s v="T100137"/>
        <s v="T100138"/>
        <s v="T100139"/>
        <s v="T100140"/>
        <s v="T100141"/>
        <s v="T100142"/>
        <s v="T100143"/>
        <s v="T100144"/>
        <s v="T100145"/>
        <s v="T100146"/>
        <s v="T100147"/>
        <s v="T100148"/>
        <s v="T100149"/>
        <s v="T100150"/>
        <s v="T100151"/>
        <s v="T100152"/>
        <s v="T100153"/>
        <s v="T100154"/>
        <s v="T100155"/>
        <s v="T100156"/>
        <s v="T100157"/>
        <s v="T100158"/>
        <s v="T100159"/>
        <s v="T100160"/>
        <s v="T100161"/>
        <s v="T100162"/>
        <s v="T100163"/>
        <s v="T100164"/>
        <s v="T100165"/>
        <s v="T100166"/>
        <s v="T100167"/>
        <s v="T100168"/>
        <s v="T100169"/>
        <s v="T100170"/>
        <s v="T100171"/>
        <s v="T100172"/>
        <s v="T100173"/>
        <s v="T100174"/>
        <s v="T100175"/>
        <s v="T100176"/>
        <s v="T100177"/>
        <s v="T100178"/>
        <s v="T100179"/>
        <s v="T100180"/>
        <s v="T100181"/>
        <s v="T100182"/>
        <s v="T100183"/>
        <s v="T100184"/>
        <s v="T100185"/>
        <s v="T100186"/>
        <s v="T100187"/>
        <s v="T100188"/>
        <s v="T100189"/>
        <s v="T100190"/>
        <s v="T100191"/>
        <s v="T100192"/>
        <s v="T100193"/>
        <s v="T100194"/>
        <s v="T100195"/>
        <s v="T100196"/>
        <s v="T100197"/>
        <s v="T100198"/>
        <s v="T100199"/>
        <s v="T100200"/>
        <s v="T100201"/>
        <s v="T100202"/>
        <s v="T100203"/>
        <s v="T100204"/>
        <s v="T100205"/>
        <s v="T100206"/>
        <s v="T100207"/>
        <s v="T100208"/>
        <s v="T100209"/>
        <s v="T100210"/>
        <s v="T100211"/>
        <s v="T100212"/>
        <s v="T100213"/>
        <s v="T100214"/>
        <s v="T100215"/>
        <s v="T100216"/>
        <s v="T100217"/>
        <s v="T100218"/>
        <s v="T100219"/>
        <s v="T100220"/>
        <s v="T100221"/>
        <s v="T100222"/>
        <s v="T100223"/>
        <s v="T100224"/>
        <s v="T100225"/>
        <s v="T100226"/>
        <s v="T100227"/>
        <s v="T100228"/>
        <s v="T100229"/>
        <s v="T100230"/>
        <s v="T100231"/>
        <s v="T100232"/>
        <s v="T100233"/>
        <s v="T100234"/>
        <s v="T100235"/>
        <s v="T100236"/>
        <s v="T100237"/>
        <s v="T100238"/>
        <s v="T100239"/>
        <s v="T100240"/>
        <s v="T100241"/>
        <s v="T100242"/>
        <s v="T100243"/>
        <s v="T100244"/>
        <s v="T100245"/>
        <s v="T100246"/>
        <s v="T100247"/>
        <s v="T100248"/>
        <s v="T100249"/>
        <s v="T100250"/>
        <s v="T100251"/>
        <s v="T100252"/>
        <s v="T100253"/>
        <s v="T100254"/>
        <s v="T100255"/>
        <s v="T100256"/>
        <s v="T100257"/>
        <s v="T100258"/>
        <s v="T100259"/>
        <s v="T100260"/>
        <s v="T100261"/>
        <s v="T100262"/>
        <s v="T100263"/>
        <s v="T100264"/>
        <s v="T100265"/>
        <s v="T100266"/>
        <s v="T100267"/>
        <s v="T100268"/>
        <s v="T100269"/>
        <s v="T100270"/>
        <s v="T100271"/>
        <s v="T100272"/>
        <s v="T100273"/>
        <s v="T100274"/>
        <s v="T100275"/>
        <s v="T100276"/>
        <s v="T100277"/>
        <s v="T100278"/>
        <s v="T100279"/>
        <s v="T100280"/>
        <s v="T100281"/>
        <s v="T100282"/>
        <s v="T100283"/>
        <s v="T100284"/>
        <s v="T100285"/>
        <s v="T100286"/>
        <s v="T100287"/>
        <s v="T100288"/>
        <s v="T100289"/>
        <s v="T100290"/>
        <s v="T100291"/>
        <s v="T100292"/>
        <s v="T100293"/>
        <s v="T100294"/>
        <s v="T100295"/>
        <s v="T100296"/>
        <s v="T100297"/>
        <s v="T100298"/>
        <s v="T100299"/>
        <s v="T100300"/>
        <s v="T100301"/>
        <s v="T100302"/>
        <s v="T100303"/>
        <s v="T100304"/>
        <s v="T100305"/>
        <s v="T100306"/>
        <s v="T100307"/>
        <s v="T100308"/>
        <s v="T100309"/>
        <s v="T100310"/>
        <s v="T100311"/>
        <s v="T100312"/>
        <s v="T100313"/>
        <s v="T100314"/>
        <s v="T100315"/>
        <s v="T100316"/>
        <s v="T100317"/>
        <s v="T100318"/>
        <s v="T100319"/>
        <s v="T100320"/>
        <s v="T100321"/>
        <s v="T100322"/>
        <s v="T100323"/>
        <s v="T100324"/>
        <s v="T100325"/>
        <s v="T100326"/>
        <s v="T100327"/>
        <s v="T100328"/>
        <s v="T100329"/>
        <s v="T100330"/>
        <s v="T100331"/>
        <s v="T100332"/>
        <s v="T100333"/>
        <s v="T100334"/>
        <s v="T100335"/>
        <s v="T100336"/>
        <s v="T100337"/>
        <s v="T100338"/>
        <s v="T100339"/>
        <s v="T100340"/>
        <s v="T100341"/>
        <s v="T100342"/>
        <s v="T100343"/>
        <s v="T100344"/>
        <s v="T100345"/>
        <s v="T100346"/>
        <s v="T100347"/>
        <s v="T100348"/>
        <s v="T100349"/>
        <s v="T100350"/>
        <s v="T100351"/>
        <s v="T100352"/>
        <s v="T100353"/>
        <s v="T100354"/>
        <s v="T100355"/>
        <s v="T100356"/>
        <s v="T100357"/>
        <s v="T100358"/>
        <s v="T100359"/>
        <s v="T100360"/>
        <s v="T100361"/>
        <s v="T100362"/>
        <s v="T100363"/>
        <s v="T100364"/>
        <s v="T100365"/>
        <s v="T100366"/>
        <s v="T100367"/>
        <s v="T100368"/>
        <s v="T100369"/>
        <s v="T100370"/>
        <s v="T100371"/>
        <s v="T100372"/>
        <s v="T100373"/>
        <s v="T100374"/>
        <s v="T100375"/>
        <s v="T100376"/>
        <s v="T100377"/>
        <s v="T100378"/>
        <s v="T100379"/>
        <s v="T100380"/>
        <s v="T100381"/>
        <s v="T100382"/>
        <s v="T100383"/>
        <s v="T100384"/>
        <s v="T100385"/>
        <s v="T100386"/>
        <s v="T100387"/>
        <s v="T100388"/>
        <s v="T100389"/>
        <s v="T100390"/>
        <s v="T100391"/>
        <s v="T100392"/>
        <s v="T100393"/>
        <s v="T100394"/>
        <s v="T100395"/>
        <s v="T100396"/>
        <s v="T100397"/>
        <s v="T100398"/>
        <s v="T100399"/>
        <s v="T100400"/>
        <s v="T100401"/>
        <s v="T100402"/>
        <s v="T100403"/>
        <s v="T100404"/>
        <s v="T100405"/>
        <s v="T100406"/>
        <s v="T100407"/>
        <s v="T100408"/>
        <s v="T100409"/>
        <s v="T100410"/>
        <s v="T100411"/>
        <s v="T100412"/>
        <s v="T100413"/>
        <s v="T100414"/>
        <s v="T100415"/>
        <s v="T100416"/>
        <s v="T100417"/>
        <s v="T100418"/>
        <s v="T100419"/>
        <s v="T100420"/>
        <s v="T100421"/>
        <s v="T100422"/>
        <s v="T100423"/>
        <s v="T100424"/>
        <s v="T100425"/>
        <s v="T100426"/>
        <s v="T100427"/>
        <s v="T100428"/>
        <s v="T100429"/>
        <s v="T100430"/>
        <s v="T100431"/>
        <s v="T100432"/>
        <s v="T100433"/>
        <s v="T100434"/>
        <s v="T100435"/>
        <s v="T100436"/>
        <s v="T100437"/>
        <s v="T100438"/>
        <s v="T100439"/>
        <s v="T100440"/>
        <s v="T100441"/>
        <s v="T100442"/>
        <s v="T100443"/>
        <s v="T100444"/>
        <s v="T100445"/>
        <s v="T100446"/>
        <s v="T100447"/>
        <s v="T100448"/>
        <s v="T100449"/>
        <s v="T100450"/>
        <s v="T100451"/>
        <s v="T100452"/>
        <s v="T100453"/>
        <s v="T100454"/>
        <s v="T100455"/>
        <s v="T100456"/>
        <s v="T100457"/>
        <s v="T100458"/>
        <s v="T100459"/>
        <s v="T100460"/>
        <s v="T100461"/>
        <s v="T100462"/>
        <s v="T100463"/>
        <s v="T100464"/>
        <s v="T100465"/>
        <s v="T100466"/>
        <s v="T100467"/>
        <s v="T100468"/>
        <s v="T100469"/>
        <s v="T100470"/>
        <s v="T100471"/>
        <s v="T100472"/>
        <s v="T100473"/>
        <s v="T100474"/>
        <s v="T100475"/>
        <s v="T100476"/>
        <s v="T100477"/>
        <s v="T100478"/>
        <s v="T100479"/>
        <s v="T100480"/>
        <s v="T100481"/>
        <s v="T100482"/>
        <s v="T100483"/>
        <s v="T100484"/>
        <s v="T100485"/>
        <s v="T100486"/>
        <s v="T100487"/>
        <s v="T100488"/>
        <s v="T100489"/>
        <s v="T100490"/>
        <s v="T100491"/>
        <s v="T100492"/>
        <s v="T100493"/>
        <s v="T100494"/>
        <s v="T100495"/>
        <s v="T100496"/>
        <s v="T100497"/>
        <s v="T100498"/>
        <s v="T100499"/>
        <s v="T100500"/>
        <s v="T100501"/>
        <s v="T100502"/>
        <s v="T100503"/>
        <s v="T100504"/>
        <s v="T100505"/>
        <s v="T100506"/>
        <s v="T100507"/>
        <s v="T100508"/>
        <s v="T100509"/>
        <s v="T100510"/>
        <s v="T100511"/>
        <s v="T100512"/>
        <s v="T100513"/>
        <s v="T100514"/>
        <s v="T100515"/>
        <s v="T100516"/>
        <s v="T100517"/>
        <s v="T100518"/>
        <s v="T100519"/>
        <s v="T100520"/>
        <s v="T100521"/>
        <s v="T100522"/>
        <s v="T100523"/>
        <s v="T100524"/>
        <s v="T100525"/>
        <s v="T100526"/>
        <s v="T100527"/>
        <s v="T100528"/>
        <s v="T100529"/>
        <s v="T100530"/>
        <s v="T100531"/>
        <s v="T100532"/>
        <s v="T100533"/>
        <s v="T100534"/>
        <s v="T100535"/>
        <s v="T100536"/>
        <s v="T100537"/>
        <s v="T100538"/>
        <s v="T100539"/>
        <s v="T100540"/>
        <s v="T100541"/>
        <s v="T100542"/>
        <s v="T100543"/>
        <s v="T100544"/>
        <s v="T100545"/>
        <s v="T100546"/>
        <s v="T100547"/>
        <s v="T100548"/>
        <s v="T100549"/>
        <s v="T100550"/>
        <s v="T100551"/>
        <s v="T100552"/>
        <s v="T100553"/>
        <s v="T100554"/>
        <s v="T100555"/>
        <s v="T100556"/>
        <s v="T100557"/>
        <s v="T100558"/>
        <s v="T100559"/>
        <s v="T100560"/>
        <s v="T100561"/>
        <s v="T100562"/>
        <s v="T100563"/>
        <s v="T100564"/>
        <s v="T100565"/>
        <s v="T100566"/>
        <s v="T100567"/>
        <s v="T100568"/>
        <s v="T100569"/>
        <s v="T100570"/>
        <s v="T100571"/>
        <s v="T100572"/>
        <s v="T100573"/>
        <s v="T100574"/>
        <s v="T100575"/>
        <s v="T100576"/>
        <s v="T100577"/>
        <s v="T100578"/>
        <s v="T100579"/>
        <s v="T100580"/>
        <s v="T100581"/>
        <s v="T100582"/>
        <s v="T100583"/>
        <s v="T100584"/>
        <s v="T100585"/>
        <s v="T100586"/>
        <s v="T100587"/>
        <s v="T100588"/>
        <s v="T100589"/>
        <s v="T100590"/>
        <s v="T100591"/>
        <s v="T100592"/>
        <s v="T100593"/>
        <s v="T100594"/>
        <s v="T100595"/>
        <s v="T100596"/>
        <s v="T100597"/>
        <s v="T100598"/>
        <s v="T100599"/>
        <s v="T100600"/>
        <s v="T100601"/>
        <s v="T100602"/>
        <s v="T100603"/>
        <s v="T100604"/>
        <s v="T100605"/>
        <s v="T100606"/>
        <s v="T100607"/>
        <s v="T100608"/>
        <s v="T100609"/>
        <s v="T100610"/>
        <s v="T100611"/>
        <s v="T100612"/>
        <s v="T100613"/>
        <s v="T100614"/>
        <s v="T100615"/>
        <s v="T100616"/>
        <s v="T100617"/>
        <s v="T100618"/>
        <s v="T100619"/>
        <s v="T100620"/>
        <s v="T100621"/>
        <s v="T100622"/>
        <s v="T100623"/>
        <s v="T100624"/>
        <s v="T100625"/>
        <s v="T100626"/>
        <s v="T100627"/>
        <s v="T100628"/>
        <s v="T100629"/>
        <s v="T100630"/>
        <s v="T100631"/>
        <s v="T100632"/>
        <s v="T100633"/>
        <s v="T100634"/>
        <s v="T100635"/>
        <s v="T100636"/>
        <s v="T100637"/>
        <s v="T100638"/>
        <s v="T100639"/>
        <s v="T100640"/>
        <s v="T100641"/>
        <s v="T100642"/>
        <s v="T100643"/>
        <s v="T100644"/>
        <s v="T100645"/>
        <s v="T100646"/>
        <s v="T100647"/>
        <s v="T100648"/>
        <s v="T100649"/>
        <s v="T100650"/>
        <s v="T100651"/>
        <s v="T100652"/>
        <s v="T100653"/>
        <s v="T100654"/>
        <s v="T100655"/>
        <s v="T100656"/>
        <s v="T100657"/>
        <s v="T100658"/>
        <s v="T100659"/>
        <s v="T100660"/>
        <s v="T100661"/>
        <s v="T100662"/>
        <s v="T100663"/>
        <s v="T100664"/>
        <s v="T100665"/>
        <s v="T100666"/>
        <s v="T100667"/>
        <s v="T100668"/>
        <s v="T100669"/>
        <s v="T100670"/>
        <s v="T100671"/>
        <s v="T100672"/>
        <s v="T100673"/>
        <s v="T100674"/>
        <s v="T100675"/>
        <s v="T100676"/>
        <s v="T100677"/>
        <s v="T100678"/>
        <s v="T100679"/>
        <s v="T100680"/>
        <s v="T100681"/>
        <s v="T100682"/>
        <s v="T100683"/>
        <s v="T100684"/>
        <s v="T100685"/>
        <s v="T100686"/>
        <s v="T100687"/>
        <s v="T100688"/>
        <s v="T100689"/>
        <s v="T100690"/>
        <s v="T100691"/>
        <s v="T100692"/>
        <s v="T100693"/>
        <s v="T100694"/>
        <s v="T100695"/>
        <s v="T100696"/>
        <s v="T100697"/>
        <s v="T100698"/>
        <s v="T100699"/>
        <s v="T100700"/>
        <s v="T100701"/>
        <s v="T100702"/>
        <s v="T100703"/>
        <s v="T100704"/>
        <s v="T100705"/>
        <s v="T100706"/>
        <s v="T100707"/>
        <s v="T100708"/>
        <s v="T100709"/>
        <s v="T100710"/>
        <s v="T100711"/>
        <s v="T100712"/>
        <s v="T100713"/>
        <s v="T100714"/>
        <s v="T100715"/>
        <s v="T100716"/>
        <s v="T100717"/>
        <s v="T100718"/>
        <s v="T100719"/>
        <s v="T100720"/>
        <s v="T100721"/>
        <s v="T100722"/>
        <s v="T100723"/>
        <s v="T100724"/>
        <s v="T100725"/>
        <s v="T100726"/>
        <s v="T100727"/>
        <s v="T100728"/>
        <s v="T100729"/>
        <s v="T100730"/>
        <s v="T100731"/>
        <s v="T100732"/>
        <s v="T100733"/>
        <s v="T100734"/>
        <s v="T100735"/>
        <s v="T100736"/>
        <s v="T100737"/>
        <s v="T100738"/>
        <s v="T100739"/>
        <s v="T100740"/>
        <s v="T100741"/>
        <s v="T100742"/>
        <s v="T100743"/>
        <s v="T100744"/>
        <s v="T100745"/>
        <s v="T100746"/>
        <s v="T100747"/>
        <s v="T100748"/>
        <s v="T100749"/>
        <s v="T100750"/>
        <s v="T100751"/>
        <s v="T100752"/>
        <s v="T100753"/>
        <s v="T100754"/>
        <s v="T100755"/>
        <s v="T100756"/>
        <s v="T100757"/>
        <s v="T100758"/>
        <s v="T100759"/>
        <s v="T100760"/>
        <s v="T100761"/>
        <s v="T100762"/>
        <s v="T100763"/>
        <s v="T100764"/>
        <s v="T100765"/>
        <s v="T100766"/>
        <s v="T100767"/>
        <s v="T100768"/>
        <s v="T100769"/>
        <s v="T100770"/>
        <s v="T100771"/>
        <s v="T100772"/>
        <s v="T100773"/>
        <s v="T100774"/>
        <s v="T100775"/>
        <s v="T100776"/>
        <s v="T100777"/>
        <s v="T100778"/>
        <s v="T100779"/>
        <s v="T100780"/>
        <s v="T100781"/>
        <s v="T100782"/>
        <s v="T100783"/>
        <s v="T100784"/>
        <s v="T100785"/>
        <s v="T100786"/>
        <s v="T100787"/>
        <s v="T100788"/>
        <s v="T100789"/>
        <s v="T100790"/>
        <s v="T100791"/>
        <s v="T100792"/>
        <s v="T100793"/>
        <s v="T100794"/>
        <s v="T100795"/>
        <s v="T100796"/>
        <s v="T100797"/>
        <s v="T100798"/>
        <s v="T100799"/>
        <s v="T100800"/>
        <s v="T100801"/>
        <s v="T100802"/>
        <s v="T100803"/>
        <s v="T100804"/>
        <s v="T100805"/>
        <s v="T100806"/>
        <s v="T100807"/>
        <s v="T100808"/>
        <s v="T100809"/>
        <s v="T100810"/>
        <s v="T100811"/>
        <s v="T100812"/>
        <s v="T100813"/>
        <s v="T100814"/>
        <s v="T100815"/>
        <s v="T100816"/>
        <s v="T100817"/>
        <s v="T100818"/>
        <s v="T100819"/>
        <s v="T100820"/>
        <s v="T100821"/>
        <s v="T100822"/>
        <s v="T100823"/>
        <s v="T100824"/>
        <s v="T100825"/>
        <s v="T100826"/>
        <s v="T100827"/>
        <s v="T100828"/>
        <s v="T100829"/>
        <s v="T100830"/>
        <s v="T100831"/>
        <s v="T100832"/>
        <s v="T100833"/>
        <s v="T100834"/>
        <s v="T100835"/>
        <s v="T100836"/>
        <s v="T100837"/>
        <s v="T100838"/>
        <s v="T100839"/>
        <s v="T100840"/>
        <s v="T100841"/>
        <s v="T100842"/>
        <s v="T100843"/>
        <s v="T100844"/>
        <s v="T100845"/>
        <s v="T100846"/>
        <s v="T100847"/>
        <s v="T100848"/>
        <s v="T100849"/>
        <s v="T100850"/>
        <s v="T100851"/>
        <s v="T100852"/>
        <s v="T100853"/>
        <s v="T100854"/>
        <s v="T100855"/>
        <s v="T100856"/>
        <s v="T100857"/>
        <s v="T100858"/>
        <s v="T100859"/>
        <s v="T100860"/>
        <s v="T100861"/>
        <s v="T100862"/>
        <s v="T100863"/>
        <s v="T100864"/>
        <s v="T100865"/>
        <s v="T100866"/>
        <s v="T100867"/>
        <s v="T100868"/>
        <s v="T100869"/>
        <s v="T100870"/>
        <s v="T100871"/>
        <s v="T100872"/>
        <s v="T100873"/>
        <s v="T100874"/>
        <s v="T100875"/>
        <s v="T100876"/>
        <s v="T100877"/>
        <s v="T100878"/>
        <s v="T100879"/>
        <s v="T100880"/>
        <s v="T100881"/>
        <s v="T100882"/>
        <s v="T100883"/>
        <s v="T100884"/>
        <s v="T100885"/>
        <s v="T100886"/>
        <s v="T100887"/>
        <s v="T100888"/>
        <s v="T100889"/>
        <s v="T100890"/>
        <s v="T100891"/>
        <s v="T100892"/>
        <s v="T100893"/>
        <s v="T100894"/>
        <s v="T100895"/>
        <s v="T100896"/>
        <s v="T100897"/>
        <s v="T100898"/>
        <s v="T100899"/>
        <s v="T100900"/>
        <s v="T100901"/>
        <s v="T100902"/>
        <s v="T100903"/>
        <s v="T100904"/>
        <s v="T100905"/>
        <s v="T100906"/>
        <s v="T100907"/>
        <s v="T100908"/>
        <s v="T100909"/>
        <s v="T100910"/>
        <s v="T100911"/>
        <s v="T100912"/>
        <s v="T100913"/>
        <s v="T100914"/>
        <s v="T100915"/>
        <s v="T100916"/>
        <s v="T100917"/>
        <s v="T100918"/>
        <s v="T100919"/>
        <s v="T100920"/>
        <s v="T100921"/>
        <s v="T100922"/>
        <s v="T100923"/>
        <s v="T100924"/>
        <s v="T100925"/>
        <s v="T100926"/>
        <s v="T100927"/>
        <s v="T100928"/>
        <s v="T100929"/>
        <s v="T100930"/>
        <s v="T100931"/>
        <s v="T100932"/>
        <s v="T100933"/>
        <s v="T100934"/>
        <s v="T100935"/>
        <s v="T100936"/>
        <s v="T100937"/>
        <s v="T100938"/>
        <s v="T100939"/>
        <s v="T100940"/>
        <s v="T100941"/>
        <s v="T100942"/>
        <s v="T100943"/>
        <s v="T100944"/>
        <s v="T100945"/>
        <s v="T100946"/>
        <s v="T100947"/>
        <s v="T100948"/>
        <s v="T100949"/>
        <s v="T100950"/>
        <s v="T100951"/>
        <s v="T100952"/>
        <s v="T100953"/>
        <s v="T100954"/>
        <s v="T100955"/>
        <s v="T100956"/>
        <s v="T100957"/>
        <s v="T100958"/>
        <s v="T100959"/>
        <s v="T100960"/>
        <s v="T100961"/>
        <s v="T100962"/>
        <s v="T100963"/>
        <s v="T100964"/>
        <s v="T100965"/>
        <s v="T100966"/>
        <s v="T100967"/>
        <s v="T100968"/>
        <s v="T100969"/>
        <s v="T100970"/>
        <s v="T100971"/>
        <s v="T100972"/>
        <s v="T100973"/>
        <s v="T100974"/>
        <s v="T100975"/>
        <s v="T100976"/>
        <s v="T100977"/>
        <s v="T100978"/>
        <s v="T100979"/>
        <s v="T100980"/>
        <s v="T100981"/>
        <s v="T100982"/>
        <s v="T100983"/>
        <s v="T100984"/>
        <s v="T100985"/>
        <s v="T100986"/>
        <s v="T100987"/>
        <s v="T100988"/>
        <s v="T100989"/>
        <s v="T100990"/>
        <s v="T100991"/>
        <s v="T100992"/>
        <s v="T100993"/>
        <s v="T100994"/>
        <s v="T100995"/>
        <s v="T100996"/>
        <s v="T100997"/>
        <s v="T100998"/>
        <s v="T100999"/>
        <s v="T101000"/>
        <s v="T101001"/>
        <s v="T101002"/>
        <s v="T101003"/>
        <s v="T101004"/>
        <s v="T101005"/>
        <s v="T101006"/>
        <s v="T101007"/>
        <s v="T101008"/>
        <s v="T101009"/>
        <s v="T101010"/>
        <s v="T101011"/>
        <s v="T101012"/>
        <s v="T101013"/>
        <s v="T101014"/>
        <s v="T101015"/>
        <s v="T101016"/>
        <s v="T101017"/>
        <s v="T101018"/>
        <s v="T101019"/>
        <s v="T101020"/>
        <s v="T101021"/>
        <s v="T101022"/>
        <s v="T101023"/>
        <s v="T101024"/>
        <s v="T101025"/>
        <s v="T101026"/>
        <s v="T101027"/>
        <s v="T101028"/>
        <s v="T101029"/>
        <s v="T101030"/>
        <s v="T101031"/>
        <s v="T101032"/>
        <s v="T101033"/>
        <s v="T101034"/>
        <s v="T101035"/>
        <s v="T101036"/>
        <s v="T101037"/>
        <s v="T101038"/>
        <s v="T101039"/>
        <s v="T101040"/>
        <s v="T101041"/>
        <s v="T101042"/>
        <s v="T101043"/>
        <s v="T101044"/>
        <s v="T101045"/>
        <s v="T101046"/>
        <s v="T101047"/>
        <s v="T101048"/>
        <s v="T101049"/>
        <s v="T101050"/>
        <s v="T101051"/>
        <s v="T101052"/>
        <s v="T101053"/>
        <s v="T101054"/>
        <s v="T101055"/>
        <s v="T101056"/>
        <s v="T101057"/>
        <s v="T101058"/>
        <s v="T101059"/>
        <s v="T101060"/>
        <s v="T101061"/>
        <s v="T101062"/>
        <s v="T101063"/>
        <s v="T101064"/>
        <s v="T101065"/>
        <s v="T101066"/>
        <s v="T101067"/>
        <s v="T101068"/>
        <s v="T101069"/>
        <s v="T101070"/>
        <s v="T101071"/>
        <s v="T101072"/>
        <s v="T101073"/>
        <s v="T101074"/>
        <s v="T101075"/>
        <s v="T101076"/>
        <s v="T101077"/>
        <s v="T101078"/>
        <s v="T101079"/>
        <s v="T101080"/>
        <s v="T101081"/>
        <s v="T101082"/>
        <s v="T101083"/>
        <s v="T101084"/>
        <s v="T101085"/>
        <s v="T101086"/>
        <s v="T101087"/>
        <s v="T101088"/>
        <s v="T101089"/>
        <s v="T101090"/>
        <s v="T101091"/>
        <s v="T101092"/>
        <s v="T101093"/>
        <s v="T101094"/>
        <s v="T101095"/>
        <s v="T101096"/>
        <s v="T101097"/>
        <s v="T101098"/>
        <s v="T101099"/>
        <s v="T101100"/>
        <s v="T101101"/>
        <s v="T101102"/>
        <s v="T101103"/>
        <s v="T101104"/>
        <s v="T101105"/>
        <s v="T101106"/>
        <s v="T101107"/>
        <s v="T101108"/>
        <s v="T101109"/>
        <s v="T101110"/>
        <s v="T101111"/>
        <s v="T101112"/>
        <s v="T101113"/>
        <s v="T101114"/>
        <s v="T101115"/>
        <s v="T101116"/>
        <s v="T101117"/>
        <s v="T101118"/>
        <s v="T101119"/>
        <s v="T101120"/>
        <s v="T101121"/>
        <s v="T101122"/>
        <s v="T101123"/>
        <s v="T101124"/>
        <s v="T101125"/>
        <s v="T101126"/>
        <s v="T101127"/>
        <s v="T101128"/>
        <s v="T101129"/>
        <s v="T101130"/>
        <s v="T101131"/>
        <s v="T101132"/>
        <s v="T101133"/>
        <s v="T101134"/>
        <s v="T101135"/>
        <s v="T101136"/>
        <s v="T101137"/>
        <s v="T101138"/>
        <s v="T101139"/>
        <s v="T101140"/>
        <s v="T101141"/>
        <s v="T101142"/>
        <s v="T101143"/>
        <s v="T101144"/>
        <s v="T101145"/>
        <s v="T101146"/>
        <s v="T101147"/>
        <s v="T101148"/>
        <s v="T101149"/>
        <s v="T101150"/>
        <s v="T101151"/>
        <s v="T101152"/>
        <s v="T101153"/>
        <s v="T101154"/>
        <s v="T101155"/>
        <s v="T101156"/>
        <s v="T101157"/>
        <s v="T101158"/>
        <s v="T101159"/>
        <s v="T101160"/>
        <s v="T101161"/>
        <s v="T101162"/>
        <s v="T101163"/>
        <s v="T101164"/>
        <s v="T101165"/>
        <s v="T101166"/>
        <s v="T101167"/>
        <s v="T101168"/>
        <s v="T101169"/>
        <s v="T101170"/>
        <s v="T101171"/>
        <s v="T101172"/>
        <s v="T101173"/>
        <s v="T101174"/>
        <s v="T101175"/>
        <s v="T101176"/>
        <s v="T101177"/>
        <s v="T101178"/>
        <s v="T101179"/>
        <s v="T101180"/>
        <s v="T101181"/>
        <s v="T101182"/>
        <s v="T101183"/>
        <s v="T101184"/>
        <s v="T101185"/>
        <s v="T101186"/>
        <s v="T101187"/>
        <s v="T101188"/>
        <s v="T101189"/>
        <s v="T101190"/>
        <s v="T101191"/>
        <s v="T101192"/>
        <s v="T101193"/>
        <s v="T101194"/>
        <s v="T101195"/>
        <s v="T101196"/>
        <s v="T101197"/>
        <s v="T101198"/>
        <s v="T101199"/>
        <s v="T101200"/>
        <s v="T101201"/>
        <s v="T101202"/>
        <s v="T101203"/>
        <s v="T101204"/>
        <s v="T101205"/>
        <s v="T101206"/>
        <s v="T101207"/>
        <s v="T101208"/>
        <s v="T101209"/>
        <s v="T101210"/>
        <s v="T101211"/>
        <s v="T101212"/>
        <s v="T101213"/>
        <s v="T101214"/>
        <s v="T101215"/>
        <s v="T101216"/>
        <s v="T101217"/>
        <s v="T101218"/>
        <s v="T101219"/>
        <s v="T101220"/>
        <s v="T101221"/>
        <s v="T101222"/>
        <s v="T101223"/>
        <s v="T101224"/>
        <s v="T101225"/>
        <s v="T101226"/>
        <s v="T101227"/>
        <s v="T101228"/>
        <s v="T101229"/>
        <s v="T101230"/>
        <s v="T101231"/>
        <s v="T101232"/>
        <s v="T101233"/>
        <s v="T101234"/>
        <s v="T101235"/>
        <s v="T101236"/>
        <s v="T101237"/>
        <s v="T101238"/>
        <s v="T101239"/>
        <s v="T101240"/>
        <s v="T101241"/>
        <s v="T101242"/>
        <s v="T101243"/>
        <s v="T101244"/>
        <s v="T101245"/>
        <s v="T101246"/>
        <s v="T101247"/>
        <s v="T101248"/>
        <s v="T101249"/>
        <s v="T101250"/>
        <s v="T101251"/>
        <s v="T101252"/>
        <s v="T101253"/>
        <s v="T101254"/>
        <s v="T101255"/>
        <s v="T101256"/>
        <s v="T101257"/>
        <s v="T101258"/>
        <s v="T101259"/>
        <s v="T101260"/>
        <s v="T101261"/>
        <s v="T101262"/>
        <s v="T101263"/>
        <s v="T101264"/>
        <s v="T101265"/>
        <s v="T101266"/>
        <s v="T101267"/>
        <s v="T101268"/>
        <s v="T101269"/>
        <s v="T101270"/>
        <s v="T101271"/>
        <s v="T101272"/>
        <s v="T101273"/>
        <s v="T101274"/>
        <s v="T101275"/>
        <s v="T101276"/>
        <s v="T101277"/>
        <s v="T101278"/>
        <s v="T101279"/>
        <s v="T101280"/>
        <s v="T101281"/>
        <s v="T101282"/>
        <s v="T101283"/>
        <s v="T101284"/>
        <s v="T101285"/>
        <s v="T101286"/>
        <s v="T101287"/>
        <s v="T101288"/>
        <s v="T101289"/>
        <s v="T101290"/>
        <s v="T101291"/>
        <s v="T101292"/>
        <s v="T101293"/>
        <s v="T101294"/>
        <s v="T101295"/>
        <s v="T101296"/>
        <s v="T101297"/>
        <s v="T101298"/>
        <s v="T101299"/>
        <s v="T101300"/>
        <s v="T101301"/>
        <s v="T101302"/>
        <s v="T101303"/>
        <s v="T101304"/>
        <s v="T101305"/>
        <s v="T101306"/>
        <s v="T101307"/>
        <s v="T101308"/>
        <s v="T101309"/>
        <s v="T101310"/>
        <s v="T101311"/>
        <s v="T101312"/>
        <s v="T101313"/>
        <s v="T101314"/>
        <s v="T101315"/>
        <s v="T101316"/>
        <s v="T101317"/>
        <s v="T101318"/>
        <s v="T101319"/>
        <s v="T101320"/>
        <s v="T101321"/>
        <s v="T101322"/>
        <s v="T101323"/>
        <s v="T101324"/>
        <s v="T101325"/>
        <s v="T101326"/>
        <s v="T101327"/>
        <s v="T101328"/>
        <s v="T101329"/>
        <s v="T101330"/>
        <s v="T101331"/>
        <s v="T101332"/>
        <s v="T101333"/>
        <s v="T101334"/>
        <s v="T101335"/>
        <s v="T101336"/>
        <s v="T101337"/>
        <s v="T101338"/>
        <s v="T101339"/>
        <s v="T101340"/>
        <s v="T101341"/>
        <s v="T101342"/>
        <s v="T101343"/>
        <s v="T101344"/>
        <s v="T101345"/>
        <s v="T101346"/>
        <s v="T101347"/>
        <s v="T101348"/>
        <s v="T101349"/>
        <s v="T101350"/>
        <s v="T101351"/>
        <s v="T101352"/>
        <s v="T101353"/>
        <s v="T101354"/>
        <s v="T101355"/>
        <s v="T101356"/>
        <s v="T101357"/>
        <s v="T101358"/>
        <s v="T101359"/>
        <s v="T101360"/>
        <s v="T101361"/>
        <s v="T101362"/>
        <s v="T101363"/>
        <s v="T101364"/>
        <s v="T101365"/>
        <s v="T101366"/>
        <s v="T101367"/>
        <s v="T101368"/>
        <s v="T101369"/>
        <s v="T101370"/>
        <s v="T101371"/>
        <s v="T101372"/>
        <s v="T101373"/>
        <s v="T101374"/>
        <s v="T101375"/>
        <s v="T101376"/>
        <s v="T101377"/>
        <s v="T101378"/>
        <s v="T101379"/>
        <s v="T101380"/>
        <s v="T101381"/>
        <s v="T101382"/>
        <s v="T101383"/>
        <s v="T101384"/>
        <s v="T101385"/>
        <s v="T101386"/>
        <s v="T101387"/>
        <s v="T101388"/>
        <s v="T101389"/>
        <s v="T101390"/>
        <s v="T101391"/>
        <s v="T101392"/>
        <s v="T101393"/>
        <s v="T101394"/>
        <s v="T101395"/>
        <s v="T101396"/>
        <s v="T101397"/>
        <s v="T101398"/>
        <s v="T101399"/>
        <s v="T101400"/>
        <s v="T101401"/>
        <s v="T101402"/>
        <s v="T101403"/>
        <s v="T101404"/>
        <s v="T101405"/>
        <s v="T101406"/>
        <s v="T101407"/>
        <s v="T101408"/>
        <s v="T101409"/>
        <s v="T101410"/>
        <s v="T101411"/>
        <s v="T101412"/>
        <s v="T101413"/>
        <s v="T101414"/>
        <s v="T101415"/>
        <s v="T101416"/>
        <s v="T101417"/>
        <s v="T101418"/>
        <s v="T101419"/>
        <s v="T101420"/>
        <s v="T101421"/>
        <s v="T101422"/>
        <s v="T101423"/>
        <s v="T101424"/>
        <s v="T101425"/>
        <s v="T101426"/>
        <s v="T101427"/>
        <s v="T101428"/>
        <s v="T101429"/>
        <s v="T101430"/>
        <s v="T101431"/>
        <s v="T101432"/>
        <s v="T101433"/>
        <s v="T101434"/>
        <s v="T101435"/>
        <s v="T101436"/>
        <s v="T101437"/>
        <s v="T101438"/>
        <s v="T101439"/>
        <s v="T101440"/>
        <s v="T101441"/>
        <s v="T101442"/>
        <s v="T101443"/>
        <s v="T101444"/>
        <s v="T101445"/>
        <s v="T101446"/>
        <s v="T101447"/>
        <s v="T101448"/>
        <s v="T101449"/>
        <s v="T101450"/>
        <s v="T101451"/>
        <s v="T101452"/>
        <s v="T101453"/>
        <s v="T101454"/>
        <s v="T101455"/>
        <s v="T101456"/>
        <s v="T101457"/>
        <s v="T101458"/>
        <s v="T101459"/>
        <s v="T101460"/>
        <s v="T101461"/>
        <s v="T101462"/>
        <s v="T101463"/>
        <s v="T101464"/>
        <s v="T101465"/>
        <s v="T101466"/>
        <s v="T101467"/>
        <s v="T101468"/>
        <s v="T101469"/>
        <s v="T101470"/>
        <s v="T101471"/>
        <s v="T101472"/>
        <s v="T101473"/>
        <s v="T101474"/>
        <s v="T101475"/>
        <s v="T101476"/>
        <s v="T101477"/>
        <s v="T101478"/>
        <s v="T101479"/>
        <s v="T101480"/>
        <s v="T101481"/>
        <s v="T101482"/>
        <s v="T101483"/>
        <s v="T101484"/>
        <s v="T101485"/>
        <s v="T101486"/>
        <s v="T101487"/>
        <s v="T101488"/>
        <s v="T101489"/>
        <s v="T101490"/>
        <s v="T101491"/>
        <s v="T101492"/>
        <s v="T101493"/>
        <s v="T101494"/>
        <s v="T101495"/>
        <s v="T101496"/>
        <s v="T101497"/>
        <s v="T101498"/>
        <s v="T101499"/>
        <s v="T101500"/>
        <s v="T101501"/>
        <s v="T101502"/>
        <s v="T101503"/>
        <s v="T101504"/>
        <s v="T101505"/>
        <s v="T101506"/>
        <s v="T101507"/>
        <s v="T101508"/>
        <s v="T101509"/>
        <s v="T101510"/>
        <s v="T101511"/>
        <s v="T101512"/>
        <s v="T101513"/>
        <s v="T101514"/>
        <s v="T101515"/>
        <s v="T101516"/>
        <s v="T101517"/>
        <s v="T101518"/>
        <s v="T101519"/>
        <s v="T101520"/>
        <s v="T101521"/>
        <s v="T101522"/>
        <s v="T101523"/>
        <s v="T101524"/>
        <s v="T101525"/>
        <s v="T101526"/>
        <s v="T101527"/>
        <s v="T101528"/>
        <s v="T101529"/>
        <s v="T101530"/>
        <s v="T101531"/>
        <s v="T101532"/>
        <s v="T101533"/>
        <s v="T101534"/>
        <s v="T101535"/>
        <s v="T101536"/>
        <s v="T101537"/>
        <s v="T101538"/>
        <s v="T101539"/>
        <s v="T101540"/>
        <s v="T101541"/>
        <s v="T101542"/>
        <s v="T101543"/>
        <s v="T101544"/>
        <s v="T101545"/>
        <s v="T101546"/>
        <s v="T101547"/>
        <s v="T101548"/>
        <s v="T101549"/>
        <s v="T101550"/>
        <s v="T101551"/>
        <s v="T101552"/>
        <s v="T101553"/>
        <s v="T101554"/>
        <s v="T101555"/>
        <s v="T101556"/>
        <s v="T101557"/>
        <s v="T101558"/>
        <s v="T101559"/>
        <s v="T101560"/>
        <s v="T101561"/>
        <s v="T101562"/>
        <s v="T101563"/>
        <s v="T101564"/>
        <s v="T101565"/>
        <s v="T101566"/>
        <s v="T101567"/>
        <s v="T101568"/>
        <s v="T101569"/>
        <s v="T101570"/>
        <s v="T101571"/>
        <s v="T101572"/>
        <s v="T101573"/>
        <s v="T101574"/>
        <s v="T101575"/>
        <s v="T101576"/>
        <s v="T101577"/>
        <s v="T101578"/>
        <s v="T101579"/>
        <s v="T101580"/>
        <s v="T101581"/>
        <s v="T101582"/>
        <s v="T101583"/>
        <s v="T101584"/>
        <s v="T101585"/>
        <s v="T101586"/>
        <s v="T101587"/>
        <s v="T101588"/>
        <s v="T101589"/>
        <s v="T101590"/>
        <s v="T101591"/>
        <s v="T101592"/>
        <s v="T101593"/>
        <s v="T101594"/>
        <s v="T101595"/>
        <s v="T101596"/>
        <s v="T101597"/>
        <s v="T101598"/>
        <s v="T101599"/>
        <s v="T101600"/>
        <s v="T101601"/>
        <s v="T101602"/>
        <s v="T101603"/>
        <s v="T101604"/>
        <s v="T101605"/>
        <s v="T101606"/>
        <s v="T101607"/>
        <s v="T101608"/>
        <s v="T101609"/>
        <s v="T101610"/>
        <s v="T101611"/>
        <s v="T101612"/>
        <s v="T101613"/>
        <s v="T101614"/>
        <s v="T101615"/>
        <s v="T101616"/>
        <s v="T101617"/>
        <s v="T101618"/>
        <s v="T101619"/>
        <s v="T101620"/>
        <s v="T101621"/>
        <s v="T101622"/>
        <s v="T101623"/>
        <s v="T101624"/>
        <s v="T101625"/>
        <s v="T101626"/>
        <s v="T101627"/>
        <s v="T101628"/>
        <s v="T101629"/>
        <s v="T101630"/>
        <s v="T101631"/>
        <s v="T101632"/>
        <s v="T101633"/>
        <s v="T101634"/>
        <s v="T101635"/>
        <s v="T101636"/>
        <s v="T101637"/>
        <s v="T101638"/>
        <s v="T101639"/>
        <s v="T101640"/>
        <s v="T101641"/>
        <s v="T101642"/>
        <s v="T101643"/>
        <s v="T101644"/>
        <s v="T101645"/>
        <s v="T101646"/>
        <s v="T101647"/>
        <s v="T101648"/>
        <s v="T101649"/>
        <s v="T101650"/>
        <s v="T101651"/>
        <s v="T101652"/>
        <s v="T101653"/>
        <s v="T101654"/>
        <s v="T101655"/>
        <s v="T101656"/>
        <s v="T101657"/>
        <s v="T101658"/>
        <s v="T101659"/>
        <s v="T101660"/>
        <s v="T101661"/>
        <s v="T101662"/>
        <s v="T101663"/>
        <s v="T101664"/>
        <s v="T101665"/>
        <s v="T101666"/>
        <s v="T101667"/>
        <s v="T101668"/>
        <s v="T101669"/>
        <s v="T101670"/>
        <s v="T101671"/>
        <s v="T101672"/>
        <s v="T101673"/>
        <s v="T101674"/>
        <s v="T101675"/>
        <s v="T101676"/>
        <s v="T101677"/>
        <s v="T101678"/>
        <s v="T101679"/>
        <s v="T101680"/>
        <s v="T101681"/>
        <s v="T101682"/>
        <s v="T101683"/>
        <s v="T101684"/>
        <s v="T101685"/>
        <s v="T101686"/>
        <s v="T101687"/>
        <s v="T101688"/>
        <s v="T101689"/>
        <s v="T101690"/>
        <s v="T101691"/>
        <s v="T101692"/>
        <s v="T101693"/>
        <s v="T101694"/>
        <s v="T101695"/>
        <s v="T101696"/>
        <s v="T101697"/>
        <s v="T101698"/>
        <s v="T101699"/>
        <s v="T101700"/>
        <s v="T101701"/>
        <s v="T101702"/>
        <s v="T101703"/>
        <s v="T101704"/>
        <s v="T101705"/>
        <s v="T101706"/>
        <s v="T101707"/>
        <s v="T101708"/>
        <s v="T101709"/>
        <s v="T101710"/>
        <s v="T101711"/>
        <s v="T101712"/>
        <s v="T101713"/>
        <s v="T101714"/>
        <s v="T101715"/>
        <s v="T101716"/>
        <s v="T101717"/>
        <s v="T101718"/>
        <s v="T101719"/>
        <s v="T101720"/>
        <s v="T101721"/>
        <s v="T101722"/>
        <s v="T101723"/>
        <s v="T101724"/>
        <s v="T101725"/>
        <s v="T101726"/>
        <s v="T101727"/>
        <s v="T101728"/>
        <s v="T101729"/>
        <s v="T101730"/>
        <s v="T101731"/>
        <s v="T101732"/>
        <s v="T101733"/>
        <s v="T101734"/>
        <s v="T101735"/>
        <s v="T101736"/>
        <s v="T101737"/>
        <s v="T101738"/>
        <s v="T101739"/>
        <s v="T101740"/>
        <s v="T101741"/>
        <s v="T101742"/>
        <s v="T101743"/>
        <s v="T101744"/>
        <s v="T101745"/>
        <s v="T101746"/>
        <s v="T101747"/>
        <s v="T101748"/>
        <s v="T101749"/>
        <s v="T101750"/>
        <s v="T101751"/>
        <s v="T101752"/>
        <s v="T101753"/>
        <s v="T101754"/>
        <s v="T101755"/>
        <s v="T101756"/>
        <s v="T101757"/>
        <s v="T101758"/>
        <s v="T101759"/>
        <s v="T101760"/>
        <s v="T101761"/>
        <s v="T101762"/>
        <s v="T101763"/>
        <s v="T101764"/>
        <s v="T101765"/>
        <s v="T101766"/>
        <s v="T101767"/>
        <s v="T101768"/>
        <s v="T101769"/>
        <s v="T101770"/>
        <s v="T101771"/>
        <s v="T101772"/>
        <s v="T101773"/>
        <s v="T101774"/>
        <s v="T101775"/>
        <s v="T101776"/>
        <s v="T101777"/>
        <s v="T101778"/>
        <s v="T101779"/>
        <s v="T101780"/>
        <s v="T101781"/>
        <s v="T101782"/>
        <s v="T101783"/>
        <s v="T101784"/>
        <s v="T101785"/>
        <s v="T101786"/>
        <s v="T101787"/>
        <s v="T101788"/>
        <s v="T101789"/>
        <s v="T101790"/>
        <s v="T101791"/>
        <s v="T101792"/>
        <s v="T101793"/>
        <s v="T101794"/>
        <s v="T101795"/>
        <s v="T101796"/>
        <s v="T101797"/>
        <s v="T101798"/>
        <s v="T101799"/>
        <s v="T101800"/>
        <s v="T101801"/>
        <s v="T101802"/>
        <s v="T101803"/>
        <s v="T101804"/>
        <s v="T101805"/>
        <s v="T101806"/>
        <s v="T101807"/>
        <s v="T101808"/>
        <s v="T101809"/>
        <s v="T101810"/>
        <s v="T101811"/>
        <s v="T101812"/>
        <s v="T101813"/>
        <s v="T101814"/>
        <s v="T101815"/>
        <s v="T101816"/>
        <s v="T101817"/>
        <s v="T101818"/>
        <s v="T101819"/>
        <s v="T101820"/>
        <s v="T101821"/>
        <s v="T101822"/>
        <s v="T101823"/>
        <s v="T101824"/>
        <s v="T101825"/>
        <s v="T101826"/>
        <s v="T101827"/>
        <s v="T101828"/>
        <s v="T101829"/>
        <s v="T101830"/>
        <s v="T101831"/>
        <s v="T101832"/>
        <s v="T101833"/>
        <s v="T101834"/>
        <s v="T101835"/>
        <s v="T101836"/>
        <s v="T101837"/>
        <s v="T101838"/>
        <s v="T101839"/>
        <s v="T101840"/>
        <s v="T101841"/>
        <s v="T101842"/>
        <s v="T101843"/>
        <s v="T101844"/>
        <s v="T101845"/>
        <s v="T101846"/>
        <s v="T101847"/>
        <s v="T101848"/>
        <s v="T101849"/>
        <s v="T101850"/>
        <s v="T101851"/>
        <s v="T101852"/>
        <s v="T101853"/>
        <s v="T101854"/>
        <s v="T101855"/>
        <s v="T101856"/>
        <s v="T101857"/>
        <s v="T101858"/>
        <s v="T101859"/>
        <s v="T101860"/>
        <s v="T101861"/>
        <s v="T101862"/>
        <s v="T101863"/>
        <s v="T101864"/>
        <s v="T101865"/>
        <s v="T101866"/>
        <s v="T101867"/>
        <s v="T101868"/>
        <s v="T101869"/>
        <s v="T101870"/>
        <s v="T101871"/>
        <s v="T101872"/>
        <s v="T101873"/>
        <s v="T101874"/>
        <s v="T101875"/>
        <s v="T101876"/>
        <s v="T101877"/>
        <s v="T101878"/>
        <s v="T101879"/>
        <s v="T101880"/>
        <s v="T101881"/>
        <s v="T101882"/>
        <s v="T101883"/>
        <s v="T101884"/>
        <s v="T101885"/>
        <s v="T101886"/>
        <s v="T101887"/>
        <s v="T101888"/>
        <s v="T101889"/>
        <s v="T101890"/>
        <s v="T101891"/>
        <s v="T101892"/>
        <s v="T101893"/>
        <s v="T101894"/>
        <s v="T101895"/>
        <s v="T101896"/>
        <s v="T101897"/>
        <s v="T101898"/>
        <s v="T101899"/>
        <s v="T101900"/>
        <s v="T101901"/>
        <s v="T101902"/>
        <s v="T101903"/>
        <s v="T101904"/>
        <s v="T101905"/>
        <s v="T101906"/>
        <s v="T101907"/>
        <s v="T101908"/>
        <s v="T101909"/>
        <s v="T101910"/>
        <s v="T101911"/>
        <s v="T101912"/>
        <s v="T101913"/>
        <s v="T101914"/>
        <s v="T101915"/>
        <s v="T101916"/>
        <s v="T101917"/>
        <s v="T101918"/>
        <s v="T101919"/>
        <s v="T101920"/>
        <s v="T101921"/>
        <s v="T101922"/>
        <s v="T101923"/>
        <s v="T101924"/>
        <s v="T101925"/>
        <s v="T101926"/>
        <s v="T101927"/>
        <s v="T101928"/>
        <s v="T101929"/>
        <s v="T101930"/>
        <s v="T101931"/>
        <s v="T101932"/>
        <s v="T101933"/>
        <s v="T101934"/>
        <s v="T101935"/>
        <s v="T101936"/>
        <s v="T101937"/>
        <s v="T101938"/>
        <s v="T101939"/>
        <s v="T101940"/>
        <s v="T101941"/>
        <s v="T101942"/>
        <s v="T101943"/>
        <s v="T101944"/>
        <s v="T101945"/>
        <s v="T101946"/>
        <s v="T101947"/>
        <s v="T101948"/>
        <s v="T101949"/>
        <s v="T101950"/>
        <s v="T101951"/>
        <s v="T101952"/>
        <s v="T101953"/>
        <s v="T101954"/>
        <s v="T101955"/>
        <s v="T101956"/>
        <s v="T101957"/>
        <s v="T101958"/>
        <s v="T101959"/>
        <s v="T101960"/>
        <s v="T101961"/>
        <s v="T101962"/>
        <s v="T101963"/>
        <s v="T101964"/>
        <s v="T101965"/>
        <s v="T101966"/>
        <s v="T101967"/>
        <s v="T101968"/>
        <s v="T101969"/>
        <s v="T101970"/>
        <s v="T101971"/>
        <s v="T101972"/>
        <s v="T101973"/>
        <s v="T101974"/>
        <s v="T101975"/>
        <s v="T101976"/>
        <s v="T101977"/>
        <s v="T101978"/>
        <s v="T101979"/>
        <s v="T101980"/>
        <s v="T101981"/>
        <s v="T101982"/>
        <s v="T101983"/>
        <s v="T101984"/>
        <s v="T101985"/>
        <s v="T101986"/>
        <s v="T101987"/>
        <s v="T101988"/>
        <s v="T101989"/>
        <s v="T101990"/>
        <s v="T101991"/>
        <s v="T101992"/>
        <s v="T101993"/>
        <s v="T101994"/>
        <s v="T101995"/>
        <s v="T101996"/>
        <s v="T101997"/>
        <s v="T101998"/>
        <s v="T101999"/>
        <s v="T102000"/>
        <s v="T102001"/>
        <s v="T102002"/>
        <s v="T102003"/>
        <s v="T102004"/>
        <s v="T102005"/>
        <s v="T102006"/>
        <s v="T102007"/>
        <s v="T102008"/>
        <s v="T102009"/>
        <s v="T102010"/>
        <s v="T102011"/>
        <s v="T102012"/>
        <s v="T102013"/>
        <s v="T102014"/>
        <s v="T102015"/>
        <s v="T102016"/>
        <s v="T102017"/>
        <s v="T102018"/>
        <s v="T102019"/>
        <s v="T102020"/>
        <s v="T102021"/>
        <s v="T102022"/>
        <s v="T102023"/>
        <s v="T102024"/>
        <s v="T102025"/>
        <s v="T102026"/>
        <s v="T102027"/>
        <s v="T102028"/>
        <s v="T102029"/>
        <s v="T102030"/>
        <s v="T102031"/>
        <s v="T102032"/>
        <s v="T102033"/>
        <s v="T102034"/>
        <s v="T102035"/>
        <s v="T102036"/>
        <s v="T102037"/>
        <s v="T102038"/>
        <s v="T102039"/>
        <s v="T102040"/>
        <s v="T102041"/>
        <s v="T102042"/>
        <s v="T102043"/>
        <s v="T102044"/>
        <s v="T102045"/>
        <s v="T102046"/>
        <s v="T102047"/>
        <s v="T102048"/>
        <s v="T102049"/>
        <s v="T102050"/>
        <s v="T102051"/>
        <s v="T102052"/>
        <s v="T102053"/>
        <s v="T102054"/>
        <s v="T102055"/>
        <s v="T102056"/>
        <s v="T102057"/>
        <s v="T102058"/>
        <s v="T102059"/>
        <s v="T102060"/>
        <s v="T102061"/>
        <s v="T102062"/>
        <s v="T102063"/>
        <s v="T102064"/>
        <s v="T102065"/>
        <s v="T102066"/>
        <s v="T102067"/>
        <s v="T102068"/>
        <s v="T102069"/>
        <s v="T102070"/>
        <s v="T102071"/>
        <s v="T102072"/>
        <s v="T102073"/>
        <s v="T102074"/>
        <s v="T102075"/>
        <s v="T102076"/>
        <s v="T102077"/>
        <s v="T102078"/>
        <s v="T102079"/>
        <s v="T102080"/>
        <s v="T102081"/>
        <s v="T102082"/>
        <s v="T102083"/>
        <s v="T102084"/>
        <s v="T102085"/>
        <s v="T102086"/>
        <s v="T102087"/>
        <s v="T102088"/>
        <s v="T102089"/>
        <s v="T102090"/>
        <s v="T102091"/>
        <s v="T102092"/>
        <s v="T102093"/>
        <s v="T102094"/>
        <s v="T102095"/>
        <s v="T102096"/>
        <s v="T102097"/>
        <s v="T102098"/>
        <s v="T102099"/>
        <s v="T102100"/>
        <s v="T102101"/>
        <s v="T102102"/>
        <s v="T102103"/>
        <s v="T102104"/>
        <s v="T102105"/>
        <s v="T102106"/>
        <s v="T102107"/>
        <s v="T102108"/>
        <s v="T102109"/>
        <s v="T102110"/>
        <s v="T102111"/>
        <s v="T102112"/>
        <s v="T102113"/>
        <s v="T102114"/>
        <s v="T102115"/>
        <s v="T102116"/>
        <s v="T102117"/>
        <s v="T102118"/>
        <s v="T102119"/>
        <s v="T102120"/>
        <s v="T102121"/>
        <s v="T102122"/>
        <s v="T102123"/>
        <s v="T102124"/>
        <s v="T102125"/>
        <s v="T102126"/>
        <s v="T102127"/>
        <s v="T102128"/>
        <s v="T102129"/>
        <s v="T102130"/>
        <s v="T102131"/>
        <s v="T102132"/>
        <s v="T102133"/>
        <s v="T102134"/>
        <s v="T102135"/>
        <s v="T102136"/>
        <s v="T102137"/>
        <s v="T102138"/>
        <s v="T102139"/>
        <s v="T102140"/>
        <s v="T102141"/>
        <s v="T102142"/>
        <s v="T102143"/>
        <s v="T102144"/>
        <s v="T102145"/>
        <s v="T102146"/>
        <s v="T102147"/>
        <s v="T102148"/>
        <s v="T102149"/>
        <s v="T102150"/>
        <s v="T102151"/>
        <s v="T102152"/>
        <s v="T102153"/>
        <s v="T102154"/>
        <s v="T102155"/>
        <s v="T102156"/>
        <s v="T102157"/>
        <s v="T102158"/>
        <s v="T102159"/>
        <s v="T102160"/>
        <s v="T102161"/>
        <s v="T102162"/>
        <s v="T102163"/>
        <s v="T102164"/>
        <s v="T102165"/>
        <s v="T102166"/>
        <s v="T102167"/>
        <s v="T102168"/>
        <s v="T102169"/>
        <s v="T102170"/>
        <s v="T102171"/>
        <s v="T102172"/>
        <s v="T102173"/>
        <s v="T102174"/>
        <s v="T102175"/>
        <s v="T102176"/>
        <s v="T102177"/>
        <s v="T102178"/>
        <s v="T102179"/>
        <s v="T102180"/>
        <s v="T102181"/>
        <s v="T102182"/>
        <s v="T102183"/>
        <s v="T102184"/>
        <s v="T102185"/>
        <s v="T102186"/>
        <s v="T102187"/>
        <s v="T102188"/>
        <s v="T102189"/>
        <s v="T102190"/>
        <s v="T102191"/>
        <s v="T102192"/>
        <s v="T102193"/>
        <s v="T102194"/>
        <s v="T102195"/>
        <s v="T102196"/>
        <s v="T102197"/>
        <s v="T102198"/>
        <s v="T102199"/>
        <s v="T102200"/>
        <s v="T102201"/>
        <s v="T102202"/>
        <s v="T102203"/>
        <s v="T102204"/>
        <s v="T102205"/>
        <s v="T102206"/>
        <s v="T102207"/>
        <s v="T102208"/>
        <s v="T102209"/>
        <s v="T102210"/>
        <s v="T102211"/>
        <s v="T102212"/>
        <s v="T102213"/>
        <s v="T102214"/>
        <s v="T102215"/>
        <s v="T102216"/>
        <s v="T102217"/>
        <s v="T102218"/>
        <s v="T102219"/>
        <s v="T102220"/>
        <s v="T102221"/>
        <s v="T102222"/>
        <s v="T102223"/>
        <s v="T102224"/>
        <s v="T102225"/>
        <s v="T102226"/>
        <s v="T102227"/>
        <s v="T102228"/>
        <s v="T102229"/>
        <s v="T102230"/>
        <s v="T102231"/>
        <s v="T102232"/>
        <s v="T102233"/>
        <s v="T102234"/>
        <s v="T102235"/>
        <s v="T102236"/>
        <s v="T102237"/>
        <s v="T102238"/>
        <s v="T102239"/>
        <s v="T102240"/>
        <s v="T102241"/>
        <s v="T102242"/>
        <s v="T102243"/>
        <s v="T102244"/>
        <s v="T102245"/>
        <s v="T102246"/>
        <s v="T102247"/>
        <s v="T102248"/>
        <s v="T102249"/>
        <s v="T102250"/>
        <s v="T102251"/>
        <s v="T102252"/>
        <s v="T102253"/>
        <s v="T102254"/>
        <s v="T102255"/>
        <s v="T102256"/>
        <s v="T102257"/>
        <s v="T102258"/>
        <s v="T102259"/>
        <s v="T102260"/>
        <s v="T102261"/>
        <s v="T102262"/>
        <s v="T102263"/>
        <s v="T102264"/>
        <s v="T102265"/>
        <s v="T102266"/>
        <s v="T102267"/>
        <s v="T102268"/>
        <s v="T102269"/>
        <s v="T102270"/>
        <s v="T102271"/>
        <s v="T102272"/>
        <s v="T102273"/>
        <s v="T102274"/>
        <s v="T102275"/>
        <s v="T102276"/>
        <s v="T102277"/>
        <s v="T102278"/>
        <s v="T102279"/>
        <s v="T102280"/>
        <s v="T102281"/>
        <s v="T102282"/>
        <s v="T102283"/>
        <s v="T102284"/>
        <s v="T102285"/>
        <s v="T102286"/>
        <s v="T102287"/>
        <s v="T102288"/>
        <s v="T102289"/>
        <s v="T102290"/>
        <s v="T102291"/>
        <s v="T102292"/>
        <s v="T102293"/>
        <s v="T102294"/>
        <s v="T102295"/>
        <s v="T102296"/>
        <s v="T102297"/>
        <s v="T102298"/>
        <s v="T102299"/>
        <s v="T102300"/>
        <s v="T102301"/>
        <s v="T102302"/>
        <s v="T102303"/>
        <s v="T102304"/>
        <s v="T102305"/>
        <s v="T102306"/>
        <s v="T102307"/>
        <s v="T102308"/>
        <s v="T102309"/>
        <s v="T102310"/>
        <s v="T102311"/>
        <s v="T102312"/>
        <s v="T102313"/>
        <s v="T102314"/>
        <s v="T102315"/>
        <s v="T102316"/>
        <s v="T102317"/>
        <s v="T102318"/>
        <s v="T102319"/>
        <s v="T102320"/>
        <s v="T102321"/>
        <s v="T102322"/>
        <s v="T102323"/>
        <s v="T102324"/>
        <s v="T102325"/>
        <s v="T102326"/>
        <s v="T102327"/>
        <s v="T102328"/>
        <s v="T102329"/>
        <s v="T102330"/>
        <s v="T102331"/>
        <s v="T102332"/>
        <s v="T102333"/>
        <s v="T102334"/>
        <s v="T102335"/>
        <s v="T102336"/>
        <s v="T102337"/>
        <s v="T102338"/>
        <s v="T102339"/>
        <s v="T102340"/>
        <s v="T102341"/>
        <s v="T102342"/>
        <s v="T102343"/>
        <s v="T102344"/>
        <s v="T102345"/>
        <s v="T102346"/>
        <s v="T102347"/>
        <s v="T102348"/>
        <s v="T102349"/>
        <s v="T102350"/>
        <s v="T102351"/>
        <s v="T102352"/>
        <s v="T102353"/>
        <s v="T102354"/>
        <s v="T102355"/>
        <s v="T102356"/>
        <s v="T102357"/>
        <s v="T102358"/>
        <s v="T102359"/>
        <s v="T102360"/>
        <s v="T102361"/>
        <s v="T102362"/>
        <s v="T102363"/>
        <s v="T102364"/>
        <s v="T102365"/>
        <s v="T102366"/>
        <s v="T102367"/>
        <s v="T102368"/>
        <s v="T102369"/>
        <s v="T102370"/>
        <s v="T102371"/>
        <s v="T102372"/>
        <s v="T102373"/>
        <s v="T102374"/>
        <s v="T102375"/>
        <s v="T102376"/>
        <s v="T102377"/>
        <s v="T102378"/>
        <s v="T102379"/>
        <s v="T102380"/>
        <s v="T102381"/>
        <s v="T102382"/>
        <s v="T102383"/>
        <s v="T102384"/>
        <s v="T102385"/>
        <s v="T102386"/>
        <s v="T102387"/>
        <s v="T102388"/>
        <s v="T102389"/>
        <s v="T102390"/>
        <s v="T102391"/>
        <s v="T102392"/>
        <s v="T102393"/>
        <s v="T102394"/>
        <s v="T102395"/>
        <s v="T102396"/>
        <s v="T102397"/>
        <s v="T102398"/>
        <s v="T102399"/>
        <s v="T102400"/>
        <s v="T102401"/>
        <s v="T102402"/>
        <s v="T102403"/>
        <s v="T102404"/>
        <s v="T102405"/>
        <s v="T102406"/>
        <s v="T102407"/>
        <s v="T102408"/>
        <s v="T102409"/>
        <s v="T102410"/>
        <s v="T102411"/>
        <s v="T102412"/>
        <s v="T102413"/>
        <s v="T102414"/>
        <s v="T102415"/>
        <s v="T102416"/>
        <s v="T102417"/>
        <s v="T102418"/>
        <s v="T102419"/>
        <s v="T102420"/>
        <s v="T102421"/>
        <s v="T102422"/>
        <s v="T102423"/>
        <s v="T102424"/>
        <s v="T102425"/>
        <s v="T102426"/>
        <s v="T102427"/>
        <s v="T102428"/>
        <s v="T102429"/>
        <s v="T102430"/>
        <s v="T102431"/>
        <s v="T102432"/>
        <s v="T102433"/>
        <s v="T102434"/>
        <s v="T102435"/>
        <s v="T102436"/>
        <s v="T102437"/>
        <s v="T102438"/>
        <s v="T102439"/>
        <s v="T102440"/>
        <s v="T102441"/>
        <s v="T102442"/>
        <s v="T102443"/>
        <s v="T102444"/>
        <s v="T102445"/>
        <s v="T102446"/>
        <s v="T102447"/>
        <s v="T102448"/>
        <s v="T102449"/>
        <s v="T102450"/>
        <s v="T102451"/>
        <s v="T102452"/>
        <s v="T102453"/>
        <s v="T102454"/>
        <s v="T102455"/>
        <s v="T102456"/>
        <s v="T102457"/>
        <s v="T102458"/>
        <s v="T102459"/>
        <s v="T102460"/>
        <s v="T102461"/>
        <s v="T102462"/>
        <s v="T102463"/>
        <s v="T102464"/>
        <s v="T102465"/>
        <s v="T102466"/>
        <s v="T102467"/>
        <s v="T102468"/>
        <s v="T102469"/>
        <s v="T102470"/>
        <s v="T102471"/>
        <s v="T102472"/>
        <s v="T102473"/>
        <s v="T102474"/>
        <s v="T102475"/>
        <s v="T102476"/>
        <s v="T102477"/>
        <s v="T102478"/>
        <s v="T102479"/>
        <s v="T102480"/>
        <s v="T102481"/>
        <s v="T102482"/>
        <s v="T102483"/>
        <s v="T102484"/>
        <s v="T102485"/>
        <s v="T102486"/>
        <s v="T102487"/>
        <s v="T102488"/>
        <s v="T102489"/>
        <s v="T102490"/>
        <s v="T102491"/>
        <s v="T102492"/>
        <s v="T102493"/>
        <s v="T102494"/>
        <s v="T102495"/>
        <s v="T102496"/>
        <s v="T102497"/>
        <s v="T102498"/>
        <s v="T102499"/>
      </sharedItems>
    </cacheField>
    <cacheField name="Customer_ID" numFmtId="0">
      <sharedItems/>
    </cacheField>
    <cacheField name="Transaction_Date" numFmtId="22">
      <sharedItems containsSemiMixedTypes="0" containsNonDate="0" containsDate="1" containsString="0" minDate="2024-01-01T00:00:00" maxDate="2024-04-15T00:00:00"/>
    </cacheField>
    <cacheField name="Transaction_Amount" numFmtId="0">
      <sharedItems containsSemiMixedTypes="0" containsString="0" containsNumber="1" minValue="128.18" maxValue="49985.9"/>
    </cacheField>
    <cacheField name="Transaction_Type" numFmtId="0">
      <sharedItems count="4">
        <s v="ATM"/>
        <s v="Bank Transfer"/>
        <s v="Online"/>
        <s v="POS"/>
      </sharedItems>
    </cacheField>
    <cacheField name="Payment_Method" numFmtId="0">
      <sharedItems count="4">
        <s v="Net Banking"/>
        <s v="UPI"/>
        <s v="Credit Card"/>
        <s v="Debit Card"/>
      </sharedItems>
    </cacheField>
    <cacheField name="Merchant_Category" numFmtId="0">
      <sharedItems/>
    </cacheField>
    <cacheField name="Customer_Location" numFmtId="0">
      <sharedItems count="5">
        <s v="Maharashtra"/>
        <s v="Kerala"/>
        <s v="Delhi"/>
        <s v="Karnataka"/>
        <s v="Tamil Nadu"/>
      </sharedItems>
    </cacheField>
    <cacheField name="Transaction_Location" numFmtId="0">
      <sharedItems count="5">
        <s v="Maharashtra"/>
        <s v="Tamil Nadu"/>
        <s v="Delhi"/>
        <s v="Karnataka"/>
        <s v="Kerala"/>
      </sharedItems>
    </cacheField>
    <cacheField name="Device_Type" numFmtId="0">
      <sharedItems/>
    </cacheField>
    <cacheField name="Is_International" numFmtId="0">
      <sharedItems containsSemiMixedTypes="0" containsString="0" containsNumber="1" containsInteger="1" minValue="0" maxValue="1"/>
    </cacheField>
    <cacheField name="Previous_Fraud_Count" numFmtId="0">
      <sharedItems containsSemiMixedTypes="0" containsString="0" containsNumber="1" containsInteger="1" minValue="0" maxValue="4"/>
    </cacheField>
    <cacheField name="Risk_Score" numFmtId="0">
      <sharedItems containsSemiMixedTypes="0" containsString="0" containsNumber="1" minValue="0.03" maxValue="13.93" count="963">
        <n v="7.88"/>
        <n v="11.75"/>
        <n v="7.66"/>
        <n v="5.5"/>
        <n v="3.78"/>
        <n v="3.28"/>
        <n v="2.8"/>
        <n v="11.33"/>
        <n v="10.51"/>
        <n v="3.54"/>
        <n v="1.1100000000000001"/>
        <n v="8.85"/>
        <n v="5.16"/>
        <n v="7.07"/>
        <n v="7.41"/>
        <n v="3.42"/>
        <n v="4.0199999999999996"/>
        <n v="9.6300000000000008"/>
        <n v="3.16"/>
        <n v="3.96"/>
        <n v="4.0599999999999996"/>
        <n v="7.7"/>
        <n v="2.96"/>
        <n v="5.83"/>
        <n v="7.78"/>
        <n v="4.93"/>
        <n v="2"/>
        <n v="3.57"/>
        <n v="7.24"/>
        <n v="9.0399999999999991"/>
        <n v="7.86"/>
        <n v="6.33"/>
        <n v="10.83"/>
        <n v="6.54"/>
        <n v="5.53"/>
        <n v="6.49"/>
        <n v="7.42"/>
        <n v="9.1999999999999993"/>
        <n v="4.6100000000000003"/>
        <n v="7.98"/>
        <n v="3.18"/>
        <n v="6.05"/>
        <n v="2.2999999999999998"/>
        <n v="7.31"/>
        <n v="2.56"/>
        <n v="8.1"/>
        <n v="8.24"/>
        <n v="3.43"/>
        <n v="9.35"/>
        <n v="6.88"/>
        <n v="11.7"/>
        <n v="9.9700000000000006"/>
        <n v="3.99"/>
        <n v="10.61"/>
        <n v="5.95"/>
        <n v="4.9800000000000004"/>
        <n v="5.73"/>
        <n v="4.13"/>
        <n v="2.95"/>
        <n v="1.36"/>
        <n v="6.64"/>
        <n v="10.79"/>
        <n v="3.91"/>
        <n v="3.72"/>
        <n v="4.71"/>
        <n v="11.01"/>
        <n v="5.88"/>
        <n v="7.93"/>
        <n v="12.86"/>
        <n v="1.03"/>
        <n v="8.08"/>
        <n v="10.54"/>
        <n v="9.15"/>
        <n v="9.36"/>
        <n v="2.87"/>
        <n v="5.8"/>
        <n v="7.58"/>
        <n v="8.32"/>
        <n v="8.6199999999999992"/>
        <n v="8.66"/>
        <n v="1.32"/>
        <n v="8.6300000000000008"/>
        <n v="7.65"/>
        <n v="9.19"/>
        <n v="7.44"/>
        <n v="3.36"/>
        <n v="9.57"/>
        <n v="7.81"/>
        <n v="8.31"/>
        <n v="3.47"/>
        <n v="9.6199999999999992"/>
        <n v="4.6399999999999997"/>
        <n v="7.13"/>
        <n v="3.04"/>
        <n v="5.66"/>
        <n v="5.68"/>
        <n v="4.08"/>
        <n v="10.050000000000001"/>
        <n v="6.75"/>
        <n v="2.0499999999999998"/>
        <n v="3.65"/>
        <n v="7.89"/>
        <n v="6.95"/>
        <n v="6.31"/>
        <n v="11.65"/>
        <n v="8.0399999999999991"/>
        <n v="7.17"/>
        <n v="8.36"/>
        <n v="11.02"/>
        <n v="5.44"/>
        <n v="7.46"/>
        <n v="8.1999999999999993"/>
        <n v="7.48"/>
        <n v="6.09"/>
        <n v="7.55"/>
        <n v="1.1399999999999999"/>
        <n v="9.14"/>
        <n v="11.09"/>
        <n v="11.3"/>
        <n v="4.04"/>
        <n v="5.0599999999999996"/>
        <n v="2.11"/>
        <n v="8.6"/>
        <n v="7.19"/>
        <n v="5.71"/>
        <n v="4.12"/>
        <n v="3.6"/>
        <n v="7.52"/>
        <n v="7.32"/>
        <n v="8.86"/>
        <n v="10.81"/>
        <n v="8.26"/>
        <n v="5.49"/>
        <n v="7.51"/>
        <n v="8.43"/>
        <n v="2.69"/>
        <n v="6.55"/>
        <n v="6.52"/>
        <n v="3.26"/>
        <n v="3.9"/>
        <n v="5.54"/>
        <n v="2.7"/>
        <n v="6.73"/>
        <n v="7.95"/>
        <n v="10.93"/>
        <n v="6.71"/>
        <n v="5.69"/>
        <n v="8.34"/>
        <n v="4.16"/>
        <n v="8.18"/>
        <n v="3.46"/>
        <n v="7.11"/>
        <n v="3.94"/>
        <n v="4.21"/>
        <n v="5.46"/>
        <n v="4.3899999999999997"/>
        <n v="1.0900000000000001"/>
        <n v="8.06"/>
        <n v="3.64"/>
        <n v="8.73"/>
        <n v="0.88"/>
        <n v="5.96"/>
        <n v="7.94"/>
        <n v="7.18"/>
        <n v="3.19"/>
        <n v="7.71"/>
        <n v="4.57"/>
        <n v="10.62"/>
        <n v="8.39"/>
        <n v="2.29"/>
        <n v="9.65"/>
        <n v="1.47"/>
        <n v="11.5"/>
        <n v="8.67"/>
        <n v="5.75"/>
        <n v="6.13"/>
        <n v="8.99"/>
        <n v="8.94"/>
        <n v="10.9"/>
        <n v="8.7100000000000009"/>
        <n v="9.43"/>
        <n v="6.81"/>
        <n v="8.49"/>
        <n v="4.03"/>
        <n v="0.51"/>
        <n v="4.32"/>
        <n v="0.03"/>
        <n v="2.75"/>
        <n v="10.96"/>
        <n v="12.26"/>
        <n v="6.63"/>
        <n v="10.56"/>
        <n v="8.23"/>
        <n v="4.75"/>
        <n v="11.25"/>
        <n v="3.29"/>
        <n v="6.84"/>
        <n v="4.47"/>
        <n v="4.34"/>
        <n v="2.33"/>
        <n v="5.72"/>
        <n v="7.87"/>
        <n v="6.47"/>
        <n v="8.4600000000000009"/>
        <n v="3.98"/>
        <n v="5.52"/>
        <n v="3.89"/>
        <n v="6.97"/>
        <n v="1.98"/>
        <n v="9.11"/>
        <n v="5.91"/>
        <n v="1.1299999999999999"/>
        <n v="6.89"/>
        <n v="7.2"/>
        <n v="5.77"/>
        <n v="10.07"/>
        <n v="2.85"/>
        <n v="5.58"/>
        <n v="5.64"/>
        <n v="7.33"/>
        <n v="5.82"/>
        <n v="5.27"/>
        <n v="8.48"/>
        <n v="2.93"/>
        <n v="4.26"/>
        <n v="1.85"/>
        <n v="5.79"/>
        <n v="10.48"/>
        <n v="10.35"/>
        <n v="2.99"/>
        <n v="6.08"/>
        <n v="9.4499999999999993"/>
        <n v="6.7"/>
        <n v="7.09"/>
        <n v="11.39"/>
        <n v="7.21"/>
        <n v="7.49"/>
        <n v="4.3"/>
        <n v="11.05"/>
        <n v="5.84"/>
        <n v="9.07"/>
        <n v="5.56"/>
        <n v="8.01"/>
        <n v="6.25"/>
        <n v="9.01"/>
        <n v="9.48"/>
        <n v="4.45"/>
        <n v="1.69"/>
        <n v="5.39"/>
        <n v="5.33"/>
        <n v="10.44"/>
        <n v="6.96"/>
        <n v="2.66"/>
        <n v="5.1100000000000003"/>
        <n v="2.14"/>
        <n v="6.61"/>
        <n v="10.85"/>
        <n v="2.58"/>
        <n v="7.12"/>
        <n v="5.93"/>
        <n v="5.76"/>
        <n v="3.71"/>
        <n v="9.1300000000000008"/>
        <n v="3.58"/>
        <n v="5.62"/>
        <n v="6.98"/>
        <n v="2.36"/>
        <n v="6.2"/>
        <n v="7.4"/>
        <n v="5.63"/>
        <n v="13.81"/>
        <n v="11.18"/>
        <n v="4.4800000000000004"/>
        <n v="3.05"/>
        <n v="7.79"/>
        <n v="5.25"/>
        <n v="11.07"/>
        <n v="12.3"/>
        <n v="5.4"/>
        <n v="8.27"/>
        <n v="4.6900000000000004"/>
        <n v="9.77"/>
        <n v="7.06"/>
        <n v="6.1"/>
        <n v="4.24"/>
        <n v="2.78"/>
        <n v="6.29"/>
        <n v="3.08"/>
        <n v="1.21"/>
        <n v="6.02"/>
        <n v="6.37"/>
        <n v="4.87"/>
        <n v="6.87"/>
        <n v="6.17"/>
        <n v="5"/>
        <n v="4.18"/>
        <n v="2.73"/>
        <n v="6.38"/>
        <n v="7.28"/>
        <n v="7.82"/>
        <n v="5.86"/>
        <n v="9.7100000000000009"/>
        <n v="2.64"/>
        <n v="6.93"/>
        <n v="10.199999999999999"/>
        <n v="8.3800000000000008"/>
        <n v="9.44"/>
        <n v="7.72"/>
        <n v="6.79"/>
        <n v="3.73"/>
        <n v="11.81"/>
        <n v="7.53"/>
        <n v="1.35"/>
        <n v="1.51"/>
        <n v="6.42"/>
        <n v="7.1"/>
        <n v="9.73"/>
        <n v="4.41"/>
        <n v="3.1"/>
        <n v="10.15"/>
        <n v="8.52"/>
        <n v="5.04"/>
        <n v="7.45"/>
        <n v="3.07"/>
        <n v="4.3600000000000003"/>
        <n v="4.88"/>
        <n v="2.71"/>
        <n v="7.15"/>
        <n v="11.29"/>
        <n v="9.27"/>
        <n v="1.52"/>
        <n v="10.01"/>
        <n v="2.5299999999999998"/>
        <n v="11.13"/>
        <n v="5.98"/>
        <n v="3.06"/>
        <n v="10.53"/>
        <n v="7.25"/>
        <n v="10.37"/>
        <n v="3.97"/>
        <n v="9.26"/>
        <n v="9.4600000000000009"/>
        <n v="3.21"/>
        <n v="6.94"/>
        <n v="4.76"/>
        <n v="1.59"/>
        <n v="3.22"/>
        <n v="4.09"/>
        <n v="1.93"/>
        <n v="9.5299999999999994"/>
        <n v="3.41"/>
        <n v="1.43"/>
        <n v="7.37"/>
        <n v="13.06"/>
        <n v="11.74"/>
        <n v="11.93"/>
        <n v="10.77"/>
        <n v="2.88"/>
        <n v="1.42"/>
        <n v="6.62"/>
        <n v="7.56"/>
        <n v="4.97"/>
        <n v="4.5599999999999996"/>
        <n v="3.35"/>
        <n v="4.29"/>
        <n v="3.59"/>
        <n v="3.25"/>
        <n v="8.42"/>
        <n v="8.81"/>
        <n v="2.12"/>
        <n v="10.32"/>
        <n v="7.35"/>
        <n v="6.22"/>
        <n v="10.46"/>
        <n v="4.37"/>
        <n v="4.1500000000000004"/>
        <n v="8.98"/>
        <n v="9.2799999999999994"/>
        <n v="9.64"/>
        <n v="5.42"/>
        <n v="8.51"/>
        <n v="4.7300000000000004"/>
        <n v="6.91"/>
        <n v="9.9499999999999993"/>
        <n v="6.44"/>
        <n v="9.32"/>
        <n v="4.2699999999999996"/>
        <n v="9.92"/>
        <n v="4.8899999999999997"/>
        <n v="8.93"/>
        <n v="11.68"/>
        <n v="2.5499999999999998"/>
        <n v="5.32"/>
        <n v="11.56"/>
        <n v="8.75"/>
        <n v="4.63"/>
        <n v="5.57"/>
        <n v="5.09"/>
        <n v="9.16"/>
        <n v="8.83"/>
        <n v="4.2300000000000004"/>
        <n v="6.14"/>
        <n v="2.89"/>
        <n v="8.5500000000000007"/>
        <n v="11.94"/>
        <n v="5.26"/>
        <n v="7.91"/>
        <n v="10.19"/>
        <n v="2.35"/>
        <n v="6.58"/>
        <n v="3.87"/>
        <n v="4.79"/>
        <n v="5.07"/>
        <n v="9"/>
        <n v="10.98"/>
        <n v="9.7799999999999994"/>
        <n v="7.85"/>
        <n v="3.74"/>
        <n v="2.2599999999999998"/>
        <n v="6.15"/>
        <n v="7.77"/>
        <n v="6.65"/>
        <n v="10.86"/>
        <n v="5.0999999999999996"/>
        <n v="11.76"/>
        <n v="10.31"/>
        <n v="7.38"/>
        <n v="9.02"/>
        <n v="3.17"/>
        <n v="5.65"/>
        <n v="4.5999999999999996"/>
        <n v="2.76"/>
        <n v="8.9499999999999993"/>
        <n v="5.74"/>
        <n v="4.92"/>
        <n v="5.61"/>
        <n v="3.24"/>
        <n v="4.8"/>
        <n v="11.9"/>
        <n v="10.17"/>
        <n v="2.2000000000000002"/>
        <n v="0.76"/>
        <n v="3.2"/>
        <n v="7.34"/>
        <n v="7.97"/>
        <n v="5.35"/>
        <n v="4.4000000000000004"/>
        <n v="1.89"/>
        <n v="4.95"/>
        <n v="8.11"/>
        <n v="3.32"/>
        <n v="10.45"/>
        <n v="4.2"/>
        <n v="11"/>
        <n v="7.64"/>
        <n v="6.41"/>
        <n v="8.3699999999999992"/>
        <n v="10.74"/>
        <n v="6.43"/>
        <n v="2.86"/>
        <n v="9.24"/>
        <n v="4.66"/>
        <n v="7.74"/>
        <n v="3.67"/>
        <n v="3.85"/>
        <n v="8.89"/>
        <n v="1.06"/>
        <n v="4.1399999999999997"/>
        <n v="5.6"/>
        <n v="11.45"/>
        <n v="8.4700000000000006"/>
        <n v="3.49"/>
        <n v="5.94"/>
        <n v="6.23"/>
        <n v="6.16"/>
        <n v="1.64"/>
        <n v="9.86"/>
        <n v="13.93"/>
        <n v="5.19"/>
        <n v="2.0099999999999998"/>
        <n v="1.77"/>
        <n v="3.44"/>
        <n v="3.37"/>
        <n v="4.91"/>
        <n v="7.62"/>
        <n v="8.91"/>
        <n v="0.56000000000000005"/>
        <n v="1.99"/>
        <n v="5.85"/>
        <n v="5.29"/>
        <n v="1.86"/>
        <n v="7.84"/>
        <n v="9.7899999999999991"/>
        <n v="6.86"/>
        <n v="6.85"/>
        <n v="4.62"/>
        <n v="5.22"/>
        <n v="5.45"/>
        <n v="8.2799999999999994"/>
        <n v="6.67"/>
        <n v="6.26"/>
        <n v="4.1900000000000004"/>
        <n v="3.68"/>
        <n v="11.95"/>
        <n v="8.0500000000000007"/>
        <n v="6.3"/>
        <n v="5.48"/>
        <n v="6.36"/>
        <n v="8.15"/>
        <n v="11.21"/>
        <n v="10.210000000000001"/>
        <n v="1.7"/>
        <n v="6.48"/>
        <n v="6.51"/>
        <n v="3.33"/>
        <n v="8.07"/>
        <n v="7.39"/>
        <n v="5.97"/>
        <n v="5.08"/>
        <n v="6.32"/>
        <n v="5.0199999999999996"/>
        <n v="3.66"/>
        <n v="7.5"/>
        <n v="4.42"/>
        <n v="7.03"/>
        <n v="9.1199999999999992"/>
        <n v="6.59"/>
        <n v="8.68"/>
        <n v="9.4700000000000006"/>
        <n v="9.1"/>
        <n v="13.47"/>
        <n v="4.9400000000000004"/>
        <n v="4.72"/>
        <n v="0.17"/>
        <n v="5.38"/>
        <n v="8.14"/>
        <n v="5.15"/>
        <n v="7.61"/>
        <n v="8.2200000000000006"/>
        <n v="7.26"/>
        <n v="13.54"/>
        <n v="4.51"/>
        <n v="4.8099999999999996"/>
        <n v="0.77"/>
        <n v="3.93"/>
        <n v="6.53"/>
        <n v="11.36"/>
        <n v="9.5399999999999991"/>
        <n v="6.27"/>
        <n v="3.88"/>
        <n v="3.62"/>
        <n v="7.68"/>
        <n v="4.67"/>
        <n v="6.07"/>
        <n v="9.42"/>
        <n v="1.63"/>
        <n v="11.6"/>
        <n v="8.35"/>
        <n v="6.6"/>
        <n v="8"/>
        <n v="1.28"/>
        <n v="9.52"/>
        <n v="2.67"/>
        <n v="3.69"/>
        <n v="10.6"/>
        <n v="3.23"/>
        <n v="6.24"/>
        <n v="5.13"/>
        <n v="7.76"/>
        <n v="3.39"/>
        <n v="9.49"/>
        <n v="7.6"/>
        <n v="2.82"/>
        <n v="7.0000000000000007E-2"/>
        <n v="3.75"/>
        <n v="4.58"/>
        <n v="11.98"/>
        <n v="9.25"/>
        <n v="11.49"/>
        <n v="8.9600000000000009"/>
        <n v="3.86"/>
        <n v="1.33"/>
        <n v="10.88"/>
        <n v="11.27"/>
        <n v="6.21"/>
        <n v="3.01"/>
        <n v="9.8000000000000007"/>
        <n v="6.78"/>
        <n v="9.23"/>
        <n v="10.87"/>
        <n v="7.36"/>
        <n v="8.7200000000000006"/>
        <n v="9.0500000000000007"/>
        <n v="4.78"/>
        <n v="9.58"/>
        <n v="7.3"/>
        <n v="1.1599999999999999"/>
        <n v="3.4"/>
        <n v="1.19"/>
        <n v="8.61"/>
        <n v="10.34"/>
        <n v="8.5299999999999994"/>
        <n v="5.47"/>
        <n v="2.57"/>
        <n v="4.43"/>
        <n v="2.54"/>
        <n v="1.91"/>
        <n v="9.9600000000000009"/>
        <n v="11.59"/>
        <n v="9.3000000000000007"/>
        <n v="4.68"/>
        <n v="3.82"/>
        <n v="11.34"/>
        <n v="7"/>
        <n v="3.13"/>
        <n v="8.2899999999999991"/>
        <n v="11.92"/>
        <n v="2.37"/>
        <n v="13.57"/>
        <n v="4.59"/>
        <n v="9.8800000000000008"/>
        <n v="8.65"/>
        <n v="8.5"/>
        <n v="9.8699999999999992"/>
        <n v="4.5"/>
        <n v="6.83"/>
        <n v="9.6"/>
        <n v="3.84"/>
        <n v="6.19"/>
        <n v="2.23"/>
        <n v="6.99"/>
        <n v="3.38"/>
        <n v="9.66"/>
        <n v="7.67"/>
        <n v="7.54"/>
        <n v="2.1800000000000002"/>
        <n v="5.24"/>
        <n v="11.1"/>
        <n v="5.31"/>
        <n v="4.46"/>
        <n v="10.75"/>
        <n v="11.37"/>
        <n v="5.03"/>
        <n v="3.3"/>
        <n v="6.45"/>
        <n v="6.03"/>
        <n v="9.84"/>
        <n v="10.58"/>
        <n v="10.99"/>
        <n v="10.220000000000001"/>
        <n v="6.72"/>
        <n v="4.0999999999999996"/>
        <n v="7.69"/>
        <n v="8.6999999999999993"/>
        <n v="1.83"/>
        <n v="9.6999999999999993"/>
        <n v="10.130000000000001"/>
        <n v="9.93"/>
        <n v="3.11"/>
        <n v="5.87"/>
        <n v="9.99"/>
        <n v="10.49"/>
        <n v="10.84"/>
        <n v="7.9"/>
        <n v="5.37"/>
        <n v="12.92"/>
        <n v="4.84"/>
        <n v="9.09"/>
        <n v="12.69"/>
        <n v="8.7799999999999994"/>
        <n v="4.4400000000000004"/>
        <n v="2.4900000000000002"/>
        <n v="8.17"/>
        <n v="2.72"/>
        <n v="7.59"/>
        <n v="10.71"/>
        <n v="7.75"/>
        <n v="2.61"/>
        <n v="9.94"/>
        <n v="4.9000000000000004"/>
        <n v="7.29"/>
        <n v="10.64"/>
        <n v="12.97"/>
        <n v="3.48"/>
        <n v="3.27"/>
        <n v="5.12"/>
        <n v="9.69"/>
        <n v="8.4"/>
        <n v="3.83"/>
        <n v="3.76"/>
        <n v="8.92"/>
        <n v="5.89"/>
        <n v="6.76"/>
        <n v="1.74"/>
        <n v="13.39"/>
        <n v="8.25"/>
        <n v="6.04"/>
        <n v="6.9"/>
        <n v="9.7200000000000006"/>
        <n v="3.31"/>
        <n v="8.16"/>
        <n v="10.039999999999999"/>
        <n v="5.59"/>
        <n v="7.16"/>
        <n v="6.8"/>
        <n v="5.7"/>
        <n v="1.54"/>
        <n v="10.16"/>
        <n v="3.02"/>
        <n v="8.69"/>
        <n v="3.34"/>
        <n v="6.34"/>
        <n v="9.91"/>
        <n v="10.11"/>
        <n v="7.23"/>
        <n v="9.75"/>
        <n v="3.15"/>
        <n v="3.12"/>
        <n v="2.62"/>
        <n v="7.73"/>
        <n v="1.82"/>
        <n v="10.47"/>
        <n v="3.61"/>
        <n v="9.4"/>
        <n v="7.27"/>
        <n v="13.92"/>
        <n v="2.15"/>
        <n v="6.57"/>
        <n v="0.16"/>
        <n v="9.82"/>
        <n v="12.34"/>
        <n v="0.93"/>
        <n v="5.34"/>
        <n v="0.66"/>
        <n v="9.98"/>
        <n v="3.09"/>
        <n v="4.96"/>
        <n v="5.28"/>
        <n v="13.3"/>
        <n v="6.4"/>
        <n v="4.53"/>
        <n v="5.21"/>
        <n v="9.5"/>
        <n v="7.14"/>
        <n v="2.94"/>
        <n v="1.17"/>
        <n v="4.49"/>
        <n v="6.5"/>
        <n v="5.18"/>
        <n v="8.2100000000000009"/>
        <n v="5.01"/>
        <n v="8.59"/>
        <n v="10.72"/>
        <n v="11.66"/>
        <n v="1.8"/>
        <n v="11.88"/>
        <n v="7.99"/>
        <n v="4"/>
        <n v="4.82"/>
        <n v="10"/>
        <n v="9.06"/>
        <n v="10.119999999999999"/>
        <n v="1.66"/>
        <n v="5.55"/>
        <n v="6.46"/>
        <n v="9.85"/>
        <n v="7.47"/>
        <n v="8.7899999999999991"/>
        <n v="9.3699999999999992"/>
        <n v="4.7699999999999996"/>
        <n v="2.68"/>
        <n v="0.37"/>
        <n v="2.6"/>
        <n v="11.15"/>
        <n v="6.66"/>
        <n v="4.25"/>
        <n v="11.03"/>
        <n v="5.43"/>
        <n v="0.61"/>
        <n v="5.67"/>
        <n v="11.28"/>
        <n v="7.08"/>
        <n v="3.95"/>
        <n v="3.7"/>
        <n v="8.5399999999999991"/>
        <n v="8.02"/>
        <n v="7.01"/>
        <n v="11.85"/>
        <n v="2.97"/>
        <n v="2.39"/>
        <n v="11.69"/>
        <n v="4.99"/>
        <n v="11.35"/>
        <n v="13.66"/>
        <n v="8.8800000000000008"/>
        <n v="11.89"/>
        <n v="9.41"/>
        <n v="4.5199999999999996"/>
        <n v="8.64"/>
        <n v="9.18"/>
        <n v="3.03"/>
        <n v="1.37"/>
        <n v="9.34"/>
        <n v="0.13"/>
        <n v="2.9"/>
        <n v="9.67"/>
        <n v="8.33"/>
        <n v="10.59"/>
        <n v="1.1000000000000001"/>
        <n v="10.14"/>
        <n v="5.81"/>
        <n v="13.67"/>
        <n v="3.51"/>
        <n v="6.06"/>
        <n v="6.11"/>
        <n v="9.5500000000000007"/>
        <n v="3.92"/>
        <n v="8.0299999999999994"/>
        <n v="10.25"/>
        <n v="1.22"/>
        <n v="9.17"/>
        <n v="10.26"/>
        <n v="3.56"/>
        <n v="10.06"/>
        <n v="2.06"/>
        <n v="2.77"/>
        <n v="8.19"/>
        <n v="4.28"/>
        <n v="2.63"/>
        <n v="4.3499999999999996"/>
        <n v="11.47"/>
        <n v="4.6500000000000004"/>
        <n v="1.31"/>
        <n v="0.49"/>
        <n v="6.28"/>
        <n v="4.74"/>
        <n v="10.33"/>
        <n v="11.64"/>
        <n v="6"/>
        <n v="0.64"/>
        <n v="10.55"/>
        <n v="7.02"/>
        <n v="8.82"/>
        <n v="3.77"/>
        <n v="9.59"/>
        <n v="11.61"/>
        <n v="8.84"/>
        <n v="4.8499999999999996"/>
        <n v="12.33"/>
        <n v="5.17"/>
        <n v="2.08"/>
        <n v="2.79"/>
        <n v="9.61"/>
        <n v="6.82"/>
        <n v="8.58"/>
        <n v="10.43"/>
        <n v="11.14"/>
        <n v="8.41"/>
        <n v="7.8"/>
        <n v="2.21"/>
        <n v="5.99"/>
        <n v="8.44"/>
        <n v="2.31"/>
        <n v="5.78"/>
        <n v="4.1100000000000003"/>
        <n v="7.92"/>
        <n v="2.48"/>
        <n v="12.13"/>
        <n v="7.22"/>
        <n v="11.91"/>
        <n v="3.63"/>
        <n v="10.1"/>
        <n v="9.3800000000000008"/>
        <n v="4.83"/>
        <n v="7.57"/>
        <n v="0.8"/>
        <n v="1.02"/>
        <n v="10.92"/>
        <n v="0.75"/>
        <n v="1.97"/>
        <n v="4.54"/>
        <n v="10.94"/>
        <n v="1.45"/>
        <n v="1.6"/>
        <n v="10.36"/>
        <n v="3"/>
        <n v="5.3"/>
        <n v="4.01"/>
        <n v="9.76"/>
        <n v="10.28"/>
        <n v="2.41"/>
        <n v="6.74"/>
        <n v="11.53"/>
        <n v="10.66"/>
        <n v="10.27"/>
        <n v="3.81"/>
        <n v="1.58"/>
        <n v="6.12"/>
        <n v="2.91"/>
        <n v="10.73"/>
        <n v="5.51"/>
        <n v="0.83"/>
        <n v="3.53"/>
        <n v="4.8600000000000003"/>
        <n v="7.83"/>
        <n v="2.0299999999999998"/>
        <n v="10.29"/>
        <n v="3.52"/>
        <n v="10.42"/>
        <n v="1.76"/>
        <n v="5.41"/>
        <n v="6.68"/>
        <n v="11.41"/>
        <n v="10.3"/>
        <n v="1.94"/>
        <n v="2.5099999999999998"/>
        <n v="5.2"/>
        <n v="1.71"/>
        <n v="2.74"/>
        <n v="4.17"/>
        <n v="8.77"/>
        <n v="5.36"/>
        <n v="4.3099999999999996"/>
        <n v="1.56"/>
        <n v="8.3000000000000007"/>
        <n v="2.4"/>
        <n v="10.63"/>
        <n v="1.49"/>
        <n v="9.2200000000000006"/>
        <n v="11.46"/>
        <n v="5.92"/>
        <n v="8.09"/>
        <n v="8.57"/>
        <n v="1.44"/>
        <n v="10.09"/>
        <n v="8.8699999999999992"/>
        <n v="6.01"/>
        <n v="10.18"/>
        <n v="1.26"/>
        <n v="6.92"/>
        <n v="8.56"/>
        <n v="11.12"/>
        <n v="1.48"/>
        <n v="9.89"/>
        <n v="8.4499999999999993"/>
        <n v="11.11"/>
        <n v="0.84"/>
        <n v="10.82"/>
        <n v="2.92"/>
        <n v="2.4500000000000002"/>
        <n v="11.78"/>
        <n v="10.02"/>
        <n v="12.31"/>
        <n v="10.95"/>
        <n v="7.43"/>
        <n v="9.81"/>
        <n v="9.2100000000000009"/>
        <n v="2.52"/>
        <n v="8.74"/>
        <n v="3.14"/>
        <n v="11.82"/>
        <n v="6.56"/>
        <n v="11.83"/>
      </sharedItems>
    </cacheField>
    <cacheField name="Is_Fraud" numFmtId="0">
      <sharedItems containsSemiMixedTypes="0" containsString="0" containsNumber="1" containsInteger="1" minValue="0" maxValue="1"/>
    </cacheField>
    <cacheField name="Risk Category" numFmtId="0">
      <sharedItems count="3">
        <s v="Med"/>
        <s v="High"/>
        <s v="Low"/>
      </sharedItems>
    </cacheField>
    <cacheField name="Month" numFmtId="0">
      <sharedItems count="4">
        <s v="Jan"/>
        <s v="Feb"/>
        <s v="Mar"/>
        <s v="Apr"/>
      </sharedItems>
    </cacheField>
    <cacheField name="Frude_Status" numFmtId="0">
      <sharedItems count="2">
        <s v="Yes"/>
        <s v="No"/>
      </sharedItems>
    </cacheField>
  </cacheFields>
  <extLst>
    <ext xmlns:x14="http://schemas.microsoft.com/office/spreadsheetml/2009/9/main" uri="{725AE2AE-9491-48be-B2B4-4EB974FC3084}">
      <x14:pivotCacheDefinition pivotCacheId="920345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s v="C1421"/>
    <d v="2024-01-01T00:00:00"/>
    <n v="18758.28"/>
    <x v="0"/>
    <x v="0"/>
    <s v="Travel"/>
    <x v="0"/>
    <x v="0"/>
    <s v="Desktop"/>
    <n v="0"/>
    <n v="4"/>
    <x v="0"/>
    <n v="1"/>
    <x v="0"/>
    <x v="0"/>
    <x v="0"/>
  </r>
  <r>
    <x v="1"/>
    <s v="C1100"/>
    <d v="2024-01-01T01:00:00"/>
    <n v="47538.18"/>
    <x v="0"/>
    <x v="0"/>
    <s v="Travel"/>
    <x v="1"/>
    <x v="1"/>
    <s v="Desktop"/>
    <n v="0"/>
    <n v="4"/>
    <x v="1"/>
    <n v="1"/>
    <x v="1"/>
    <x v="0"/>
    <x v="0"/>
  </r>
  <r>
    <x v="2"/>
    <s v="C1131"/>
    <d v="2024-01-01T02:00:00"/>
    <n v="36613.1"/>
    <x v="0"/>
    <x v="1"/>
    <s v="Food"/>
    <x v="2"/>
    <x v="1"/>
    <s v="Desktop"/>
    <n v="0"/>
    <n v="2"/>
    <x v="2"/>
    <n v="1"/>
    <x v="0"/>
    <x v="0"/>
    <x v="0"/>
  </r>
  <r>
    <x v="3"/>
    <s v="C1379"/>
    <d v="2024-01-01T03:00:00"/>
    <n v="29952.99"/>
    <x v="0"/>
    <x v="0"/>
    <s v="Travel"/>
    <x v="1"/>
    <x v="2"/>
    <s v="Desktop"/>
    <n v="0"/>
    <n v="1"/>
    <x v="3"/>
    <n v="1"/>
    <x v="0"/>
    <x v="0"/>
    <x v="0"/>
  </r>
  <r>
    <x v="4"/>
    <s v="C1388"/>
    <d v="2024-01-01T04:00:00"/>
    <n v="7843.13"/>
    <x v="1"/>
    <x v="1"/>
    <s v="Entertainment"/>
    <x v="3"/>
    <x v="3"/>
    <s v="Mobile"/>
    <n v="0"/>
    <n v="2"/>
    <x v="4"/>
    <n v="0"/>
    <x v="2"/>
    <x v="0"/>
    <x v="1"/>
  </r>
  <r>
    <x v="5"/>
    <s v="C1178"/>
    <d v="2024-01-01T05:00:00"/>
    <n v="7841.93"/>
    <x v="0"/>
    <x v="0"/>
    <s v="Travel"/>
    <x v="4"/>
    <x v="4"/>
    <s v="Mobile"/>
    <n v="0"/>
    <n v="1"/>
    <x v="5"/>
    <n v="0"/>
    <x v="2"/>
    <x v="0"/>
    <x v="1"/>
  </r>
  <r>
    <x v="6"/>
    <s v="C1256"/>
    <d v="2024-01-01T06:00:00"/>
    <n v="2951.28"/>
    <x v="2"/>
    <x v="1"/>
    <s v="Entertainment"/>
    <x v="2"/>
    <x v="3"/>
    <s v="Mobile"/>
    <n v="0"/>
    <n v="1"/>
    <x v="6"/>
    <n v="0"/>
    <x v="2"/>
    <x v="0"/>
    <x v="1"/>
  </r>
  <r>
    <x v="7"/>
    <s v="C1253"/>
    <d v="2024-01-01T07:00:00"/>
    <n v="43315.5"/>
    <x v="0"/>
    <x v="0"/>
    <s v="Travel"/>
    <x v="1"/>
    <x v="1"/>
    <s v="Desktop"/>
    <n v="0"/>
    <n v="4"/>
    <x v="7"/>
    <n v="1"/>
    <x v="1"/>
    <x v="0"/>
    <x v="0"/>
  </r>
  <r>
    <x v="8"/>
    <s v="C1059"/>
    <d v="2024-01-01T08:00:00"/>
    <n v="30075.69"/>
    <x v="1"/>
    <x v="2"/>
    <s v="Entertainment"/>
    <x v="1"/>
    <x v="0"/>
    <s v="Desktop"/>
    <n v="1"/>
    <n v="3"/>
    <x v="8"/>
    <n v="1"/>
    <x v="1"/>
    <x v="0"/>
    <x v="0"/>
  </r>
  <r>
    <x v="9"/>
    <s v="C1009"/>
    <d v="2024-01-01T09:00:00"/>
    <n v="35418.230000000003"/>
    <x v="0"/>
    <x v="3"/>
    <s v="Travel"/>
    <x v="1"/>
    <x v="4"/>
    <s v="Tablet"/>
    <n v="0"/>
    <n v="0"/>
    <x v="9"/>
    <n v="0"/>
    <x v="2"/>
    <x v="0"/>
    <x v="1"/>
  </r>
  <r>
    <x v="10"/>
    <s v="C1208"/>
    <d v="2024-01-01T10:00:00"/>
    <n v="1078.2"/>
    <x v="2"/>
    <x v="2"/>
    <s v="Travel"/>
    <x v="4"/>
    <x v="4"/>
    <s v="Tablet"/>
    <n v="0"/>
    <n v="0"/>
    <x v="10"/>
    <n v="0"/>
    <x v="2"/>
    <x v="0"/>
    <x v="1"/>
  </r>
  <r>
    <x v="11"/>
    <s v="C1146"/>
    <d v="2024-01-01T11:00:00"/>
    <n v="48497"/>
    <x v="1"/>
    <x v="3"/>
    <s v="Electronics"/>
    <x v="1"/>
    <x v="0"/>
    <s v="Tablet"/>
    <n v="0"/>
    <n v="2"/>
    <x v="11"/>
    <n v="1"/>
    <x v="1"/>
    <x v="0"/>
    <x v="0"/>
  </r>
  <r>
    <x v="12"/>
    <s v="C1080"/>
    <d v="2024-01-01T12:00:00"/>
    <n v="41630.51"/>
    <x v="1"/>
    <x v="3"/>
    <s v="Entertainment"/>
    <x v="0"/>
    <x v="4"/>
    <s v="Desktop"/>
    <n v="0"/>
    <n v="0"/>
    <x v="12"/>
    <n v="1"/>
    <x v="0"/>
    <x v="0"/>
    <x v="0"/>
  </r>
  <r>
    <x v="13"/>
    <s v="C1132"/>
    <d v="2024-01-01T13:00:00"/>
    <n v="10656.34"/>
    <x v="2"/>
    <x v="1"/>
    <s v="Entertainment"/>
    <x v="0"/>
    <x v="0"/>
    <s v="Mobile"/>
    <n v="0"/>
    <n v="4"/>
    <x v="13"/>
    <n v="1"/>
    <x v="0"/>
    <x v="0"/>
    <x v="0"/>
  </r>
  <r>
    <x v="14"/>
    <s v="C1372"/>
    <d v="2024-01-01T14:00:00"/>
    <n v="9132.16"/>
    <x v="2"/>
    <x v="3"/>
    <s v="Entertainment"/>
    <x v="1"/>
    <x v="4"/>
    <s v="Mobile"/>
    <n v="1"/>
    <n v="3"/>
    <x v="14"/>
    <n v="1"/>
    <x v="0"/>
    <x v="0"/>
    <x v="0"/>
  </r>
  <r>
    <x v="15"/>
    <s v="C1416"/>
    <d v="2024-01-01T15:00:00"/>
    <n v="9211.06"/>
    <x v="2"/>
    <x v="2"/>
    <s v="Retail"/>
    <x v="0"/>
    <x v="3"/>
    <s v="Mobile"/>
    <n v="0"/>
    <n v="1"/>
    <x v="15"/>
    <n v="0"/>
    <x v="2"/>
    <x v="0"/>
    <x v="1"/>
  </r>
  <r>
    <x v="16"/>
    <s v="C1332"/>
    <d v="2024-01-01T16:00:00"/>
    <n v="15246.9"/>
    <x v="2"/>
    <x v="2"/>
    <s v="Travel"/>
    <x v="2"/>
    <x v="4"/>
    <s v="Desktop"/>
    <n v="0"/>
    <n v="1"/>
    <x v="16"/>
    <n v="0"/>
    <x v="2"/>
    <x v="0"/>
    <x v="1"/>
  </r>
  <r>
    <x v="17"/>
    <s v="C1179"/>
    <d v="2024-01-01T17:00:00"/>
    <n v="26261.58"/>
    <x v="2"/>
    <x v="0"/>
    <s v="Entertainment"/>
    <x v="0"/>
    <x v="2"/>
    <s v="Mobile"/>
    <n v="0"/>
    <n v="4"/>
    <x v="17"/>
    <n v="1"/>
    <x v="1"/>
    <x v="0"/>
    <x v="0"/>
  </r>
  <r>
    <x v="18"/>
    <s v="C1450"/>
    <d v="2024-01-01T18:00:00"/>
    <n v="21625.65"/>
    <x v="1"/>
    <x v="2"/>
    <s v="Retail"/>
    <x v="1"/>
    <x v="0"/>
    <s v="Tablet"/>
    <n v="0"/>
    <n v="0"/>
    <x v="18"/>
    <n v="0"/>
    <x v="2"/>
    <x v="0"/>
    <x v="1"/>
  </r>
  <r>
    <x v="19"/>
    <s v="C1340"/>
    <d v="2024-01-01T19:00:00"/>
    <n v="14596.9"/>
    <x v="1"/>
    <x v="0"/>
    <s v="Electronics"/>
    <x v="3"/>
    <x v="4"/>
    <s v="Tablet"/>
    <n v="0"/>
    <n v="1"/>
    <x v="19"/>
    <n v="0"/>
    <x v="2"/>
    <x v="0"/>
    <x v="1"/>
  </r>
  <r>
    <x v="20"/>
    <s v="C1433"/>
    <d v="2024-01-01T20:00:00"/>
    <n v="30612.05"/>
    <x v="0"/>
    <x v="3"/>
    <s v="Entertainment"/>
    <x v="2"/>
    <x v="0"/>
    <s v="Mobile"/>
    <n v="0"/>
    <n v="0"/>
    <x v="20"/>
    <n v="0"/>
    <x v="2"/>
    <x v="0"/>
    <x v="1"/>
  </r>
  <r>
    <x v="21"/>
    <s v="C1481"/>
    <d v="2024-01-01T21:00:00"/>
    <n v="7017.72"/>
    <x v="0"/>
    <x v="2"/>
    <s v="Entertainment"/>
    <x v="4"/>
    <x v="2"/>
    <s v="Tablet"/>
    <n v="0"/>
    <n v="4"/>
    <x v="21"/>
    <n v="1"/>
    <x v="0"/>
    <x v="0"/>
    <x v="0"/>
  </r>
  <r>
    <x v="22"/>
    <s v="C1386"/>
    <d v="2024-01-01T22:00:00"/>
    <n v="14642.63"/>
    <x v="3"/>
    <x v="3"/>
    <s v="Retail"/>
    <x v="1"/>
    <x v="4"/>
    <s v="Mobile"/>
    <n v="0"/>
    <n v="1"/>
    <x v="22"/>
    <n v="0"/>
    <x v="2"/>
    <x v="0"/>
    <x v="1"/>
  </r>
  <r>
    <x v="23"/>
    <s v="C1404"/>
    <d v="2024-01-01T23:00:00"/>
    <n v="18349.77"/>
    <x v="0"/>
    <x v="2"/>
    <s v="Travel"/>
    <x v="4"/>
    <x v="4"/>
    <s v="Mobile"/>
    <n v="0"/>
    <n v="2"/>
    <x v="23"/>
    <n v="1"/>
    <x v="0"/>
    <x v="0"/>
    <x v="0"/>
  </r>
  <r>
    <x v="24"/>
    <s v="C1040"/>
    <d v="2024-01-02T00:00:00"/>
    <n v="22830.7"/>
    <x v="0"/>
    <x v="2"/>
    <s v="Electronics"/>
    <x v="3"/>
    <x v="2"/>
    <s v="Tablet"/>
    <n v="0"/>
    <n v="3"/>
    <x v="24"/>
    <n v="1"/>
    <x v="0"/>
    <x v="0"/>
    <x v="0"/>
  </r>
  <r>
    <x v="25"/>
    <s v="C1319"/>
    <d v="2024-01-02T01:00:00"/>
    <n v="39269.54"/>
    <x v="2"/>
    <x v="0"/>
    <s v="Entertainment"/>
    <x v="4"/>
    <x v="2"/>
    <s v="Tablet"/>
    <n v="0"/>
    <n v="0"/>
    <x v="25"/>
    <n v="0"/>
    <x v="2"/>
    <x v="0"/>
    <x v="1"/>
  </r>
  <r>
    <x v="26"/>
    <s v="C1426"/>
    <d v="2024-01-02T02:00:00"/>
    <n v="10023.709999999999"/>
    <x v="2"/>
    <x v="3"/>
    <s v="Travel"/>
    <x v="1"/>
    <x v="2"/>
    <s v="Tablet"/>
    <n v="0"/>
    <n v="0"/>
    <x v="26"/>
    <n v="0"/>
    <x v="2"/>
    <x v="0"/>
    <x v="1"/>
  </r>
  <r>
    <x v="27"/>
    <s v="C1176"/>
    <d v="2024-01-02T03:00:00"/>
    <n v="25736.01"/>
    <x v="0"/>
    <x v="2"/>
    <s v="Electronics"/>
    <x v="1"/>
    <x v="0"/>
    <s v="Tablet"/>
    <n v="0"/>
    <n v="0"/>
    <x v="27"/>
    <n v="0"/>
    <x v="2"/>
    <x v="0"/>
    <x v="1"/>
  </r>
  <r>
    <x v="28"/>
    <s v="C1339"/>
    <d v="2024-01-02T04:00:00"/>
    <n v="29641.11"/>
    <x v="3"/>
    <x v="1"/>
    <s v="Food"/>
    <x v="3"/>
    <x v="2"/>
    <s v="Mobile"/>
    <n v="0"/>
    <n v="0"/>
    <x v="19"/>
    <n v="0"/>
    <x v="2"/>
    <x v="0"/>
    <x v="1"/>
  </r>
  <r>
    <x v="29"/>
    <s v="C1081"/>
    <d v="2024-01-02T05:00:00"/>
    <n v="2370.1999999999998"/>
    <x v="2"/>
    <x v="3"/>
    <s v="Food"/>
    <x v="1"/>
    <x v="0"/>
    <s v="Tablet"/>
    <n v="0"/>
    <n v="4"/>
    <x v="28"/>
    <n v="1"/>
    <x v="0"/>
    <x v="0"/>
    <x v="0"/>
  </r>
  <r>
    <x v="30"/>
    <s v="C1154"/>
    <d v="2024-01-02T06:00:00"/>
    <n v="30396.87"/>
    <x v="0"/>
    <x v="3"/>
    <s v="Electronics"/>
    <x v="3"/>
    <x v="3"/>
    <s v="Tablet"/>
    <n v="0"/>
    <n v="4"/>
    <x v="29"/>
    <n v="1"/>
    <x v="1"/>
    <x v="0"/>
    <x v="0"/>
  </r>
  <r>
    <x v="31"/>
    <s v="C1270"/>
    <d v="2024-01-02T07:00:00"/>
    <n v="8567.68"/>
    <x v="0"/>
    <x v="3"/>
    <s v="Retail"/>
    <x v="3"/>
    <x v="4"/>
    <s v="Desktop"/>
    <n v="0"/>
    <n v="4"/>
    <x v="30"/>
    <n v="1"/>
    <x v="0"/>
    <x v="0"/>
    <x v="0"/>
  </r>
  <r>
    <x v="32"/>
    <s v="C1122"/>
    <d v="2024-01-02T08:00:00"/>
    <n v="3299.33"/>
    <x v="1"/>
    <x v="0"/>
    <s v="Electronics"/>
    <x v="1"/>
    <x v="4"/>
    <s v="Tablet"/>
    <n v="0"/>
    <n v="4"/>
    <x v="31"/>
    <n v="1"/>
    <x v="0"/>
    <x v="0"/>
    <x v="0"/>
  </r>
  <r>
    <x v="33"/>
    <s v="C1212"/>
    <d v="2024-01-02T09:00:00"/>
    <n v="47446.83"/>
    <x v="3"/>
    <x v="1"/>
    <s v="Electronics"/>
    <x v="0"/>
    <x v="1"/>
    <s v="Tablet"/>
    <n v="0"/>
    <n v="1"/>
    <x v="28"/>
    <n v="1"/>
    <x v="0"/>
    <x v="0"/>
    <x v="0"/>
  </r>
  <r>
    <x v="34"/>
    <s v="C1155"/>
    <d v="2024-01-02T10:00:00"/>
    <n v="48283.32"/>
    <x v="1"/>
    <x v="3"/>
    <s v="Retail"/>
    <x v="3"/>
    <x v="3"/>
    <s v="Mobile"/>
    <n v="0"/>
    <n v="4"/>
    <x v="32"/>
    <n v="1"/>
    <x v="1"/>
    <x v="0"/>
    <x v="0"/>
  </r>
  <r>
    <x v="35"/>
    <s v="C1362"/>
    <d v="2024-01-02T11:00:00"/>
    <n v="40429.449999999997"/>
    <x v="3"/>
    <x v="2"/>
    <s v="Retail"/>
    <x v="1"/>
    <x v="2"/>
    <s v="Mobile"/>
    <n v="0"/>
    <n v="1"/>
    <x v="33"/>
    <n v="1"/>
    <x v="0"/>
    <x v="0"/>
    <x v="0"/>
  </r>
  <r>
    <x v="36"/>
    <s v="C1418"/>
    <d v="2024-01-02T12:00:00"/>
    <n v="15265.46"/>
    <x v="2"/>
    <x v="2"/>
    <s v="Travel"/>
    <x v="0"/>
    <x v="2"/>
    <s v="Desktop"/>
    <n v="0"/>
    <n v="2"/>
    <x v="34"/>
    <n v="1"/>
    <x v="0"/>
    <x v="0"/>
    <x v="0"/>
  </r>
  <r>
    <x v="37"/>
    <s v="C1386"/>
    <d v="2024-01-02T13:00:00"/>
    <n v="4928.72"/>
    <x v="3"/>
    <x v="0"/>
    <s v="Travel"/>
    <x v="3"/>
    <x v="3"/>
    <s v="Tablet"/>
    <n v="0"/>
    <n v="4"/>
    <x v="35"/>
    <n v="1"/>
    <x v="0"/>
    <x v="0"/>
    <x v="0"/>
  </r>
  <r>
    <x v="38"/>
    <s v="C1247"/>
    <d v="2024-01-02T14:00:00"/>
    <n v="34227.440000000002"/>
    <x v="0"/>
    <x v="2"/>
    <s v="Retail"/>
    <x v="0"/>
    <x v="2"/>
    <s v="Tablet"/>
    <n v="0"/>
    <n v="2"/>
    <x v="36"/>
    <n v="1"/>
    <x v="0"/>
    <x v="0"/>
    <x v="0"/>
  </r>
  <r>
    <x v="39"/>
    <s v="C1442"/>
    <d v="2024-01-02T15:00:00"/>
    <n v="22035.62"/>
    <x v="0"/>
    <x v="3"/>
    <s v="Food"/>
    <x v="2"/>
    <x v="1"/>
    <s v="Tablet"/>
    <n v="0"/>
    <n v="4"/>
    <x v="37"/>
    <n v="1"/>
    <x v="1"/>
    <x v="0"/>
    <x v="0"/>
  </r>
  <r>
    <x v="40"/>
    <s v="C1183"/>
    <d v="2024-01-02T16:00:00"/>
    <n v="6145.81"/>
    <x v="3"/>
    <x v="2"/>
    <s v="Food"/>
    <x v="2"/>
    <x v="0"/>
    <s v="Tablet"/>
    <n v="0"/>
    <n v="2"/>
    <x v="38"/>
    <n v="0"/>
    <x v="2"/>
    <x v="0"/>
    <x v="1"/>
  </r>
  <r>
    <x v="41"/>
    <s v="C1320"/>
    <d v="2024-01-02T17:00:00"/>
    <n v="24784.09"/>
    <x v="3"/>
    <x v="3"/>
    <s v="Electronics"/>
    <x v="0"/>
    <x v="4"/>
    <s v="Tablet"/>
    <n v="0"/>
    <n v="3"/>
    <x v="39"/>
    <n v="1"/>
    <x v="0"/>
    <x v="0"/>
    <x v="0"/>
  </r>
  <r>
    <x v="42"/>
    <s v="C1364"/>
    <d v="2024-01-02T18:00:00"/>
    <n v="1767.71"/>
    <x v="3"/>
    <x v="2"/>
    <s v="Entertainment"/>
    <x v="3"/>
    <x v="3"/>
    <s v="Tablet"/>
    <n v="0"/>
    <n v="2"/>
    <x v="40"/>
    <n v="0"/>
    <x v="2"/>
    <x v="0"/>
    <x v="1"/>
  </r>
  <r>
    <x v="43"/>
    <s v="C1427"/>
    <d v="2024-01-02T19:00:00"/>
    <n v="45470.55"/>
    <x v="1"/>
    <x v="1"/>
    <s v="Electronics"/>
    <x v="1"/>
    <x v="4"/>
    <s v="Desktop"/>
    <n v="0"/>
    <n v="1"/>
    <x v="41"/>
    <n v="1"/>
    <x v="0"/>
    <x v="0"/>
    <x v="0"/>
  </r>
  <r>
    <x v="44"/>
    <s v="C1441"/>
    <d v="2024-01-02T20:00:00"/>
    <n v="12976.06"/>
    <x v="3"/>
    <x v="0"/>
    <s v="Electronics"/>
    <x v="4"/>
    <x v="0"/>
    <s v="Tablet"/>
    <n v="0"/>
    <n v="0"/>
    <x v="42"/>
    <n v="0"/>
    <x v="2"/>
    <x v="0"/>
    <x v="1"/>
  </r>
  <r>
    <x v="45"/>
    <s v="C1280"/>
    <d v="2024-01-02T21:00:00"/>
    <n v="33142.99"/>
    <x v="2"/>
    <x v="0"/>
    <s v="Entertainment"/>
    <x v="1"/>
    <x v="3"/>
    <s v="Tablet"/>
    <n v="0"/>
    <n v="2"/>
    <x v="43"/>
    <n v="1"/>
    <x v="0"/>
    <x v="0"/>
    <x v="0"/>
  </r>
  <r>
    <x v="46"/>
    <s v="C1022"/>
    <d v="2024-01-02T22:00:00"/>
    <n v="15619.97"/>
    <x v="1"/>
    <x v="1"/>
    <s v="Retail"/>
    <x v="4"/>
    <x v="0"/>
    <s v="Tablet"/>
    <n v="0"/>
    <n v="0"/>
    <x v="44"/>
    <n v="0"/>
    <x v="2"/>
    <x v="0"/>
    <x v="1"/>
  </r>
  <r>
    <x v="47"/>
    <s v="C1054"/>
    <d v="2024-01-02T23:00:00"/>
    <n v="26027.4"/>
    <x v="1"/>
    <x v="1"/>
    <s v="Food"/>
    <x v="4"/>
    <x v="2"/>
    <s v="Desktop"/>
    <n v="0"/>
    <n v="3"/>
    <x v="45"/>
    <n v="1"/>
    <x v="1"/>
    <x v="0"/>
    <x v="0"/>
  </r>
  <r>
    <x v="48"/>
    <s v="C1237"/>
    <d v="2024-01-03T00:00:00"/>
    <n v="27358.18"/>
    <x v="3"/>
    <x v="0"/>
    <s v="Electronics"/>
    <x v="3"/>
    <x v="2"/>
    <s v="Tablet"/>
    <n v="0"/>
    <n v="3"/>
    <x v="46"/>
    <n v="1"/>
    <x v="1"/>
    <x v="0"/>
    <x v="0"/>
  </r>
  <r>
    <x v="49"/>
    <s v="C1019"/>
    <d v="2024-01-03T01:00:00"/>
    <n v="9283.48"/>
    <x v="2"/>
    <x v="1"/>
    <s v="Entertainment"/>
    <x v="0"/>
    <x v="2"/>
    <s v="Desktop"/>
    <n v="0"/>
    <n v="1"/>
    <x v="47"/>
    <n v="0"/>
    <x v="2"/>
    <x v="0"/>
    <x v="1"/>
  </r>
  <r>
    <x v="50"/>
    <s v="C1040"/>
    <d v="2024-01-03T02:00:00"/>
    <n v="48480.75"/>
    <x v="1"/>
    <x v="3"/>
    <s v="Travel"/>
    <x v="1"/>
    <x v="0"/>
    <s v="Mobile"/>
    <n v="1"/>
    <n v="1"/>
    <x v="48"/>
    <n v="1"/>
    <x v="1"/>
    <x v="0"/>
    <x v="0"/>
  </r>
  <r>
    <x v="51"/>
    <s v="C1139"/>
    <d v="2024-01-03T03:00:00"/>
    <n v="38767.879999999997"/>
    <x v="0"/>
    <x v="2"/>
    <s v="Electronics"/>
    <x v="0"/>
    <x v="0"/>
    <s v="Tablet"/>
    <n v="0"/>
    <n v="2"/>
    <x v="49"/>
    <n v="1"/>
    <x v="0"/>
    <x v="0"/>
    <x v="0"/>
  </r>
  <r>
    <x v="52"/>
    <s v="C1316"/>
    <d v="2024-01-03T04:00:00"/>
    <n v="46977.97"/>
    <x v="1"/>
    <x v="0"/>
    <s v="Food"/>
    <x v="2"/>
    <x v="0"/>
    <s v="Desktop"/>
    <n v="0"/>
    <n v="4"/>
    <x v="50"/>
    <n v="1"/>
    <x v="1"/>
    <x v="0"/>
    <x v="0"/>
  </r>
  <r>
    <x v="53"/>
    <s v="C1314"/>
    <d v="2024-01-03T05:00:00"/>
    <n v="44746.63"/>
    <x v="3"/>
    <x v="1"/>
    <s v="Retail"/>
    <x v="3"/>
    <x v="4"/>
    <s v="Mobile"/>
    <n v="0"/>
    <n v="3"/>
    <x v="51"/>
    <n v="1"/>
    <x v="1"/>
    <x v="0"/>
    <x v="0"/>
  </r>
  <r>
    <x v="54"/>
    <s v="C1376"/>
    <d v="2024-01-03T06:00:00"/>
    <n v="29915.1"/>
    <x v="2"/>
    <x v="3"/>
    <s v="Electronics"/>
    <x v="3"/>
    <x v="0"/>
    <s v="Desktop"/>
    <n v="0"/>
    <n v="0"/>
    <x v="52"/>
    <n v="0"/>
    <x v="2"/>
    <x v="0"/>
    <x v="1"/>
  </r>
  <r>
    <x v="55"/>
    <s v="C1177"/>
    <d v="2024-01-03T07:00:00"/>
    <n v="46097.62"/>
    <x v="3"/>
    <x v="0"/>
    <s v="Electronics"/>
    <x v="2"/>
    <x v="2"/>
    <s v="Desktop"/>
    <n v="0"/>
    <n v="4"/>
    <x v="53"/>
    <n v="1"/>
    <x v="1"/>
    <x v="0"/>
    <x v="0"/>
  </r>
  <r>
    <x v="56"/>
    <s v="C1375"/>
    <d v="2024-01-03T08:00:00"/>
    <n v="4470.2"/>
    <x v="0"/>
    <x v="1"/>
    <s v="Entertainment"/>
    <x v="1"/>
    <x v="1"/>
    <s v="Mobile"/>
    <n v="0"/>
    <n v="3"/>
    <x v="54"/>
    <n v="1"/>
    <x v="0"/>
    <x v="0"/>
    <x v="0"/>
  </r>
  <r>
    <x v="57"/>
    <s v="C1249"/>
    <d v="2024-01-03T09:00:00"/>
    <n v="9839.34"/>
    <x v="0"/>
    <x v="0"/>
    <s v="Travel"/>
    <x v="2"/>
    <x v="0"/>
    <s v="Tablet"/>
    <n v="0"/>
    <n v="2"/>
    <x v="55"/>
    <n v="0"/>
    <x v="2"/>
    <x v="0"/>
    <x v="1"/>
  </r>
  <r>
    <x v="58"/>
    <s v="C1124"/>
    <d v="2024-01-03T10:00:00"/>
    <n v="2309.1"/>
    <x v="0"/>
    <x v="1"/>
    <s v="Travel"/>
    <x v="1"/>
    <x v="1"/>
    <s v="Tablet"/>
    <n v="0"/>
    <n v="3"/>
    <x v="56"/>
    <n v="1"/>
    <x v="0"/>
    <x v="0"/>
    <x v="0"/>
  </r>
  <r>
    <x v="59"/>
    <s v="C1299"/>
    <d v="2024-01-03T11:00:00"/>
    <n v="16300.25"/>
    <x v="3"/>
    <x v="0"/>
    <s v="Retail"/>
    <x v="4"/>
    <x v="2"/>
    <s v="Desktop"/>
    <n v="0"/>
    <n v="1"/>
    <x v="57"/>
    <n v="0"/>
    <x v="2"/>
    <x v="0"/>
    <x v="1"/>
  </r>
  <r>
    <x v="60"/>
    <s v="C1196"/>
    <d v="2024-01-03T12:00:00"/>
    <n v="19464.43"/>
    <x v="1"/>
    <x v="3"/>
    <s v="Food"/>
    <x v="3"/>
    <x v="0"/>
    <s v="Mobile"/>
    <n v="0"/>
    <n v="0"/>
    <x v="58"/>
    <n v="0"/>
    <x v="2"/>
    <x v="0"/>
    <x v="1"/>
  </r>
  <r>
    <x v="61"/>
    <s v="C1097"/>
    <d v="2024-01-03T13:00:00"/>
    <n v="13603.88"/>
    <x v="3"/>
    <x v="3"/>
    <s v="Retail"/>
    <x v="1"/>
    <x v="4"/>
    <s v="Tablet"/>
    <n v="0"/>
    <n v="0"/>
    <x v="59"/>
    <n v="0"/>
    <x v="2"/>
    <x v="0"/>
    <x v="1"/>
  </r>
  <r>
    <x v="62"/>
    <s v="C1164"/>
    <d v="2024-01-03T14:00:00"/>
    <n v="41445.440000000002"/>
    <x v="2"/>
    <x v="2"/>
    <s v="Electronics"/>
    <x v="0"/>
    <x v="4"/>
    <s v="Desktop"/>
    <n v="0"/>
    <n v="1"/>
    <x v="60"/>
    <n v="1"/>
    <x v="0"/>
    <x v="0"/>
    <x v="0"/>
  </r>
  <r>
    <x v="63"/>
    <s v="C1093"/>
    <d v="2024-01-03T15:00:00"/>
    <n v="17869.830000000002"/>
    <x v="1"/>
    <x v="0"/>
    <s v="Electronics"/>
    <x v="0"/>
    <x v="1"/>
    <s v="Mobile"/>
    <n v="1"/>
    <n v="4"/>
    <x v="61"/>
    <n v="1"/>
    <x v="1"/>
    <x v="0"/>
    <x v="0"/>
  </r>
  <r>
    <x v="64"/>
    <s v="C1144"/>
    <d v="2024-01-03T16:00:00"/>
    <n v="14082.68"/>
    <x v="0"/>
    <x v="2"/>
    <s v="Travel"/>
    <x v="3"/>
    <x v="4"/>
    <s v="Desktop"/>
    <n v="0"/>
    <n v="1"/>
    <x v="62"/>
    <n v="0"/>
    <x v="2"/>
    <x v="0"/>
    <x v="1"/>
  </r>
  <r>
    <x v="65"/>
    <s v="C1013"/>
    <d v="2024-01-03T17:00:00"/>
    <n v="27157.67"/>
    <x v="3"/>
    <x v="0"/>
    <s v="Food"/>
    <x v="2"/>
    <x v="4"/>
    <s v="Mobile"/>
    <n v="0"/>
    <n v="0"/>
    <x v="63"/>
    <n v="0"/>
    <x v="2"/>
    <x v="0"/>
    <x v="1"/>
  </r>
  <r>
    <x v="66"/>
    <s v="C1317"/>
    <d v="2024-01-03T18:00:00"/>
    <n v="7089.17"/>
    <x v="0"/>
    <x v="1"/>
    <s v="Entertainment"/>
    <x v="2"/>
    <x v="4"/>
    <s v="Tablet"/>
    <n v="0"/>
    <n v="2"/>
    <x v="64"/>
    <n v="0"/>
    <x v="2"/>
    <x v="0"/>
    <x v="1"/>
  </r>
  <r>
    <x v="67"/>
    <s v="C1461"/>
    <d v="2024-01-03T19:00:00"/>
    <n v="40119.74"/>
    <x v="0"/>
    <x v="1"/>
    <s v="Food"/>
    <x v="1"/>
    <x v="2"/>
    <s v="Tablet"/>
    <n v="0"/>
    <n v="4"/>
    <x v="65"/>
    <n v="1"/>
    <x v="1"/>
    <x v="0"/>
    <x v="0"/>
  </r>
  <r>
    <x v="68"/>
    <s v="C1492"/>
    <d v="2024-01-03T20:00:00"/>
    <n v="3773.8"/>
    <x v="2"/>
    <x v="2"/>
    <s v="Electronics"/>
    <x v="2"/>
    <x v="4"/>
    <s v="Desktop"/>
    <n v="0"/>
    <n v="3"/>
    <x v="66"/>
    <n v="1"/>
    <x v="0"/>
    <x v="0"/>
    <x v="0"/>
  </r>
  <r>
    <x v="69"/>
    <s v="C1466"/>
    <d v="2024-01-03T21:00:00"/>
    <n v="49345"/>
    <x v="1"/>
    <x v="0"/>
    <s v="Entertainment"/>
    <x v="3"/>
    <x v="3"/>
    <s v="Tablet"/>
    <n v="0"/>
    <n v="2"/>
    <x v="67"/>
    <n v="1"/>
    <x v="0"/>
    <x v="0"/>
    <x v="0"/>
  </r>
  <r>
    <x v="70"/>
    <s v="C1227"/>
    <d v="2024-01-03T22:00:00"/>
    <n v="38623.629999999997"/>
    <x v="2"/>
    <x v="2"/>
    <s v="Food"/>
    <x v="1"/>
    <x v="0"/>
    <s v="Tablet"/>
    <n v="1"/>
    <n v="4"/>
    <x v="68"/>
    <n v="1"/>
    <x v="1"/>
    <x v="0"/>
    <x v="0"/>
  </r>
  <r>
    <x v="71"/>
    <s v="C1034"/>
    <d v="2024-01-03T23:00:00"/>
    <n v="9975.85"/>
    <x v="2"/>
    <x v="3"/>
    <s v="Food"/>
    <x v="4"/>
    <x v="4"/>
    <s v="Mobile"/>
    <n v="0"/>
    <n v="0"/>
    <x v="26"/>
    <n v="0"/>
    <x v="2"/>
    <x v="0"/>
    <x v="1"/>
  </r>
  <r>
    <x v="72"/>
    <s v="C1396"/>
    <d v="2024-01-04T00:00:00"/>
    <n v="325.83"/>
    <x v="2"/>
    <x v="2"/>
    <s v="Entertainment"/>
    <x v="2"/>
    <x v="4"/>
    <s v="Tablet"/>
    <n v="0"/>
    <n v="0"/>
    <x v="69"/>
    <n v="0"/>
    <x v="2"/>
    <x v="0"/>
    <x v="1"/>
  </r>
  <r>
    <x v="73"/>
    <s v="C1236"/>
    <d v="2024-01-04T01:00:00"/>
    <n v="40782.300000000003"/>
    <x v="0"/>
    <x v="2"/>
    <s v="Electronics"/>
    <x v="2"/>
    <x v="4"/>
    <s v="Mobile"/>
    <n v="0"/>
    <n v="2"/>
    <x v="70"/>
    <n v="1"/>
    <x v="1"/>
    <x v="0"/>
    <x v="0"/>
  </r>
  <r>
    <x v="74"/>
    <s v="C1079"/>
    <d v="2024-01-04T02:00:00"/>
    <n v="35357.519999999997"/>
    <x v="2"/>
    <x v="1"/>
    <s v="Food"/>
    <x v="1"/>
    <x v="3"/>
    <s v="Mobile"/>
    <n v="0"/>
    <n v="4"/>
    <x v="71"/>
    <n v="1"/>
    <x v="1"/>
    <x v="0"/>
    <x v="0"/>
  </r>
  <r>
    <x v="75"/>
    <s v="C1373"/>
    <d v="2024-01-04T03:00:00"/>
    <n v="36463.910000000003"/>
    <x v="2"/>
    <x v="2"/>
    <s v="Entertainment"/>
    <x v="0"/>
    <x v="4"/>
    <s v="Desktop"/>
    <n v="0"/>
    <n v="3"/>
    <x v="72"/>
    <n v="1"/>
    <x v="1"/>
    <x v="0"/>
    <x v="0"/>
  </r>
  <r>
    <x v="76"/>
    <s v="C1234"/>
    <d v="2024-01-04T04:00:00"/>
    <n v="38574.949999999997"/>
    <x v="1"/>
    <x v="0"/>
    <s v="Electronics"/>
    <x v="2"/>
    <x v="4"/>
    <s v="Mobile"/>
    <n v="0"/>
    <n v="3"/>
    <x v="73"/>
    <n v="1"/>
    <x v="1"/>
    <x v="0"/>
    <x v="0"/>
  </r>
  <r>
    <x v="77"/>
    <s v="C1433"/>
    <d v="2024-01-04T05:00:00"/>
    <n v="3748.53"/>
    <x v="1"/>
    <x v="1"/>
    <s v="Entertainment"/>
    <x v="3"/>
    <x v="0"/>
    <s v="Tablet"/>
    <n v="0"/>
    <n v="1"/>
    <x v="74"/>
    <n v="0"/>
    <x v="2"/>
    <x v="0"/>
    <x v="1"/>
  </r>
  <r>
    <x v="78"/>
    <s v="C1278"/>
    <d v="2024-01-04T06:00:00"/>
    <n v="17955.36"/>
    <x v="2"/>
    <x v="2"/>
    <s v="Entertainment"/>
    <x v="2"/>
    <x v="3"/>
    <s v="Mobile"/>
    <n v="0"/>
    <n v="2"/>
    <x v="75"/>
    <n v="1"/>
    <x v="0"/>
    <x v="0"/>
    <x v="0"/>
  </r>
  <r>
    <x v="79"/>
    <s v="C1126"/>
    <d v="2024-01-04T07:00:00"/>
    <n v="5837.66"/>
    <x v="1"/>
    <x v="3"/>
    <s v="Food"/>
    <x v="4"/>
    <x v="3"/>
    <s v="Mobile"/>
    <n v="0"/>
    <n v="4"/>
    <x v="76"/>
    <n v="1"/>
    <x v="0"/>
    <x v="0"/>
    <x v="0"/>
  </r>
  <r>
    <x v="80"/>
    <s v="C1199"/>
    <d v="2024-01-04T08:00:00"/>
    <n v="43162.02"/>
    <x v="1"/>
    <x v="2"/>
    <s v="Electronics"/>
    <x v="2"/>
    <x v="4"/>
    <s v="Desktop"/>
    <n v="0"/>
    <n v="2"/>
    <x v="77"/>
    <n v="1"/>
    <x v="1"/>
    <x v="0"/>
    <x v="0"/>
  </r>
  <r>
    <x v="81"/>
    <s v="C1042"/>
    <d v="2024-01-04T09:00:00"/>
    <n v="31183.74"/>
    <x v="2"/>
    <x v="2"/>
    <s v="Food"/>
    <x v="0"/>
    <x v="3"/>
    <s v="Tablet"/>
    <n v="0"/>
    <n v="3"/>
    <x v="78"/>
    <n v="1"/>
    <x v="1"/>
    <x v="0"/>
    <x v="0"/>
  </r>
  <r>
    <x v="82"/>
    <s v="C1417"/>
    <d v="2024-01-04T10:00:00"/>
    <n v="16578.36"/>
    <x v="0"/>
    <x v="2"/>
    <s v="Retail"/>
    <x v="2"/>
    <x v="1"/>
    <s v="Tablet"/>
    <n v="0"/>
    <n v="4"/>
    <x v="79"/>
    <n v="1"/>
    <x v="1"/>
    <x v="0"/>
    <x v="0"/>
  </r>
  <r>
    <x v="83"/>
    <s v="C1440"/>
    <d v="2024-01-04T11:00:00"/>
    <n v="3224.74"/>
    <x v="2"/>
    <x v="1"/>
    <s v="Retail"/>
    <x v="1"/>
    <x v="3"/>
    <s v="Tablet"/>
    <n v="0"/>
    <n v="0"/>
    <x v="80"/>
    <n v="0"/>
    <x v="2"/>
    <x v="0"/>
    <x v="1"/>
  </r>
  <r>
    <x v="84"/>
    <s v="C1377"/>
    <d v="2024-01-04T12:00:00"/>
    <n v="15583.57"/>
    <x v="1"/>
    <x v="0"/>
    <s v="Electronics"/>
    <x v="2"/>
    <x v="3"/>
    <s v="Mobile"/>
    <n v="0"/>
    <n v="0"/>
    <x v="44"/>
    <n v="0"/>
    <x v="2"/>
    <x v="0"/>
    <x v="1"/>
  </r>
  <r>
    <x v="85"/>
    <s v="C1347"/>
    <d v="2024-01-04T13:00:00"/>
    <n v="16292.91"/>
    <x v="0"/>
    <x v="3"/>
    <s v="Entertainment"/>
    <x v="0"/>
    <x v="3"/>
    <s v="Tablet"/>
    <n v="0"/>
    <n v="4"/>
    <x v="81"/>
    <n v="1"/>
    <x v="1"/>
    <x v="0"/>
    <x v="0"/>
  </r>
  <r>
    <x v="86"/>
    <s v="C1151"/>
    <d v="2024-01-04T14:00:00"/>
    <n v="36493.83"/>
    <x v="3"/>
    <x v="2"/>
    <s v="Food"/>
    <x v="1"/>
    <x v="2"/>
    <s v="Tablet"/>
    <n v="0"/>
    <n v="2"/>
    <x v="82"/>
    <n v="1"/>
    <x v="0"/>
    <x v="0"/>
    <x v="0"/>
  </r>
  <r>
    <x v="87"/>
    <s v="C1492"/>
    <d v="2024-01-04T15:00:00"/>
    <n v="31896"/>
    <x v="0"/>
    <x v="0"/>
    <s v="Food"/>
    <x v="3"/>
    <x v="2"/>
    <s v="Mobile"/>
    <n v="1"/>
    <n v="2"/>
    <x v="83"/>
    <n v="1"/>
    <x v="1"/>
    <x v="0"/>
    <x v="0"/>
  </r>
  <r>
    <x v="88"/>
    <s v="C1308"/>
    <d v="2024-01-04T16:00:00"/>
    <n v="44366.28"/>
    <x v="1"/>
    <x v="0"/>
    <s v="Electronics"/>
    <x v="1"/>
    <x v="2"/>
    <s v="Desktop"/>
    <n v="1"/>
    <n v="0"/>
    <x v="84"/>
    <n v="1"/>
    <x v="0"/>
    <x v="0"/>
    <x v="0"/>
  </r>
  <r>
    <x v="89"/>
    <s v="C1095"/>
    <d v="2024-01-04T17:00:00"/>
    <n v="23637.14"/>
    <x v="0"/>
    <x v="1"/>
    <s v="Electronics"/>
    <x v="4"/>
    <x v="3"/>
    <s v="Desktop"/>
    <n v="0"/>
    <n v="0"/>
    <x v="85"/>
    <n v="0"/>
    <x v="2"/>
    <x v="0"/>
    <x v="1"/>
  </r>
  <r>
    <x v="90"/>
    <s v="C1234"/>
    <d v="2024-01-04T18:00:00"/>
    <n v="6023.73"/>
    <x v="2"/>
    <x v="3"/>
    <s v="Retail"/>
    <x v="1"/>
    <x v="1"/>
    <s v="Mobile"/>
    <n v="1"/>
    <n v="3"/>
    <x v="45"/>
    <n v="1"/>
    <x v="1"/>
    <x v="0"/>
    <x v="0"/>
  </r>
  <r>
    <x v="91"/>
    <s v="C1496"/>
    <d v="2024-01-04T19:00:00"/>
    <n v="35676.58"/>
    <x v="3"/>
    <x v="1"/>
    <s v="Travel"/>
    <x v="3"/>
    <x v="3"/>
    <s v="Desktop"/>
    <n v="0"/>
    <n v="4"/>
    <x v="86"/>
    <n v="1"/>
    <x v="1"/>
    <x v="0"/>
    <x v="0"/>
  </r>
  <r>
    <x v="92"/>
    <s v="C1461"/>
    <d v="2024-01-04T20:00:00"/>
    <n v="38051.21"/>
    <x v="3"/>
    <x v="0"/>
    <s v="Electronics"/>
    <x v="2"/>
    <x v="4"/>
    <s v="Desktop"/>
    <n v="0"/>
    <n v="2"/>
    <x v="87"/>
    <n v="1"/>
    <x v="0"/>
    <x v="0"/>
    <x v="0"/>
  </r>
  <r>
    <x v="93"/>
    <s v="C1183"/>
    <d v="2024-01-04T21:00:00"/>
    <n v="28085.8"/>
    <x v="3"/>
    <x v="0"/>
    <s v="Travel"/>
    <x v="1"/>
    <x v="1"/>
    <s v="Desktop"/>
    <n v="0"/>
    <n v="3"/>
    <x v="88"/>
    <n v="1"/>
    <x v="1"/>
    <x v="0"/>
    <x v="0"/>
  </r>
  <r>
    <x v="94"/>
    <s v="C1399"/>
    <d v="2024-01-04T22:00:00"/>
    <n v="38559.81"/>
    <x v="1"/>
    <x v="0"/>
    <s v="Electronics"/>
    <x v="1"/>
    <x v="2"/>
    <s v="Tablet"/>
    <n v="0"/>
    <n v="2"/>
    <x v="30"/>
    <n v="1"/>
    <x v="0"/>
    <x v="0"/>
    <x v="0"/>
  </r>
  <r>
    <x v="95"/>
    <s v="C1429"/>
    <d v="2024-01-04T23:00:00"/>
    <n v="24715.09"/>
    <x v="1"/>
    <x v="1"/>
    <s v="Entertainment"/>
    <x v="1"/>
    <x v="0"/>
    <s v="Desktop"/>
    <n v="0"/>
    <n v="0"/>
    <x v="89"/>
    <n v="0"/>
    <x v="2"/>
    <x v="0"/>
    <x v="1"/>
  </r>
  <r>
    <x v="96"/>
    <s v="C1436"/>
    <d v="2024-01-05T00:00:00"/>
    <n v="26160.5"/>
    <x v="3"/>
    <x v="3"/>
    <s v="Entertainment"/>
    <x v="1"/>
    <x v="1"/>
    <s v="Tablet"/>
    <n v="0"/>
    <n v="4"/>
    <x v="90"/>
    <n v="1"/>
    <x v="1"/>
    <x v="0"/>
    <x v="0"/>
  </r>
  <r>
    <x v="97"/>
    <s v="C1450"/>
    <d v="2024-01-05T01:00:00"/>
    <n v="21405.67"/>
    <x v="0"/>
    <x v="2"/>
    <s v="Retail"/>
    <x v="3"/>
    <x v="2"/>
    <s v="Desktop"/>
    <n v="0"/>
    <n v="1"/>
    <x v="91"/>
    <n v="0"/>
    <x v="2"/>
    <x v="0"/>
    <x v="1"/>
  </r>
  <r>
    <x v="98"/>
    <s v="C1289"/>
    <d v="2024-01-05T02:00:00"/>
    <n v="1319.69"/>
    <x v="3"/>
    <x v="1"/>
    <s v="Retail"/>
    <x v="0"/>
    <x v="1"/>
    <s v="Tablet"/>
    <n v="0"/>
    <n v="4"/>
    <x v="92"/>
    <n v="1"/>
    <x v="0"/>
    <x v="0"/>
    <x v="0"/>
  </r>
  <r>
    <x v="99"/>
    <s v="C1227"/>
    <d v="2024-01-05T03:00:00"/>
    <n v="5439.18"/>
    <x v="0"/>
    <x v="0"/>
    <s v="Travel"/>
    <x v="0"/>
    <x v="1"/>
    <s v="Mobile"/>
    <n v="0"/>
    <n v="1"/>
    <x v="93"/>
    <n v="0"/>
    <x v="2"/>
    <x v="0"/>
    <x v="1"/>
  </r>
  <r>
    <x v="100"/>
    <s v="C1443"/>
    <d v="2024-01-05T04:00:00"/>
    <n v="1619.89"/>
    <x v="0"/>
    <x v="1"/>
    <s v="Electronics"/>
    <x v="1"/>
    <x v="3"/>
    <s v="Mobile"/>
    <n v="0"/>
    <n v="3"/>
    <x v="94"/>
    <n v="1"/>
    <x v="0"/>
    <x v="0"/>
    <x v="0"/>
  </r>
  <r>
    <x v="101"/>
    <s v="C1214"/>
    <d v="2024-01-05T05:00:00"/>
    <n v="31838.7"/>
    <x v="1"/>
    <x v="0"/>
    <s v="Food"/>
    <x v="3"/>
    <x v="4"/>
    <s v="Desktop"/>
    <n v="0"/>
    <n v="1"/>
    <x v="95"/>
    <n v="1"/>
    <x v="0"/>
    <x v="0"/>
    <x v="0"/>
  </r>
  <r>
    <x v="102"/>
    <s v="C1457"/>
    <d v="2024-01-05T06:00:00"/>
    <n v="15752.08"/>
    <x v="0"/>
    <x v="2"/>
    <s v="Retail"/>
    <x v="3"/>
    <x v="0"/>
    <s v="Tablet"/>
    <n v="0"/>
    <n v="1"/>
    <x v="96"/>
    <n v="0"/>
    <x v="2"/>
    <x v="0"/>
    <x v="1"/>
  </r>
  <r>
    <x v="103"/>
    <s v="C1383"/>
    <d v="2024-01-05T07:00:00"/>
    <n v="25453.11"/>
    <x v="3"/>
    <x v="2"/>
    <s v="Food"/>
    <x v="1"/>
    <x v="2"/>
    <s v="Mobile"/>
    <n v="1"/>
    <n v="3"/>
    <x v="97"/>
    <n v="1"/>
    <x v="1"/>
    <x v="0"/>
    <x v="0"/>
  </r>
  <r>
    <x v="104"/>
    <s v="C1171"/>
    <d v="2024-01-05T08:00:00"/>
    <n v="45382.95"/>
    <x v="1"/>
    <x v="3"/>
    <s v="Food"/>
    <x v="4"/>
    <x v="1"/>
    <s v="Mobile"/>
    <n v="0"/>
    <n v="4"/>
    <x v="71"/>
    <n v="1"/>
    <x v="1"/>
    <x v="0"/>
    <x v="0"/>
  </r>
  <r>
    <x v="105"/>
    <s v="C1334"/>
    <d v="2024-01-05T09:00:00"/>
    <n v="12502.15"/>
    <x v="2"/>
    <x v="0"/>
    <s v="Electronics"/>
    <x v="1"/>
    <x v="0"/>
    <s v="Mobile"/>
    <n v="0"/>
    <n v="3"/>
    <x v="98"/>
    <n v="1"/>
    <x v="0"/>
    <x v="0"/>
    <x v="0"/>
  </r>
  <r>
    <x v="106"/>
    <s v="C1296"/>
    <d v="2024-01-05T10:00:00"/>
    <n v="20548.63"/>
    <x v="2"/>
    <x v="3"/>
    <s v="Travel"/>
    <x v="4"/>
    <x v="1"/>
    <s v="Mobile"/>
    <n v="0"/>
    <n v="0"/>
    <x v="99"/>
    <n v="0"/>
    <x v="2"/>
    <x v="0"/>
    <x v="1"/>
  </r>
  <r>
    <x v="107"/>
    <s v="C1356"/>
    <d v="2024-01-05T11:00:00"/>
    <n v="37789.78"/>
    <x v="1"/>
    <x v="3"/>
    <s v="Electronics"/>
    <x v="1"/>
    <x v="4"/>
    <s v="Desktop"/>
    <n v="0"/>
    <n v="0"/>
    <x v="4"/>
    <n v="0"/>
    <x v="2"/>
    <x v="0"/>
    <x v="1"/>
  </r>
  <r>
    <x v="108"/>
    <s v="C1089"/>
    <d v="2024-01-05T12:00:00"/>
    <n v="11478.47"/>
    <x v="3"/>
    <x v="2"/>
    <s v="Retail"/>
    <x v="4"/>
    <x v="0"/>
    <s v="Tablet"/>
    <n v="0"/>
    <n v="1"/>
    <x v="100"/>
    <n v="0"/>
    <x v="2"/>
    <x v="0"/>
    <x v="1"/>
  </r>
  <r>
    <x v="109"/>
    <s v="C1217"/>
    <d v="2024-01-05T13:00:00"/>
    <n v="3895.15"/>
    <x v="2"/>
    <x v="1"/>
    <s v="Food"/>
    <x v="4"/>
    <x v="2"/>
    <s v="Mobile"/>
    <n v="1"/>
    <n v="3"/>
    <x v="101"/>
    <n v="1"/>
    <x v="0"/>
    <x v="0"/>
    <x v="0"/>
  </r>
  <r>
    <x v="110"/>
    <s v="C1498"/>
    <d v="2024-01-05T14:00:00"/>
    <n v="14523.09"/>
    <x v="2"/>
    <x v="1"/>
    <s v="Electronics"/>
    <x v="1"/>
    <x v="1"/>
    <s v="Desktop"/>
    <n v="0"/>
    <n v="3"/>
    <x v="102"/>
    <n v="1"/>
    <x v="0"/>
    <x v="0"/>
    <x v="0"/>
  </r>
  <r>
    <x v="111"/>
    <s v="C1300"/>
    <d v="2024-01-05T15:00:00"/>
    <n v="8103"/>
    <x v="0"/>
    <x v="3"/>
    <s v="Electronics"/>
    <x v="4"/>
    <x v="4"/>
    <s v="Mobile"/>
    <n v="0"/>
    <n v="3"/>
    <x v="103"/>
    <n v="1"/>
    <x v="0"/>
    <x v="0"/>
    <x v="0"/>
  </r>
  <r>
    <x v="112"/>
    <s v="C1414"/>
    <d v="2024-01-05T16:00:00"/>
    <n v="46488.4"/>
    <x v="0"/>
    <x v="2"/>
    <s v="Electronics"/>
    <x v="2"/>
    <x v="0"/>
    <s v="Mobile"/>
    <n v="0"/>
    <n v="4"/>
    <x v="104"/>
    <n v="1"/>
    <x v="1"/>
    <x v="0"/>
    <x v="0"/>
  </r>
  <r>
    <x v="113"/>
    <s v="C1493"/>
    <d v="2024-01-05T17:00:00"/>
    <n v="40415.61"/>
    <x v="3"/>
    <x v="0"/>
    <s v="Retail"/>
    <x v="0"/>
    <x v="1"/>
    <s v="Mobile"/>
    <n v="0"/>
    <n v="2"/>
    <x v="105"/>
    <n v="1"/>
    <x v="1"/>
    <x v="0"/>
    <x v="0"/>
  </r>
  <r>
    <x v="114"/>
    <s v="C1475"/>
    <d v="2024-01-05T18:00:00"/>
    <n v="31688.52"/>
    <x v="1"/>
    <x v="1"/>
    <s v="Travel"/>
    <x v="3"/>
    <x v="1"/>
    <s v="Mobile"/>
    <n v="0"/>
    <n v="2"/>
    <x v="106"/>
    <n v="1"/>
    <x v="0"/>
    <x v="0"/>
    <x v="0"/>
  </r>
  <r>
    <x v="115"/>
    <s v="C1341"/>
    <d v="2024-01-05T19:00:00"/>
    <n v="43579.46"/>
    <x v="3"/>
    <x v="3"/>
    <s v="Electronics"/>
    <x v="4"/>
    <x v="2"/>
    <s v="Desktop"/>
    <n v="0"/>
    <n v="2"/>
    <x v="107"/>
    <n v="1"/>
    <x v="1"/>
    <x v="0"/>
    <x v="0"/>
  </r>
  <r>
    <x v="116"/>
    <s v="C1143"/>
    <d v="2024-01-05T20:00:00"/>
    <n v="40193.42"/>
    <x v="1"/>
    <x v="1"/>
    <s v="Retail"/>
    <x v="4"/>
    <x v="4"/>
    <s v="Tablet"/>
    <n v="0"/>
    <n v="4"/>
    <x v="108"/>
    <n v="1"/>
    <x v="1"/>
    <x v="0"/>
    <x v="0"/>
  </r>
  <r>
    <x v="117"/>
    <s v="C1428"/>
    <d v="2024-01-05T21:00:00"/>
    <n v="9369.17"/>
    <x v="2"/>
    <x v="1"/>
    <s v="Food"/>
    <x v="3"/>
    <x v="3"/>
    <s v="Desktop"/>
    <n v="0"/>
    <n v="3"/>
    <x v="109"/>
    <n v="1"/>
    <x v="0"/>
    <x v="0"/>
    <x v="0"/>
  </r>
  <r>
    <x v="118"/>
    <s v="C1381"/>
    <d v="2024-01-05T22:00:00"/>
    <n v="44633.32"/>
    <x v="0"/>
    <x v="0"/>
    <s v="Entertainment"/>
    <x v="4"/>
    <x v="1"/>
    <s v="Desktop"/>
    <n v="0"/>
    <n v="2"/>
    <x v="110"/>
    <n v="1"/>
    <x v="0"/>
    <x v="0"/>
    <x v="0"/>
  </r>
  <r>
    <x v="119"/>
    <s v="C1158"/>
    <d v="2024-01-05T23:00:00"/>
    <n v="26990.14"/>
    <x v="3"/>
    <x v="2"/>
    <s v="Retail"/>
    <x v="3"/>
    <x v="0"/>
    <s v="Desktop"/>
    <n v="0"/>
    <n v="3"/>
    <x v="111"/>
    <n v="1"/>
    <x v="1"/>
    <x v="0"/>
    <x v="0"/>
  </r>
  <r>
    <x v="120"/>
    <s v="C1347"/>
    <d v="2024-01-06T00:00:00"/>
    <n v="40381.64"/>
    <x v="3"/>
    <x v="0"/>
    <s v="Entertainment"/>
    <x v="1"/>
    <x v="2"/>
    <s v="Mobile"/>
    <n v="0"/>
    <n v="1"/>
    <x v="33"/>
    <n v="1"/>
    <x v="0"/>
    <x v="0"/>
    <x v="0"/>
  </r>
  <r>
    <x v="121"/>
    <s v="C1336"/>
    <d v="2024-01-06T01:00:00"/>
    <n v="44809.760000000002"/>
    <x v="1"/>
    <x v="2"/>
    <s v="Electronics"/>
    <x v="2"/>
    <x v="2"/>
    <s v="Tablet"/>
    <n v="0"/>
    <n v="2"/>
    <x v="112"/>
    <n v="1"/>
    <x v="0"/>
    <x v="0"/>
    <x v="0"/>
  </r>
  <r>
    <x v="122"/>
    <s v="C1207"/>
    <d v="2024-01-06T02:00:00"/>
    <n v="15934.27"/>
    <x v="1"/>
    <x v="1"/>
    <s v="Electronics"/>
    <x v="2"/>
    <x v="1"/>
    <s v="Mobile"/>
    <n v="1"/>
    <n v="1"/>
    <x v="113"/>
    <n v="1"/>
    <x v="0"/>
    <x v="0"/>
    <x v="0"/>
  </r>
  <r>
    <x v="123"/>
    <s v="C1303"/>
    <d v="2024-01-06T03:00:00"/>
    <n v="5547.09"/>
    <x v="3"/>
    <x v="3"/>
    <s v="Retail"/>
    <x v="0"/>
    <x v="1"/>
    <s v="Desktop"/>
    <n v="0"/>
    <n v="4"/>
    <x v="114"/>
    <n v="1"/>
    <x v="0"/>
    <x v="0"/>
    <x v="0"/>
  </r>
  <r>
    <x v="124"/>
    <s v="C1147"/>
    <d v="2024-01-06T04:00:00"/>
    <n v="11435.36"/>
    <x v="1"/>
    <x v="0"/>
    <s v="Entertainment"/>
    <x v="4"/>
    <x v="1"/>
    <s v="Mobile"/>
    <n v="0"/>
    <n v="0"/>
    <x v="115"/>
    <n v="0"/>
    <x v="2"/>
    <x v="0"/>
    <x v="1"/>
  </r>
  <r>
    <x v="125"/>
    <s v="C1348"/>
    <d v="2024-01-06T05:00:00"/>
    <n v="21384.03"/>
    <x v="3"/>
    <x v="2"/>
    <s v="Electronics"/>
    <x v="0"/>
    <x v="3"/>
    <s v="Tablet"/>
    <n v="0"/>
    <n v="4"/>
    <x v="116"/>
    <n v="1"/>
    <x v="1"/>
    <x v="0"/>
    <x v="0"/>
  </r>
  <r>
    <x v="126"/>
    <s v="C1227"/>
    <d v="2024-01-06T06:00:00"/>
    <n v="40909.839999999997"/>
    <x v="3"/>
    <x v="1"/>
    <s v="Food"/>
    <x v="1"/>
    <x v="1"/>
    <s v="Tablet"/>
    <n v="0"/>
    <n v="4"/>
    <x v="117"/>
    <n v="1"/>
    <x v="1"/>
    <x v="0"/>
    <x v="0"/>
  </r>
  <r>
    <x v="127"/>
    <s v="C1013"/>
    <d v="2024-01-06T07:00:00"/>
    <n v="43043.49"/>
    <x v="3"/>
    <x v="2"/>
    <s v="Travel"/>
    <x v="2"/>
    <x v="4"/>
    <s v="Mobile"/>
    <n v="0"/>
    <n v="4"/>
    <x v="118"/>
    <n v="1"/>
    <x v="1"/>
    <x v="0"/>
    <x v="0"/>
  </r>
  <r>
    <x v="128"/>
    <s v="C1046"/>
    <d v="2024-01-06T08:00:00"/>
    <n v="397.26"/>
    <x v="2"/>
    <x v="2"/>
    <s v="Travel"/>
    <x v="1"/>
    <x v="0"/>
    <s v="Desktop"/>
    <n v="0"/>
    <n v="2"/>
    <x v="119"/>
    <n v="0"/>
    <x v="2"/>
    <x v="0"/>
    <x v="1"/>
  </r>
  <r>
    <x v="129"/>
    <s v="C1243"/>
    <d v="2024-01-06T09:00:00"/>
    <n v="25561.83"/>
    <x v="1"/>
    <x v="2"/>
    <s v="Electronics"/>
    <x v="1"/>
    <x v="1"/>
    <s v="Mobile"/>
    <n v="0"/>
    <n v="1"/>
    <x v="120"/>
    <n v="1"/>
    <x v="0"/>
    <x v="0"/>
    <x v="0"/>
  </r>
  <r>
    <x v="130"/>
    <s v="C1490"/>
    <d v="2024-01-06T10:00:00"/>
    <n v="20899.68"/>
    <x v="0"/>
    <x v="1"/>
    <s v="Entertainment"/>
    <x v="4"/>
    <x v="3"/>
    <s v="Desktop"/>
    <n v="0"/>
    <n v="2"/>
    <x v="113"/>
    <n v="1"/>
    <x v="0"/>
    <x v="0"/>
    <x v="0"/>
  </r>
  <r>
    <x v="131"/>
    <s v="C1038"/>
    <d v="2024-01-06T11:00:00"/>
    <n v="11144.29"/>
    <x v="0"/>
    <x v="3"/>
    <s v="Electronics"/>
    <x v="1"/>
    <x v="0"/>
    <s v="Tablet"/>
    <n v="0"/>
    <n v="0"/>
    <x v="121"/>
    <n v="0"/>
    <x v="2"/>
    <x v="0"/>
    <x v="1"/>
  </r>
  <r>
    <x v="132"/>
    <s v="C1396"/>
    <d v="2024-01-06T12:00:00"/>
    <n v="6037.28"/>
    <x v="1"/>
    <x v="3"/>
    <s v="Entertainment"/>
    <x v="2"/>
    <x v="2"/>
    <s v="Mobile"/>
    <n v="1"/>
    <n v="4"/>
    <x v="122"/>
    <n v="1"/>
    <x v="1"/>
    <x v="0"/>
    <x v="0"/>
  </r>
  <r>
    <x v="133"/>
    <s v="C1090"/>
    <d v="2024-01-06T13:00:00"/>
    <n v="16913.88"/>
    <x v="3"/>
    <x v="3"/>
    <s v="Food"/>
    <x v="0"/>
    <x v="1"/>
    <s v="Tablet"/>
    <n v="0"/>
    <n v="3"/>
    <x v="123"/>
    <n v="1"/>
    <x v="0"/>
    <x v="0"/>
    <x v="0"/>
  </r>
  <r>
    <x v="134"/>
    <s v="C1499"/>
    <d v="2024-01-06T14:00:00"/>
    <n v="47148.34"/>
    <x v="0"/>
    <x v="2"/>
    <s v="Entertainment"/>
    <x v="2"/>
    <x v="0"/>
    <s v="Desktop"/>
    <n v="0"/>
    <n v="0"/>
    <x v="124"/>
    <n v="1"/>
    <x v="0"/>
    <x v="0"/>
    <x v="0"/>
  </r>
  <r>
    <x v="135"/>
    <s v="C1055"/>
    <d v="2024-01-06T15:00:00"/>
    <n v="16193.99"/>
    <x v="0"/>
    <x v="1"/>
    <s v="Electronics"/>
    <x v="4"/>
    <x v="2"/>
    <s v="Desktop"/>
    <n v="0"/>
    <n v="1"/>
    <x v="125"/>
    <n v="0"/>
    <x v="2"/>
    <x v="0"/>
    <x v="1"/>
  </r>
  <r>
    <x v="136"/>
    <s v="C1401"/>
    <d v="2024-01-06T16:00:00"/>
    <n v="25963.59"/>
    <x v="1"/>
    <x v="2"/>
    <s v="Food"/>
    <x v="2"/>
    <x v="3"/>
    <s v="Mobile"/>
    <n v="0"/>
    <n v="0"/>
    <x v="126"/>
    <n v="0"/>
    <x v="2"/>
    <x v="0"/>
    <x v="1"/>
  </r>
  <r>
    <x v="137"/>
    <s v="C1440"/>
    <d v="2024-01-06T17:00:00"/>
    <n v="35165.800000000003"/>
    <x v="0"/>
    <x v="3"/>
    <s v="Retail"/>
    <x v="3"/>
    <x v="4"/>
    <s v="Mobile"/>
    <n v="0"/>
    <n v="2"/>
    <x v="127"/>
    <n v="1"/>
    <x v="0"/>
    <x v="0"/>
    <x v="0"/>
  </r>
  <r>
    <x v="138"/>
    <s v="C1274"/>
    <d v="2024-01-06T18:00:00"/>
    <n v="18213.3"/>
    <x v="3"/>
    <x v="3"/>
    <s v="Travel"/>
    <x v="0"/>
    <x v="1"/>
    <s v="Mobile"/>
    <n v="0"/>
    <n v="3"/>
    <x v="128"/>
    <n v="1"/>
    <x v="0"/>
    <x v="0"/>
    <x v="0"/>
  </r>
  <r>
    <x v="139"/>
    <s v="C1257"/>
    <d v="2024-01-06T19:00:00"/>
    <n v="48590.52"/>
    <x v="1"/>
    <x v="1"/>
    <s v="Electronics"/>
    <x v="3"/>
    <x v="4"/>
    <s v="Tablet"/>
    <n v="0"/>
    <n v="2"/>
    <x v="129"/>
    <n v="1"/>
    <x v="1"/>
    <x v="0"/>
    <x v="0"/>
  </r>
  <r>
    <x v="140"/>
    <s v="C1020"/>
    <d v="2024-01-06T20:00:00"/>
    <n v="48124.24"/>
    <x v="3"/>
    <x v="2"/>
    <s v="Electronics"/>
    <x v="3"/>
    <x v="3"/>
    <s v="Desktop"/>
    <n v="0"/>
    <n v="4"/>
    <x v="130"/>
    <n v="1"/>
    <x v="1"/>
    <x v="0"/>
    <x v="0"/>
  </r>
  <r>
    <x v="141"/>
    <s v="C1454"/>
    <d v="2024-01-06T21:00:00"/>
    <n v="12626.53"/>
    <x v="0"/>
    <x v="0"/>
    <s v="Electronics"/>
    <x v="4"/>
    <x v="0"/>
    <s v="Desktop"/>
    <n v="0"/>
    <n v="4"/>
    <x v="131"/>
    <n v="1"/>
    <x v="1"/>
    <x v="0"/>
    <x v="0"/>
  </r>
  <r>
    <x v="142"/>
    <s v="C1071"/>
    <d v="2024-01-06T22:00:00"/>
    <n v="24887.56"/>
    <x v="0"/>
    <x v="0"/>
    <s v="Food"/>
    <x v="1"/>
    <x v="0"/>
    <s v="Tablet"/>
    <n v="1"/>
    <n v="0"/>
    <x v="132"/>
    <n v="1"/>
    <x v="0"/>
    <x v="0"/>
    <x v="0"/>
  </r>
  <r>
    <x v="143"/>
    <s v="C1279"/>
    <d v="2024-01-06T23:00:00"/>
    <n v="15078.87"/>
    <x v="3"/>
    <x v="3"/>
    <s v="Retail"/>
    <x v="3"/>
    <x v="3"/>
    <s v="Mobile"/>
    <n v="0"/>
    <n v="4"/>
    <x v="133"/>
    <n v="1"/>
    <x v="0"/>
    <x v="0"/>
    <x v="0"/>
  </r>
  <r>
    <x v="144"/>
    <s v="C1346"/>
    <d v="2024-01-07T00:00:00"/>
    <n v="14277.78"/>
    <x v="2"/>
    <x v="1"/>
    <s v="Entertainment"/>
    <x v="2"/>
    <x v="3"/>
    <s v="Mobile"/>
    <n v="0"/>
    <n v="4"/>
    <x v="134"/>
    <n v="1"/>
    <x v="1"/>
    <x v="0"/>
    <x v="0"/>
  </r>
  <r>
    <x v="145"/>
    <s v="C1172"/>
    <d v="2024-01-07T01:00:00"/>
    <n v="1892.5"/>
    <x v="0"/>
    <x v="2"/>
    <s v="Retail"/>
    <x v="1"/>
    <x v="1"/>
    <s v="Tablet"/>
    <n v="0"/>
    <n v="1"/>
    <x v="135"/>
    <n v="0"/>
    <x v="2"/>
    <x v="0"/>
    <x v="1"/>
  </r>
  <r>
    <x v="146"/>
    <s v="C1009"/>
    <d v="2024-01-07T02:00:00"/>
    <n v="30497.74"/>
    <x v="2"/>
    <x v="2"/>
    <s v="Food"/>
    <x v="2"/>
    <x v="2"/>
    <s v="Desktop"/>
    <n v="1"/>
    <n v="1"/>
    <x v="136"/>
    <n v="1"/>
    <x v="0"/>
    <x v="0"/>
    <x v="0"/>
  </r>
  <r>
    <x v="147"/>
    <s v="C1268"/>
    <d v="2024-01-07T03:00:00"/>
    <n v="25158.82"/>
    <x v="0"/>
    <x v="3"/>
    <s v="Electronics"/>
    <x v="2"/>
    <x v="4"/>
    <s v="Desktop"/>
    <n v="0"/>
    <n v="2"/>
    <x v="137"/>
    <n v="1"/>
    <x v="0"/>
    <x v="0"/>
    <x v="0"/>
  </r>
  <r>
    <x v="148"/>
    <s v="C1382"/>
    <d v="2024-01-07T04:00:00"/>
    <n v="2621.36"/>
    <x v="2"/>
    <x v="3"/>
    <s v="Travel"/>
    <x v="1"/>
    <x v="4"/>
    <s v="Desktop"/>
    <n v="0"/>
    <n v="2"/>
    <x v="138"/>
    <n v="0"/>
    <x v="2"/>
    <x v="0"/>
    <x v="1"/>
  </r>
  <r>
    <x v="149"/>
    <s v="C1088"/>
    <d v="2024-01-07T05:00:00"/>
    <n v="13968.39"/>
    <x v="2"/>
    <x v="2"/>
    <s v="Electronics"/>
    <x v="1"/>
    <x v="0"/>
    <s v="Desktop"/>
    <n v="0"/>
    <n v="1"/>
    <x v="139"/>
    <n v="0"/>
    <x v="2"/>
    <x v="0"/>
    <x v="1"/>
  </r>
  <r>
    <x v="150"/>
    <s v="C1429"/>
    <d v="2024-01-07T06:00:00"/>
    <n v="45417.88"/>
    <x v="2"/>
    <x v="2"/>
    <s v="Entertainment"/>
    <x v="2"/>
    <x v="0"/>
    <s v="Tablet"/>
    <n v="0"/>
    <n v="0"/>
    <x v="140"/>
    <n v="1"/>
    <x v="0"/>
    <x v="0"/>
    <x v="0"/>
  </r>
  <r>
    <x v="151"/>
    <s v="C1120"/>
    <d v="2024-01-07T07:00:00"/>
    <n v="12016.12"/>
    <x v="3"/>
    <x v="3"/>
    <s v="Travel"/>
    <x v="4"/>
    <x v="1"/>
    <s v="Desktop"/>
    <n v="0"/>
    <n v="1"/>
    <x v="141"/>
    <n v="0"/>
    <x v="2"/>
    <x v="0"/>
    <x v="1"/>
  </r>
  <r>
    <x v="152"/>
    <s v="C1182"/>
    <d v="2024-01-07T08:00:00"/>
    <n v="7287.5"/>
    <x v="2"/>
    <x v="2"/>
    <s v="Electronics"/>
    <x v="0"/>
    <x v="3"/>
    <s v="Tablet"/>
    <n v="1"/>
    <n v="2"/>
    <x v="142"/>
    <n v="1"/>
    <x v="0"/>
    <x v="0"/>
    <x v="0"/>
  </r>
  <r>
    <x v="153"/>
    <s v="C1372"/>
    <d v="2024-01-07T09:00:00"/>
    <n v="24498.17"/>
    <x v="2"/>
    <x v="0"/>
    <s v="Travel"/>
    <x v="0"/>
    <x v="4"/>
    <s v="Mobile"/>
    <n v="0"/>
    <n v="3"/>
    <x v="143"/>
    <n v="1"/>
    <x v="0"/>
    <x v="0"/>
    <x v="0"/>
  </r>
  <r>
    <x v="154"/>
    <s v="C1158"/>
    <d v="2024-01-07T10:00:00"/>
    <n v="49283.24"/>
    <x v="2"/>
    <x v="3"/>
    <s v="Retail"/>
    <x v="4"/>
    <x v="1"/>
    <s v="Tablet"/>
    <n v="0"/>
    <n v="4"/>
    <x v="144"/>
    <n v="1"/>
    <x v="1"/>
    <x v="0"/>
    <x v="0"/>
  </r>
  <r>
    <x v="155"/>
    <s v="C1394"/>
    <d v="2024-01-07T11:00:00"/>
    <n v="12140.66"/>
    <x v="0"/>
    <x v="2"/>
    <s v="Food"/>
    <x v="1"/>
    <x v="0"/>
    <s v="Desktop"/>
    <n v="0"/>
    <n v="3"/>
    <x v="145"/>
    <n v="1"/>
    <x v="0"/>
    <x v="0"/>
    <x v="0"/>
  </r>
  <r>
    <x v="156"/>
    <s v="C1316"/>
    <d v="2024-01-07T12:00:00"/>
    <n v="33623.17"/>
    <x v="2"/>
    <x v="3"/>
    <s v="Electronics"/>
    <x v="2"/>
    <x v="0"/>
    <s v="Mobile"/>
    <n v="0"/>
    <n v="3"/>
    <x v="129"/>
    <n v="1"/>
    <x v="1"/>
    <x v="0"/>
    <x v="0"/>
  </r>
  <r>
    <x v="157"/>
    <s v="C1405"/>
    <d v="2024-01-07T13:00:00"/>
    <n v="38092.9"/>
    <x v="0"/>
    <x v="1"/>
    <s v="Entertainment"/>
    <x v="0"/>
    <x v="4"/>
    <s v="Tablet"/>
    <n v="0"/>
    <n v="4"/>
    <x v="130"/>
    <n v="1"/>
    <x v="1"/>
    <x v="0"/>
    <x v="0"/>
  </r>
  <r>
    <x v="158"/>
    <s v="C1302"/>
    <d v="2024-01-07T14:00:00"/>
    <n v="11920"/>
    <x v="2"/>
    <x v="3"/>
    <s v="Retail"/>
    <x v="2"/>
    <x v="0"/>
    <s v="Tablet"/>
    <n v="1"/>
    <n v="1"/>
    <x v="146"/>
    <n v="1"/>
    <x v="0"/>
    <x v="0"/>
    <x v="0"/>
  </r>
  <r>
    <x v="159"/>
    <s v="C1251"/>
    <d v="2024-01-07T15:00:00"/>
    <n v="36424.410000000003"/>
    <x v="2"/>
    <x v="3"/>
    <s v="Electronics"/>
    <x v="4"/>
    <x v="0"/>
    <s v="Tablet"/>
    <n v="0"/>
    <n v="0"/>
    <x v="91"/>
    <n v="0"/>
    <x v="2"/>
    <x v="0"/>
    <x v="1"/>
  </r>
  <r>
    <x v="160"/>
    <s v="C1390"/>
    <d v="2024-01-07T16:00:00"/>
    <n v="18420.77"/>
    <x v="3"/>
    <x v="1"/>
    <s v="Retail"/>
    <x v="2"/>
    <x v="2"/>
    <s v="Mobile"/>
    <n v="1"/>
    <n v="3"/>
    <x v="147"/>
    <n v="1"/>
    <x v="1"/>
    <x v="0"/>
    <x v="0"/>
  </r>
  <r>
    <x v="161"/>
    <s v="C1174"/>
    <d v="2024-01-07T17:00:00"/>
    <n v="31633.68"/>
    <x v="0"/>
    <x v="0"/>
    <s v="Entertainment"/>
    <x v="4"/>
    <x v="3"/>
    <s v="Tablet"/>
    <n v="0"/>
    <n v="0"/>
    <x v="148"/>
    <n v="0"/>
    <x v="2"/>
    <x v="0"/>
    <x v="1"/>
  </r>
  <r>
    <x v="162"/>
    <s v="C1180"/>
    <d v="2024-01-07T18:00:00"/>
    <n v="31694.81"/>
    <x v="2"/>
    <x v="2"/>
    <s v="Electronics"/>
    <x v="1"/>
    <x v="0"/>
    <s v="Desktop"/>
    <n v="0"/>
    <n v="2"/>
    <x v="106"/>
    <n v="1"/>
    <x v="0"/>
    <x v="0"/>
    <x v="0"/>
  </r>
  <r>
    <x v="163"/>
    <s v="C1041"/>
    <d v="2024-01-07T19:00:00"/>
    <n v="26811.95"/>
    <x v="0"/>
    <x v="1"/>
    <s v="Entertainment"/>
    <x v="4"/>
    <x v="2"/>
    <s v="Mobile"/>
    <n v="0"/>
    <n v="3"/>
    <x v="149"/>
    <n v="1"/>
    <x v="1"/>
    <x v="0"/>
    <x v="0"/>
  </r>
  <r>
    <x v="164"/>
    <s v="C1489"/>
    <d v="2024-01-07T20:00:00"/>
    <n v="4559.97"/>
    <x v="0"/>
    <x v="3"/>
    <s v="Travel"/>
    <x v="4"/>
    <x v="1"/>
    <s v="Mobile"/>
    <n v="0"/>
    <n v="2"/>
    <x v="150"/>
    <n v="0"/>
    <x v="2"/>
    <x v="0"/>
    <x v="1"/>
  </r>
  <r>
    <x v="165"/>
    <s v="C1138"/>
    <d v="2024-01-07T21:00:00"/>
    <n v="41773.360000000001"/>
    <x v="1"/>
    <x v="2"/>
    <s v="Entertainment"/>
    <x v="0"/>
    <x v="0"/>
    <s v="Tablet"/>
    <n v="0"/>
    <n v="1"/>
    <x v="95"/>
    <n v="1"/>
    <x v="0"/>
    <x v="0"/>
    <x v="0"/>
  </r>
  <r>
    <x v="166"/>
    <s v="C1145"/>
    <d v="2024-01-07T22:00:00"/>
    <n v="16072.96"/>
    <x v="3"/>
    <x v="1"/>
    <s v="Travel"/>
    <x v="2"/>
    <x v="1"/>
    <s v="Desktop"/>
    <n v="0"/>
    <n v="3"/>
    <x v="151"/>
    <n v="1"/>
    <x v="0"/>
    <x v="0"/>
    <x v="0"/>
  </r>
  <r>
    <x v="167"/>
    <s v="C1176"/>
    <d v="2024-01-07T23:00:00"/>
    <n v="9366.6"/>
    <x v="3"/>
    <x v="2"/>
    <s v="Electronics"/>
    <x v="0"/>
    <x v="0"/>
    <s v="Mobile"/>
    <n v="0"/>
    <n v="2"/>
    <x v="152"/>
    <n v="0"/>
    <x v="2"/>
    <x v="0"/>
    <x v="1"/>
  </r>
  <r>
    <x v="168"/>
    <s v="C1201"/>
    <d v="2024-01-08T00:00:00"/>
    <n v="2086.7199999999998"/>
    <x v="3"/>
    <x v="2"/>
    <s v="Travel"/>
    <x v="3"/>
    <x v="4"/>
    <s v="Tablet"/>
    <n v="0"/>
    <n v="2"/>
    <x v="153"/>
    <n v="0"/>
    <x v="2"/>
    <x v="0"/>
    <x v="1"/>
  </r>
  <r>
    <x v="169"/>
    <s v="C1284"/>
    <d v="2024-01-08T01:00:00"/>
    <n v="29565.1"/>
    <x v="1"/>
    <x v="1"/>
    <s v="Electronics"/>
    <x v="4"/>
    <x v="2"/>
    <s v="Desktop"/>
    <n v="0"/>
    <n v="1"/>
    <x v="154"/>
    <n v="1"/>
    <x v="0"/>
    <x v="0"/>
    <x v="0"/>
  </r>
  <r>
    <x v="170"/>
    <s v="C1254"/>
    <d v="2024-01-08T02:00:00"/>
    <n v="33894.339999999997"/>
    <x v="1"/>
    <x v="2"/>
    <s v="Electronics"/>
    <x v="3"/>
    <x v="2"/>
    <s v="Tablet"/>
    <n v="0"/>
    <n v="0"/>
    <x v="155"/>
    <n v="0"/>
    <x v="2"/>
    <x v="0"/>
    <x v="1"/>
  </r>
  <r>
    <x v="171"/>
    <s v="C1158"/>
    <d v="2024-01-08T03:00:00"/>
    <n v="878.56"/>
    <x v="3"/>
    <x v="0"/>
    <s v="Food"/>
    <x v="0"/>
    <x v="4"/>
    <s v="Tablet"/>
    <n v="0"/>
    <n v="0"/>
    <x v="156"/>
    <n v="0"/>
    <x v="2"/>
    <x v="0"/>
    <x v="1"/>
  </r>
  <r>
    <x v="172"/>
    <s v="C1309"/>
    <d v="2024-01-08T04:00:00"/>
    <n v="25629.05"/>
    <x v="1"/>
    <x v="1"/>
    <s v="Electronics"/>
    <x v="2"/>
    <x v="3"/>
    <s v="Mobile"/>
    <n v="0"/>
    <n v="3"/>
    <x v="157"/>
    <n v="1"/>
    <x v="1"/>
    <x v="0"/>
    <x v="0"/>
  </r>
  <r>
    <x v="173"/>
    <s v="C1014"/>
    <d v="2024-01-08T05:00:00"/>
    <n v="11363.46"/>
    <x v="1"/>
    <x v="0"/>
    <s v="Travel"/>
    <x v="0"/>
    <x v="2"/>
    <s v="Mobile"/>
    <n v="0"/>
    <n v="1"/>
    <x v="158"/>
    <n v="0"/>
    <x v="2"/>
    <x v="0"/>
    <x v="1"/>
  </r>
  <r>
    <x v="174"/>
    <s v="C1234"/>
    <d v="2024-01-08T06:00:00"/>
    <n v="32276.38"/>
    <x v="1"/>
    <x v="3"/>
    <s v="Food"/>
    <x v="2"/>
    <x v="1"/>
    <s v="Tablet"/>
    <n v="0"/>
    <n v="3"/>
    <x v="159"/>
    <n v="1"/>
    <x v="1"/>
    <x v="0"/>
    <x v="0"/>
  </r>
  <r>
    <x v="175"/>
    <s v="C1399"/>
    <d v="2024-01-08T07:00:00"/>
    <n v="8759.6"/>
    <x v="3"/>
    <x v="2"/>
    <s v="Food"/>
    <x v="2"/>
    <x v="2"/>
    <s v="Mobile"/>
    <n v="0"/>
    <n v="0"/>
    <x v="160"/>
    <n v="0"/>
    <x v="2"/>
    <x v="0"/>
    <x v="1"/>
  </r>
  <r>
    <x v="176"/>
    <s v="C1106"/>
    <d v="2024-01-08T08:00:00"/>
    <n v="34562.339999999997"/>
    <x v="3"/>
    <x v="3"/>
    <s v="Electronics"/>
    <x v="1"/>
    <x v="3"/>
    <s v="Mobile"/>
    <n v="0"/>
    <n v="1"/>
    <x v="161"/>
    <n v="1"/>
    <x v="0"/>
    <x v="0"/>
    <x v="0"/>
  </r>
  <r>
    <x v="177"/>
    <s v="C1225"/>
    <d v="2024-01-08T09:00:00"/>
    <n v="19367.43"/>
    <x v="3"/>
    <x v="3"/>
    <s v="Entertainment"/>
    <x v="4"/>
    <x v="1"/>
    <s v="Desktop"/>
    <n v="0"/>
    <n v="4"/>
    <x v="162"/>
    <n v="1"/>
    <x v="0"/>
    <x v="0"/>
    <x v="0"/>
  </r>
  <r>
    <x v="178"/>
    <s v="C1318"/>
    <d v="2024-01-08T10:00:00"/>
    <n v="46839.66"/>
    <x v="1"/>
    <x v="2"/>
    <s v="Entertainment"/>
    <x v="0"/>
    <x v="1"/>
    <s v="Desktop"/>
    <n v="0"/>
    <n v="1"/>
    <x v="163"/>
    <n v="1"/>
    <x v="0"/>
    <x v="0"/>
    <x v="0"/>
  </r>
  <r>
    <x v="179"/>
    <s v="C1418"/>
    <d v="2024-01-08T11:00:00"/>
    <n v="6919.17"/>
    <x v="3"/>
    <x v="1"/>
    <s v="Food"/>
    <x v="2"/>
    <x v="4"/>
    <s v="Tablet"/>
    <n v="0"/>
    <n v="1"/>
    <x v="164"/>
    <n v="0"/>
    <x v="2"/>
    <x v="0"/>
    <x v="1"/>
  </r>
  <r>
    <x v="180"/>
    <s v="C1399"/>
    <d v="2024-01-08T12:00:00"/>
    <n v="17086.259999999998"/>
    <x v="1"/>
    <x v="2"/>
    <s v="Electronics"/>
    <x v="0"/>
    <x v="0"/>
    <s v="Tablet"/>
    <n v="0"/>
    <n v="4"/>
    <x v="165"/>
    <n v="1"/>
    <x v="0"/>
    <x v="0"/>
    <x v="0"/>
  </r>
  <r>
    <x v="181"/>
    <s v="C1475"/>
    <d v="2024-01-08T13:00:00"/>
    <n v="5718"/>
    <x v="2"/>
    <x v="3"/>
    <s v="Entertainment"/>
    <x v="0"/>
    <x v="4"/>
    <s v="Tablet"/>
    <n v="0"/>
    <n v="2"/>
    <x v="166"/>
    <n v="0"/>
    <x v="2"/>
    <x v="0"/>
    <x v="1"/>
  </r>
  <r>
    <x v="182"/>
    <s v="C1475"/>
    <d v="2024-01-08T14:00:00"/>
    <n v="46238.45"/>
    <x v="1"/>
    <x v="3"/>
    <s v="Electronics"/>
    <x v="2"/>
    <x v="0"/>
    <s v="Tablet"/>
    <n v="1"/>
    <n v="2"/>
    <x v="167"/>
    <n v="1"/>
    <x v="1"/>
    <x v="0"/>
    <x v="0"/>
  </r>
  <r>
    <x v="183"/>
    <s v="C1268"/>
    <d v="2024-01-08T15:00:00"/>
    <n v="43873.1"/>
    <x v="0"/>
    <x v="1"/>
    <s v="Electronics"/>
    <x v="3"/>
    <x v="4"/>
    <s v="Desktop"/>
    <n v="0"/>
    <n v="2"/>
    <x v="168"/>
    <n v="1"/>
    <x v="1"/>
    <x v="0"/>
    <x v="0"/>
  </r>
  <r>
    <x v="184"/>
    <s v="C1327"/>
    <d v="2024-01-08T16:00:00"/>
    <n v="12934.18"/>
    <x v="3"/>
    <x v="2"/>
    <s v="Food"/>
    <x v="4"/>
    <x v="0"/>
    <s v="Mobile"/>
    <n v="0"/>
    <n v="0"/>
    <x v="169"/>
    <n v="0"/>
    <x v="2"/>
    <x v="0"/>
    <x v="1"/>
  </r>
  <r>
    <x v="185"/>
    <s v="C1093"/>
    <d v="2024-01-08T17:00:00"/>
    <n v="33016.199999999997"/>
    <x v="3"/>
    <x v="3"/>
    <s v="Food"/>
    <x v="4"/>
    <x v="2"/>
    <s v="Desktop"/>
    <n v="0"/>
    <n v="1"/>
    <x v="75"/>
    <n v="1"/>
    <x v="0"/>
    <x v="0"/>
    <x v="0"/>
  </r>
  <r>
    <x v="186"/>
    <s v="C1251"/>
    <d v="2024-01-08T18:00:00"/>
    <n v="40870.25"/>
    <x v="0"/>
    <x v="0"/>
    <s v="Retail"/>
    <x v="1"/>
    <x v="1"/>
    <s v="Tablet"/>
    <n v="0"/>
    <n v="4"/>
    <x v="117"/>
    <n v="1"/>
    <x v="1"/>
    <x v="0"/>
    <x v="0"/>
  </r>
  <r>
    <x v="187"/>
    <s v="C1248"/>
    <d v="2024-01-08T19:00:00"/>
    <n v="27782.28"/>
    <x v="1"/>
    <x v="3"/>
    <s v="Entertainment"/>
    <x v="1"/>
    <x v="0"/>
    <s v="Tablet"/>
    <n v="0"/>
    <n v="0"/>
    <x v="4"/>
    <n v="0"/>
    <x v="2"/>
    <x v="0"/>
    <x v="1"/>
  </r>
  <r>
    <x v="188"/>
    <s v="C1178"/>
    <d v="2024-01-08T20:00:00"/>
    <n v="26506.05"/>
    <x v="2"/>
    <x v="3"/>
    <s v="Entertainment"/>
    <x v="1"/>
    <x v="2"/>
    <s v="Desktop"/>
    <n v="0"/>
    <n v="4"/>
    <x v="170"/>
    <n v="1"/>
    <x v="1"/>
    <x v="0"/>
    <x v="0"/>
  </r>
  <r>
    <x v="189"/>
    <s v="C1074"/>
    <d v="2024-01-08T21:00:00"/>
    <n v="12130.52"/>
    <x v="0"/>
    <x v="1"/>
    <s v="Entertainment"/>
    <x v="4"/>
    <x v="3"/>
    <s v="Desktop"/>
    <n v="1"/>
    <n v="0"/>
    <x v="153"/>
    <n v="0"/>
    <x v="2"/>
    <x v="0"/>
    <x v="1"/>
  </r>
  <r>
    <x v="190"/>
    <s v="C1337"/>
    <d v="2024-01-08T22:00:00"/>
    <n v="4700.4799999999996"/>
    <x v="0"/>
    <x v="0"/>
    <s v="Travel"/>
    <x v="3"/>
    <x v="4"/>
    <s v="Tablet"/>
    <n v="0"/>
    <n v="0"/>
    <x v="171"/>
    <n v="0"/>
    <x v="2"/>
    <x v="0"/>
    <x v="1"/>
  </r>
  <r>
    <x v="191"/>
    <s v="C1388"/>
    <d v="2024-01-08T23:00:00"/>
    <n v="44865.93"/>
    <x v="1"/>
    <x v="3"/>
    <s v="Electronics"/>
    <x v="4"/>
    <x v="3"/>
    <s v="Mobile"/>
    <n v="0"/>
    <n v="0"/>
    <x v="132"/>
    <n v="1"/>
    <x v="0"/>
    <x v="0"/>
    <x v="0"/>
  </r>
  <r>
    <x v="192"/>
    <s v="C1110"/>
    <d v="2024-01-09T00:00:00"/>
    <n v="45025.88"/>
    <x v="3"/>
    <x v="3"/>
    <s v="Food"/>
    <x v="4"/>
    <x v="2"/>
    <s v="Tablet"/>
    <n v="0"/>
    <n v="4"/>
    <x v="172"/>
    <n v="1"/>
    <x v="1"/>
    <x v="0"/>
    <x v="0"/>
  </r>
  <r>
    <x v="193"/>
    <s v="C1352"/>
    <d v="2024-01-09T01:00:00"/>
    <n v="31673.42"/>
    <x v="1"/>
    <x v="0"/>
    <s v="Entertainment"/>
    <x v="4"/>
    <x v="3"/>
    <s v="Desktop"/>
    <n v="0"/>
    <n v="3"/>
    <x v="173"/>
    <n v="1"/>
    <x v="1"/>
    <x v="0"/>
    <x v="0"/>
  </r>
  <r>
    <x v="194"/>
    <s v="C1323"/>
    <d v="2024-01-09T02:00:00"/>
    <n v="16984.54"/>
    <x v="0"/>
    <x v="2"/>
    <s v="Retail"/>
    <x v="4"/>
    <x v="3"/>
    <s v="Tablet"/>
    <n v="0"/>
    <n v="0"/>
    <x v="141"/>
    <n v="0"/>
    <x v="2"/>
    <x v="0"/>
    <x v="1"/>
  </r>
  <r>
    <x v="195"/>
    <s v="C1127"/>
    <d v="2024-01-09T03:00:00"/>
    <n v="17493.02"/>
    <x v="0"/>
    <x v="2"/>
    <s v="Entertainment"/>
    <x v="3"/>
    <x v="2"/>
    <s v="Tablet"/>
    <n v="0"/>
    <n v="2"/>
    <x v="174"/>
    <n v="1"/>
    <x v="0"/>
    <x v="0"/>
    <x v="0"/>
  </r>
  <r>
    <x v="196"/>
    <s v="C1210"/>
    <d v="2024-01-09T04:00:00"/>
    <n v="36311.49"/>
    <x v="3"/>
    <x v="3"/>
    <s v="Electronics"/>
    <x v="1"/>
    <x v="1"/>
    <s v="Mobile"/>
    <n v="0"/>
    <n v="1"/>
    <x v="175"/>
    <n v="1"/>
    <x v="0"/>
    <x v="0"/>
    <x v="0"/>
  </r>
  <r>
    <x v="197"/>
    <s v="C1085"/>
    <d v="2024-01-09T05:00:00"/>
    <n v="44860.66"/>
    <x v="3"/>
    <x v="3"/>
    <s v="Electronics"/>
    <x v="0"/>
    <x v="0"/>
    <s v="Tablet"/>
    <n v="0"/>
    <n v="3"/>
    <x v="176"/>
    <n v="1"/>
    <x v="1"/>
    <x v="0"/>
    <x v="0"/>
  </r>
  <r>
    <x v="198"/>
    <s v="C1093"/>
    <d v="2024-01-09T06:00:00"/>
    <n v="44359.97"/>
    <x v="3"/>
    <x v="2"/>
    <s v="Food"/>
    <x v="1"/>
    <x v="4"/>
    <s v="Tablet"/>
    <n v="0"/>
    <n v="3"/>
    <x v="177"/>
    <n v="1"/>
    <x v="1"/>
    <x v="0"/>
    <x v="0"/>
  </r>
  <r>
    <x v="199"/>
    <s v="C1179"/>
    <d v="2024-01-09T07:00:00"/>
    <n v="39004.78"/>
    <x v="1"/>
    <x v="1"/>
    <s v="Travel"/>
    <x v="1"/>
    <x v="0"/>
    <s v="Tablet"/>
    <n v="0"/>
    <n v="4"/>
    <x v="178"/>
    <n v="1"/>
    <x v="1"/>
    <x v="0"/>
    <x v="0"/>
  </r>
  <r>
    <x v="200"/>
    <s v="C1452"/>
    <d v="2024-01-09T08:00:00"/>
    <n v="32119.48"/>
    <x v="3"/>
    <x v="0"/>
    <s v="Food"/>
    <x v="0"/>
    <x v="4"/>
    <s v="Desktop"/>
    <n v="0"/>
    <n v="3"/>
    <x v="179"/>
    <n v="1"/>
    <x v="1"/>
    <x v="0"/>
    <x v="0"/>
  </r>
  <r>
    <x v="201"/>
    <s v="C1494"/>
    <d v="2024-01-09T09:00:00"/>
    <n v="4252.79"/>
    <x v="0"/>
    <x v="0"/>
    <s v="Entertainment"/>
    <x v="4"/>
    <x v="0"/>
    <s v="Desktop"/>
    <n v="1"/>
    <n v="4"/>
    <x v="180"/>
    <n v="1"/>
    <x v="1"/>
    <x v="0"/>
    <x v="0"/>
  </r>
  <r>
    <x v="202"/>
    <s v="C1155"/>
    <d v="2024-01-09T10:00:00"/>
    <n v="8123.35"/>
    <x v="0"/>
    <x v="1"/>
    <s v="Retail"/>
    <x v="3"/>
    <x v="3"/>
    <s v="Mobile"/>
    <n v="0"/>
    <n v="4"/>
    <x v="181"/>
    <n v="1"/>
    <x v="0"/>
    <x v="0"/>
    <x v="0"/>
  </r>
  <r>
    <x v="203"/>
    <s v="C1011"/>
    <d v="2024-01-09T11:00:00"/>
    <n v="44932.78"/>
    <x v="2"/>
    <x v="1"/>
    <s v="Food"/>
    <x v="3"/>
    <x v="1"/>
    <s v="Tablet"/>
    <n v="0"/>
    <n v="2"/>
    <x v="182"/>
    <n v="1"/>
    <x v="1"/>
    <x v="0"/>
    <x v="0"/>
  </r>
  <r>
    <x v="204"/>
    <s v="C1157"/>
    <d v="2024-01-09T12:00:00"/>
    <n v="30341.13"/>
    <x v="1"/>
    <x v="1"/>
    <s v="Travel"/>
    <x v="1"/>
    <x v="3"/>
    <s v="Desktop"/>
    <n v="0"/>
    <n v="0"/>
    <x v="183"/>
    <n v="0"/>
    <x v="2"/>
    <x v="0"/>
    <x v="1"/>
  </r>
  <r>
    <x v="205"/>
    <s v="C1265"/>
    <d v="2024-01-09T13:00:00"/>
    <n v="509.39"/>
    <x v="2"/>
    <x v="1"/>
    <s v="Food"/>
    <x v="0"/>
    <x v="1"/>
    <s v="Mobile"/>
    <n v="1"/>
    <n v="3"/>
    <x v="114"/>
    <n v="1"/>
    <x v="0"/>
    <x v="0"/>
    <x v="0"/>
  </r>
  <r>
    <x v="206"/>
    <s v="C1360"/>
    <d v="2024-01-09T14:00:00"/>
    <n v="5118.5"/>
    <x v="0"/>
    <x v="1"/>
    <s v="Electronics"/>
    <x v="2"/>
    <x v="2"/>
    <s v="Tablet"/>
    <n v="0"/>
    <n v="0"/>
    <x v="184"/>
    <n v="0"/>
    <x v="2"/>
    <x v="0"/>
    <x v="1"/>
  </r>
  <r>
    <x v="207"/>
    <s v="C1292"/>
    <d v="2024-01-09T15:00:00"/>
    <n v="33191.910000000003"/>
    <x v="2"/>
    <x v="1"/>
    <s v="Entertainment"/>
    <x v="4"/>
    <x v="4"/>
    <s v="Mobile"/>
    <n v="0"/>
    <n v="0"/>
    <x v="185"/>
    <n v="0"/>
    <x v="2"/>
    <x v="0"/>
    <x v="1"/>
  </r>
  <r>
    <x v="208"/>
    <s v="C1144"/>
    <d v="2024-01-09T16:00:00"/>
    <n v="302.83"/>
    <x v="0"/>
    <x v="0"/>
    <s v="Entertainment"/>
    <x v="1"/>
    <x v="4"/>
    <s v="Mobile"/>
    <n v="0"/>
    <n v="0"/>
    <x v="186"/>
    <n v="0"/>
    <x v="2"/>
    <x v="0"/>
    <x v="1"/>
  </r>
  <r>
    <x v="209"/>
    <s v="C1427"/>
    <d v="2024-01-09T17:00:00"/>
    <n v="8082.36"/>
    <x v="2"/>
    <x v="1"/>
    <s v="Entertainment"/>
    <x v="3"/>
    <x v="2"/>
    <s v="Mobile"/>
    <n v="0"/>
    <n v="4"/>
    <x v="87"/>
    <n v="1"/>
    <x v="0"/>
    <x v="0"/>
    <x v="0"/>
  </r>
  <r>
    <x v="210"/>
    <s v="C1477"/>
    <d v="2024-01-09T18:00:00"/>
    <n v="27459.25"/>
    <x v="3"/>
    <x v="2"/>
    <s v="Entertainment"/>
    <x v="0"/>
    <x v="0"/>
    <s v="Mobile"/>
    <n v="0"/>
    <n v="0"/>
    <x v="187"/>
    <n v="0"/>
    <x v="2"/>
    <x v="0"/>
    <x v="1"/>
  </r>
  <r>
    <x v="211"/>
    <s v="C1430"/>
    <d v="2024-01-09T19:00:00"/>
    <n v="34610.17"/>
    <x v="2"/>
    <x v="1"/>
    <s v="Entertainment"/>
    <x v="0"/>
    <x v="2"/>
    <s v="Mobile"/>
    <n v="1"/>
    <n v="3"/>
    <x v="188"/>
    <n v="1"/>
    <x v="1"/>
    <x v="0"/>
    <x v="0"/>
  </r>
  <r>
    <x v="212"/>
    <s v="C1410"/>
    <d v="2024-01-09T20:00:00"/>
    <n v="32615.46"/>
    <x v="3"/>
    <x v="1"/>
    <s v="Entertainment"/>
    <x v="1"/>
    <x v="2"/>
    <s v="Mobile"/>
    <n v="1"/>
    <n v="4"/>
    <x v="189"/>
    <n v="1"/>
    <x v="1"/>
    <x v="0"/>
    <x v="0"/>
  </r>
  <r>
    <x v="213"/>
    <s v="C1291"/>
    <d v="2024-01-09T21:00:00"/>
    <n v="11252.25"/>
    <x v="3"/>
    <x v="0"/>
    <s v="Retail"/>
    <x v="2"/>
    <x v="1"/>
    <s v="Mobile"/>
    <n v="0"/>
    <n v="3"/>
    <x v="190"/>
    <n v="1"/>
    <x v="0"/>
    <x v="0"/>
    <x v="0"/>
  </r>
  <r>
    <x v="214"/>
    <s v="C1279"/>
    <d v="2024-01-09T22:00:00"/>
    <n v="35623.35"/>
    <x v="1"/>
    <x v="0"/>
    <s v="Travel"/>
    <x v="3"/>
    <x v="2"/>
    <s v="Tablet"/>
    <n v="0"/>
    <n v="4"/>
    <x v="191"/>
    <n v="1"/>
    <x v="1"/>
    <x v="0"/>
    <x v="0"/>
  </r>
  <r>
    <x v="215"/>
    <s v="C1485"/>
    <d v="2024-01-09T23:00:00"/>
    <n v="11900.59"/>
    <x v="3"/>
    <x v="1"/>
    <s v="Entertainment"/>
    <x v="1"/>
    <x v="4"/>
    <s v="Tablet"/>
    <n v="0"/>
    <n v="1"/>
    <x v="135"/>
    <n v="0"/>
    <x v="2"/>
    <x v="0"/>
    <x v="1"/>
  </r>
  <r>
    <x v="216"/>
    <s v="C1088"/>
    <d v="2024-01-10T00:00:00"/>
    <n v="16303.71"/>
    <x v="3"/>
    <x v="0"/>
    <s v="Travel"/>
    <x v="2"/>
    <x v="3"/>
    <s v="Mobile"/>
    <n v="0"/>
    <n v="1"/>
    <x v="57"/>
    <n v="0"/>
    <x v="2"/>
    <x v="0"/>
    <x v="1"/>
  </r>
  <r>
    <x v="217"/>
    <s v="C1297"/>
    <d v="2024-01-10T01:00:00"/>
    <n v="37337.25"/>
    <x v="2"/>
    <x v="3"/>
    <s v="Entertainment"/>
    <x v="0"/>
    <x v="1"/>
    <s v="Tablet"/>
    <n v="1"/>
    <n v="1"/>
    <x v="192"/>
    <n v="1"/>
    <x v="1"/>
    <x v="0"/>
    <x v="0"/>
  </r>
  <r>
    <x v="218"/>
    <s v="C1391"/>
    <d v="2024-01-10T02:00:00"/>
    <n v="32499.16"/>
    <x v="0"/>
    <x v="0"/>
    <s v="Food"/>
    <x v="4"/>
    <x v="1"/>
    <s v="Mobile"/>
    <n v="0"/>
    <n v="1"/>
    <x v="193"/>
    <n v="0"/>
    <x v="2"/>
    <x v="0"/>
    <x v="1"/>
  </r>
  <r>
    <x v="219"/>
    <s v="C1012"/>
    <d v="2024-01-10T03:00:00"/>
    <n v="42468.71"/>
    <x v="1"/>
    <x v="0"/>
    <s v="Entertainment"/>
    <x v="3"/>
    <x v="0"/>
    <s v="Tablet"/>
    <n v="0"/>
    <n v="4"/>
    <x v="194"/>
    <n v="1"/>
    <x v="1"/>
    <x v="0"/>
    <x v="0"/>
  </r>
  <r>
    <x v="220"/>
    <s v="C1016"/>
    <d v="2024-01-10T04:00:00"/>
    <n v="32897.760000000002"/>
    <x v="3"/>
    <x v="0"/>
    <s v="Electronics"/>
    <x v="3"/>
    <x v="3"/>
    <s v="Desktop"/>
    <n v="0"/>
    <n v="0"/>
    <x v="195"/>
    <n v="0"/>
    <x v="2"/>
    <x v="0"/>
    <x v="1"/>
  </r>
  <r>
    <x v="221"/>
    <s v="C1083"/>
    <d v="2024-01-10T05:00:00"/>
    <n v="28437.01"/>
    <x v="1"/>
    <x v="0"/>
    <s v="Retail"/>
    <x v="2"/>
    <x v="1"/>
    <s v="Mobile"/>
    <n v="0"/>
    <n v="2"/>
    <x v="196"/>
    <n v="1"/>
    <x v="0"/>
    <x v="0"/>
    <x v="0"/>
  </r>
  <r>
    <x v="222"/>
    <s v="C1241"/>
    <d v="2024-01-10T06:00:00"/>
    <n v="4729.05"/>
    <x v="2"/>
    <x v="2"/>
    <s v="Food"/>
    <x v="1"/>
    <x v="2"/>
    <s v="Desktop"/>
    <n v="0"/>
    <n v="2"/>
    <x v="197"/>
    <n v="0"/>
    <x v="2"/>
    <x v="0"/>
    <x v="1"/>
  </r>
  <r>
    <x v="223"/>
    <s v="C1317"/>
    <d v="2024-01-10T07:00:00"/>
    <n v="18417.400000000001"/>
    <x v="3"/>
    <x v="2"/>
    <s v="Food"/>
    <x v="0"/>
    <x v="1"/>
    <s v="Mobile"/>
    <n v="0"/>
    <n v="1"/>
    <x v="198"/>
    <n v="0"/>
    <x v="2"/>
    <x v="0"/>
    <x v="1"/>
  </r>
  <r>
    <x v="224"/>
    <s v="C1250"/>
    <d v="2024-01-10T08:00:00"/>
    <n v="13296.86"/>
    <x v="2"/>
    <x v="2"/>
    <s v="Electronics"/>
    <x v="2"/>
    <x v="1"/>
    <s v="Mobile"/>
    <n v="0"/>
    <n v="0"/>
    <x v="199"/>
    <n v="0"/>
    <x v="2"/>
    <x v="0"/>
    <x v="1"/>
  </r>
  <r>
    <x v="225"/>
    <s v="C1007"/>
    <d v="2024-01-10T09:00:00"/>
    <n v="12237.28"/>
    <x v="1"/>
    <x v="1"/>
    <s v="Entertainment"/>
    <x v="4"/>
    <x v="1"/>
    <s v="Desktop"/>
    <n v="0"/>
    <n v="3"/>
    <x v="200"/>
    <n v="1"/>
    <x v="0"/>
    <x v="0"/>
    <x v="0"/>
  </r>
  <r>
    <x v="226"/>
    <s v="C1277"/>
    <d v="2024-01-10T10:00:00"/>
    <n v="48651.88"/>
    <x v="2"/>
    <x v="1"/>
    <s v="Retail"/>
    <x v="4"/>
    <x v="0"/>
    <s v="Desktop"/>
    <n v="1"/>
    <n v="0"/>
    <x v="201"/>
    <n v="1"/>
    <x v="0"/>
    <x v="0"/>
    <x v="0"/>
  </r>
  <r>
    <x v="227"/>
    <s v="C1084"/>
    <d v="2024-01-10T11:00:00"/>
    <n v="19685.23"/>
    <x v="1"/>
    <x v="3"/>
    <s v="Food"/>
    <x v="4"/>
    <x v="1"/>
    <s v="Desktop"/>
    <n v="0"/>
    <n v="3"/>
    <x v="202"/>
    <n v="1"/>
    <x v="0"/>
    <x v="0"/>
    <x v="0"/>
  </r>
  <r>
    <x v="228"/>
    <s v="C1208"/>
    <d v="2024-01-10T12:00:00"/>
    <n v="44607.73"/>
    <x v="2"/>
    <x v="2"/>
    <s v="Retail"/>
    <x v="2"/>
    <x v="1"/>
    <s v="Mobile"/>
    <n v="0"/>
    <n v="2"/>
    <x v="203"/>
    <n v="1"/>
    <x v="1"/>
    <x v="0"/>
    <x v="0"/>
  </r>
  <r>
    <x v="229"/>
    <s v="C1220"/>
    <d v="2024-01-10T13:00:00"/>
    <n v="31575.37"/>
    <x v="1"/>
    <x v="1"/>
    <s v="Food"/>
    <x v="0"/>
    <x v="0"/>
    <s v="Desktop"/>
    <n v="0"/>
    <n v="0"/>
    <x v="18"/>
    <n v="0"/>
    <x v="2"/>
    <x v="0"/>
    <x v="1"/>
  </r>
  <r>
    <x v="230"/>
    <s v="C1423"/>
    <d v="2024-01-10T14:00:00"/>
    <n v="39750.82"/>
    <x v="0"/>
    <x v="0"/>
    <s v="Entertainment"/>
    <x v="3"/>
    <x v="3"/>
    <s v="Desktop"/>
    <n v="0"/>
    <n v="0"/>
    <x v="204"/>
    <n v="0"/>
    <x v="2"/>
    <x v="0"/>
    <x v="1"/>
  </r>
  <r>
    <x v="231"/>
    <s v="C1313"/>
    <d v="2024-01-10T15:00:00"/>
    <n v="25156.720000000001"/>
    <x v="2"/>
    <x v="0"/>
    <s v="Food"/>
    <x v="1"/>
    <x v="4"/>
    <s v="Tablet"/>
    <n v="0"/>
    <n v="2"/>
    <x v="205"/>
    <n v="1"/>
    <x v="0"/>
    <x v="0"/>
    <x v="0"/>
  </r>
  <r>
    <x v="232"/>
    <s v="C1035"/>
    <d v="2024-01-10T16:00:00"/>
    <n v="28866.35"/>
    <x v="2"/>
    <x v="2"/>
    <s v="Food"/>
    <x v="3"/>
    <x v="0"/>
    <s v="Tablet"/>
    <n v="0"/>
    <n v="0"/>
    <x v="206"/>
    <n v="0"/>
    <x v="2"/>
    <x v="0"/>
    <x v="1"/>
  </r>
  <r>
    <x v="233"/>
    <s v="C1236"/>
    <d v="2024-01-10T17:00:00"/>
    <n v="24651.26"/>
    <x v="0"/>
    <x v="3"/>
    <s v="Travel"/>
    <x v="0"/>
    <x v="0"/>
    <s v="Desktop"/>
    <n v="0"/>
    <n v="3"/>
    <x v="207"/>
    <n v="1"/>
    <x v="0"/>
    <x v="0"/>
    <x v="0"/>
  </r>
  <r>
    <x v="234"/>
    <s v="C1385"/>
    <d v="2024-01-10T18:00:00"/>
    <n v="9802.39"/>
    <x v="0"/>
    <x v="3"/>
    <s v="Entertainment"/>
    <x v="3"/>
    <x v="1"/>
    <s v="Desktop"/>
    <n v="0"/>
    <n v="0"/>
    <x v="208"/>
    <n v="0"/>
    <x v="2"/>
    <x v="0"/>
    <x v="1"/>
  </r>
  <r>
    <x v="235"/>
    <s v="C1283"/>
    <d v="2024-01-10T19:00:00"/>
    <n v="36136.480000000003"/>
    <x v="2"/>
    <x v="0"/>
    <s v="Electronics"/>
    <x v="2"/>
    <x v="1"/>
    <s v="Desktop"/>
    <n v="0"/>
    <n v="3"/>
    <x v="209"/>
    <n v="1"/>
    <x v="1"/>
    <x v="0"/>
    <x v="0"/>
  </r>
  <r>
    <x v="236"/>
    <s v="C1106"/>
    <d v="2024-01-10T20:00:00"/>
    <n v="14074.58"/>
    <x v="0"/>
    <x v="3"/>
    <s v="Electronics"/>
    <x v="4"/>
    <x v="4"/>
    <s v="Desktop"/>
    <n v="1"/>
    <n v="1"/>
    <x v="210"/>
    <n v="1"/>
    <x v="0"/>
    <x v="0"/>
    <x v="0"/>
  </r>
  <r>
    <x v="237"/>
    <s v="C1492"/>
    <d v="2024-01-10T21:00:00"/>
    <n v="1264.58"/>
    <x v="3"/>
    <x v="2"/>
    <s v="Entertainment"/>
    <x v="0"/>
    <x v="1"/>
    <s v="Tablet"/>
    <n v="0"/>
    <n v="0"/>
    <x v="211"/>
    <n v="0"/>
    <x v="2"/>
    <x v="0"/>
    <x v="1"/>
  </r>
  <r>
    <x v="238"/>
    <s v="C1194"/>
    <d v="2024-01-10T22:00:00"/>
    <n v="32291.34"/>
    <x v="1"/>
    <x v="0"/>
    <s v="Electronics"/>
    <x v="0"/>
    <x v="2"/>
    <s v="Mobile"/>
    <n v="0"/>
    <n v="3"/>
    <x v="159"/>
    <n v="1"/>
    <x v="1"/>
    <x v="0"/>
    <x v="0"/>
  </r>
  <r>
    <x v="239"/>
    <s v="C1221"/>
    <d v="2024-01-10T23:00:00"/>
    <n v="8896.68"/>
    <x v="1"/>
    <x v="1"/>
    <s v="Entertainment"/>
    <x v="3"/>
    <x v="1"/>
    <s v="Desktop"/>
    <n v="1"/>
    <n v="2"/>
    <x v="212"/>
    <n v="1"/>
    <x v="0"/>
    <x v="0"/>
    <x v="0"/>
  </r>
  <r>
    <x v="240"/>
    <s v="C1482"/>
    <d v="2024-01-11T00:00:00"/>
    <n v="47025.91"/>
    <x v="1"/>
    <x v="1"/>
    <s v="Electronics"/>
    <x v="2"/>
    <x v="1"/>
    <s v="Desktop"/>
    <n v="0"/>
    <n v="1"/>
    <x v="213"/>
    <n v="1"/>
    <x v="0"/>
    <x v="0"/>
    <x v="0"/>
  </r>
  <r>
    <x v="241"/>
    <s v="C1354"/>
    <d v="2024-01-11T01:00:00"/>
    <n v="47698.73"/>
    <x v="3"/>
    <x v="3"/>
    <s v="Travel"/>
    <x v="3"/>
    <x v="2"/>
    <s v="Tablet"/>
    <n v="0"/>
    <n v="0"/>
    <x v="214"/>
    <n v="1"/>
    <x v="0"/>
    <x v="0"/>
    <x v="0"/>
  </r>
  <r>
    <x v="242"/>
    <s v="C1179"/>
    <d v="2024-01-11T02:00:00"/>
    <n v="45747.48"/>
    <x v="0"/>
    <x v="0"/>
    <s v="Electronics"/>
    <x v="3"/>
    <x v="4"/>
    <s v="Desktop"/>
    <n v="0"/>
    <n v="3"/>
    <x v="215"/>
    <n v="1"/>
    <x v="1"/>
    <x v="0"/>
    <x v="0"/>
  </r>
  <r>
    <x v="243"/>
    <s v="C1266"/>
    <d v="2024-01-11T03:00:00"/>
    <n v="18539.43"/>
    <x v="0"/>
    <x v="0"/>
    <s v="Food"/>
    <x v="0"/>
    <x v="2"/>
    <s v="Desktop"/>
    <n v="0"/>
    <n v="0"/>
    <x v="216"/>
    <n v="0"/>
    <x v="2"/>
    <x v="0"/>
    <x v="1"/>
  </r>
  <r>
    <x v="244"/>
    <s v="C1466"/>
    <d v="2024-01-11T04:00:00"/>
    <n v="822.06"/>
    <x v="2"/>
    <x v="1"/>
    <s v="Entertainment"/>
    <x v="3"/>
    <x v="0"/>
    <s v="Tablet"/>
    <n v="0"/>
    <n v="3"/>
    <x v="217"/>
    <n v="1"/>
    <x v="0"/>
    <x v="0"/>
    <x v="0"/>
  </r>
  <r>
    <x v="245"/>
    <s v="C1243"/>
    <d v="2024-01-11T05:00:00"/>
    <n v="46419.51"/>
    <x v="0"/>
    <x v="0"/>
    <s v="Retail"/>
    <x v="4"/>
    <x v="2"/>
    <s v="Desktop"/>
    <n v="0"/>
    <n v="0"/>
    <x v="218"/>
    <n v="1"/>
    <x v="0"/>
    <x v="0"/>
    <x v="0"/>
  </r>
  <r>
    <x v="246"/>
    <s v="C1002"/>
    <d v="2024-01-11T06:00:00"/>
    <n v="21437.8"/>
    <x v="2"/>
    <x v="0"/>
    <s v="Retail"/>
    <x v="3"/>
    <x v="3"/>
    <s v="Desktop"/>
    <n v="0"/>
    <n v="1"/>
    <x v="158"/>
    <n v="0"/>
    <x v="2"/>
    <x v="0"/>
    <x v="1"/>
  </r>
  <r>
    <x v="247"/>
    <s v="C1043"/>
    <d v="2024-01-11T07:00:00"/>
    <n v="48334.41"/>
    <x v="3"/>
    <x v="0"/>
    <s v="Entertainment"/>
    <x v="4"/>
    <x v="0"/>
    <s v="Tablet"/>
    <n v="0"/>
    <n v="1"/>
    <x v="219"/>
    <n v="1"/>
    <x v="0"/>
    <x v="0"/>
    <x v="0"/>
  </r>
  <r>
    <x v="248"/>
    <s v="C1055"/>
    <d v="2024-01-11T08:00:00"/>
    <n v="48182.82"/>
    <x v="1"/>
    <x v="3"/>
    <s v="Travel"/>
    <x v="0"/>
    <x v="1"/>
    <s v="Mobile"/>
    <n v="0"/>
    <n v="0"/>
    <x v="220"/>
    <n v="1"/>
    <x v="0"/>
    <x v="0"/>
    <x v="0"/>
  </r>
  <r>
    <x v="249"/>
    <s v="C1263"/>
    <d v="2024-01-11T09:00:00"/>
    <n v="42657.82"/>
    <x v="1"/>
    <x v="0"/>
    <s v="Electronics"/>
    <x v="2"/>
    <x v="0"/>
    <s v="Desktop"/>
    <n v="0"/>
    <n v="0"/>
    <x v="221"/>
    <n v="1"/>
    <x v="0"/>
    <x v="0"/>
    <x v="0"/>
  </r>
  <r>
    <x v="250"/>
    <s v="C1395"/>
    <d v="2024-01-11T10:00:00"/>
    <n v="14757.72"/>
    <x v="1"/>
    <x v="2"/>
    <s v="Travel"/>
    <x v="4"/>
    <x v="4"/>
    <s v="Desktop"/>
    <n v="0"/>
    <n v="4"/>
    <x v="222"/>
    <n v="1"/>
    <x v="1"/>
    <x v="0"/>
    <x v="0"/>
  </r>
  <r>
    <x v="251"/>
    <s v="C1138"/>
    <d v="2024-01-11T11:00:00"/>
    <n v="19285.63"/>
    <x v="0"/>
    <x v="3"/>
    <s v="Retail"/>
    <x v="2"/>
    <x v="4"/>
    <s v="Mobile"/>
    <n v="0"/>
    <n v="0"/>
    <x v="223"/>
    <n v="0"/>
    <x v="2"/>
    <x v="0"/>
    <x v="1"/>
  </r>
  <r>
    <x v="252"/>
    <s v="C1169"/>
    <d v="2024-01-11T12:00:00"/>
    <n v="42564.28"/>
    <x v="2"/>
    <x v="0"/>
    <s v="Entertainment"/>
    <x v="2"/>
    <x v="2"/>
    <s v="Tablet"/>
    <n v="0"/>
    <n v="0"/>
    <x v="224"/>
    <n v="0"/>
    <x v="2"/>
    <x v="0"/>
    <x v="1"/>
  </r>
  <r>
    <x v="253"/>
    <s v="C1232"/>
    <d v="2024-01-11T13:00:00"/>
    <n v="15880.25"/>
    <x v="2"/>
    <x v="0"/>
    <s v="Entertainment"/>
    <x v="4"/>
    <x v="0"/>
    <s v="Mobile"/>
    <n v="1"/>
    <n v="1"/>
    <x v="113"/>
    <n v="1"/>
    <x v="0"/>
    <x v="0"/>
    <x v="0"/>
  </r>
  <r>
    <x v="254"/>
    <s v="C1012"/>
    <d v="2024-01-11T14:00:00"/>
    <n v="8516.16"/>
    <x v="3"/>
    <x v="2"/>
    <s v="Travel"/>
    <x v="0"/>
    <x v="1"/>
    <s v="Desktop"/>
    <n v="0"/>
    <n v="0"/>
    <x v="225"/>
    <n v="0"/>
    <x v="2"/>
    <x v="0"/>
    <x v="1"/>
  </r>
  <r>
    <x v="255"/>
    <s v="C1477"/>
    <d v="2024-01-11T15:00:00"/>
    <n v="27862.22"/>
    <x v="0"/>
    <x v="3"/>
    <s v="Travel"/>
    <x v="1"/>
    <x v="4"/>
    <s v="Mobile"/>
    <n v="0"/>
    <n v="2"/>
    <x v="226"/>
    <n v="1"/>
    <x v="0"/>
    <x v="0"/>
    <x v="0"/>
  </r>
  <r>
    <x v="256"/>
    <s v="C1142"/>
    <d v="2024-01-11T16:00:00"/>
    <n v="46810.93"/>
    <x v="3"/>
    <x v="1"/>
    <s v="Electronics"/>
    <x v="2"/>
    <x v="1"/>
    <s v="Tablet"/>
    <n v="0"/>
    <n v="0"/>
    <x v="95"/>
    <n v="1"/>
    <x v="0"/>
    <x v="0"/>
    <x v="0"/>
  </r>
  <r>
    <x v="257"/>
    <s v="C1469"/>
    <d v="2024-01-11T17:00:00"/>
    <n v="34816.69"/>
    <x v="2"/>
    <x v="1"/>
    <s v="Food"/>
    <x v="2"/>
    <x v="3"/>
    <s v="Desktop"/>
    <n v="0"/>
    <n v="4"/>
    <x v="227"/>
    <n v="1"/>
    <x v="1"/>
    <x v="0"/>
    <x v="0"/>
  </r>
  <r>
    <x v="258"/>
    <s v="C1034"/>
    <d v="2024-01-11T18:00:00"/>
    <n v="28524.560000000001"/>
    <x v="2"/>
    <x v="3"/>
    <s v="Food"/>
    <x v="0"/>
    <x v="4"/>
    <s v="Tablet"/>
    <n v="1"/>
    <n v="3"/>
    <x v="228"/>
    <n v="1"/>
    <x v="1"/>
    <x v="0"/>
    <x v="0"/>
  </r>
  <r>
    <x v="259"/>
    <s v="C1353"/>
    <d v="2024-01-11T19:00:00"/>
    <n v="4903.97"/>
    <x v="1"/>
    <x v="0"/>
    <s v="Electronics"/>
    <x v="0"/>
    <x v="2"/>
    <s v="Tablet"/>
    <n v="0"/>
    <n v="1"/>
    <x v="229"/>
    <n v="0"/>
    <x v="2"/>
    <x v="0"/>
    <x v="1"/>
  </r>
  <r>
    <x v="260"/>
    <s v="C1129"/>
    <d v="2024-01-11T20:00:00"/>
    <n v="30769.61"/>
    <x v="0"/>
    <x v="0"/>
    <s v="Food"/>
    <x v="3"/>
    <x v="3"/>
    <s v="Mobile"/>
    <n v="0"/>
    <n v="2"/>
    <x v="230"/>
    <n v="1"/>
    <x v="0"/>
    <x v="0"/>
    <x v="0"/>
  </r>
  <r>
    <x v="261"/>
    <s v="C1475"/>
    <d v="2024-01-11T21:00:00"/>
    <n v="49503.19"/>
    <x v="2"/>
    <x v="1"/>
    <s v="Retail"/>
    <x v="0"/>
    <x v="0"/>
    <s v="Mobile"/>
    <n v="0"/>
    <n v="3"/>
    <x v="231"/>
    <n v="1"/>
    <x v="1"/>
    <x v="0"/>
    <x v="0"/>
  </r>
  <r>
    <x v="262"/>
    <s v="C1385"/>
    <d v="2024-01-11T22:00:00"/>
    <n v="7047.2"/>
    <x v="1"/>
    <x v="1"/>
    <s v="Food"/>
    <x v="2"/>
    <x v="1"/>
    <s v="Tablet"/>
    <n v="1"/>
    <n v="2"/>
    <x v="232"/>
    <n v="1"/>
    <x v="0"/>
    <x v="0"/>
    <x v="0"/>
  </r>
  <r>
    <x v="263"/>
    <s v="C1077"/>
    <d v="2024-01-11T23:00:00"/>
    <n v="25940.57"/>
    <x v="0"/>
    <x v="1"/>
    <s v="Electronics"/>
    <x v="4"/>
    <x v="4"/>
    <s v="Tablet"/>
    <n v="1"/>
    <n v="1"/>
    <x v="233"/>
    <n v="1"/>
    <x v="0"/>
    <x v="0"/>
    <x v="0"/>
  </r>
  <r>
    <x v="264"/>
    <s v="C1480"/>
    <d v="2024-01-12T00:00:00"/>
    <n v="43874.78"/>
    <x v="3"/>
    <x v="2"/>
    <s v="Food"/>
    <x v="1"/>
    <x v="3"/>
    <s v="Desktop"/>
    <n v="0"/>
    <n v="4"/>
    <x v="234"/>
    <n v="1"/>
    <x v="1"/>
    <x v="0"/>
    <x v="0"/>
  </r>
  <r>
    <x v="265"/>
    <s v="C1355"/>
    <d v="2024-01-12T01:00:00"/>
    <n v="37051.39"/>
    <x v="0"/>
    <x v="1"/>
    <s v="Entertainment"/>
    <x v="3"/>
    <x v="3"/>
    <s v="Tablet"/>
    <n v="1"/>
    <n v="1"/>
    <x v="235"/>
    <n v="1"/>
    <x v="0"/>
    <x v="0"/>
    <x v="0"/>
  </r>
  <r>
    <x v="266"/>
    <s v="C1218"/>
    <d v="2024-01-12T02:00:00"/>
    <n v="34865.94"/>
    <x v="0"/>
    <x v="2"/>
    <s v="Travel"/>
    <x v="4"/>
    <x v="4"/>
    <s v="Tablet"/>
    <n v="0"/>
    <n v="2"/>
    <x v="236"/>
    <n v="1"/>
    <x v="0"/>
    <x v="0"/>
    <x v="0"/>
  </r>
  <r>
    <x v="267"/>
    <s v="C1150"/>
    <d v="2024-01-12T03:00:00"/>
    <n v="35139.08"/>
    <x v="2"/>
    <x v="3"/>
    <s v="Retail"/>
    <x v="1"/>
    <x v="0"/>
    <s v="Mobile"/>
    <n v="0"/>
    <n v="2"/>
    <x v="133"/>
    <n v="1"/>
    <x v="0"/>
    <x v="0"/>
    <x v="0"/>
  </r>
  <r>
    <x v="268"/>
    <s v="C1379"/>
    <d v="2024-01-12T04:00:00"/>
    <n v="18006.580000000002"/>
    <x v="2"/>
    <x v="0"/>
    <s v="Entertainment"/>
    <x v="1"/>
    <x v="0"/>
    <s v="Tablet"/>
    <n v="0"/>
    <n v="1"/>
    <x v="237"/>
    <n v="0"/>
    <x v="2"/>
    <x v="0"/>
    <x v="1"/>
  </r>
  <r>
    <x v="269"/>
    <s v="C1066"/>
    <d v="2024-01-12T05:00:00"/>
    <n v="14714.91"/>
    <x v="0"/>
    <x v="1"/>
    <s v="Entertainment"/>
    <x v="1"/>
    <x v="2"/>
    <s v="Tablet"/>
    <n v="1"/>
    <n v="0"/>
    <x v="197"/>
    <n v="0"/>
    <x v="2"/>
    <x v="0"/>
    <x v="1"/>
  </r>
  <r>
    <x v="270"/>
    <s v="C1416"/>
    <d v="2024-01-12T06:00:00"/>
    <n v="40477.589999999997"/>
    <x v="2"/>
    <x v="0"/>
    <s v="Electronics"/>
    <x v="4"/>
    <x v="0"/>
    <s v="Mobile"/>
    <n v="0"/>
    <n v="1"/>
    <x v="136"/>
    <n v="1"/>
    <x v="0"/>
    <x v="0"/>
    <x v="0"/>
  </r>
  <r>
    <x v="271"/>
    <s v="C1016"/>
    <d v="2024-01-12T07:00:00"/>
    <n v="40515.160000000003"/>
    <x v="2"/>
    <x v="0"/>
    <s v="Travel"/>
    <x v="3"/>
    <x v="2"/>
    <s v="Desktop"/>
    <n v="0"/>
    <n v="4"/>
    <x v="238"/>
    <n v="1"/>
    <x v="1"/>
    <x v="0"/>
    <x v="0"/>
  </r>
  <r>
    <x v="272"/>
    <s v="C1074"/>
    <d v="2024-01-12T08:00:00"/>
    <n v="43360.26"/>
    <x v="2"/>
    <x v="1"/>
    <s v="Travel"/>
    <x v="3"/>
    <x v="3"/>
    <s v="Mobile"/>
    <n v="0"/>
    <n v="1"/>
    <x v="239"/>
    <n v="1"/>
    <x v="0"/>
    <x v="0"/>
    <x v="0"/>
  </r>
  <r>
    <x v="273"/>
    <s v="C1265"/>
    <d v="2024-01-12T09:00:00"/>
    <n v="45666.37"/>
    <x v="1"/>
    <x v="1"/>
    <s v="Retail"/>
    <x v="1"/>
    <x v="4"/>
    <s v="Mobile"/>
    <n v="0"/>
    <n v="3"/>
    <x v="240"/>
    <n v="1"/>
    <x v="1"/>
    <x v="0"/>
    <x v="0"/>
  </r>
  <r>
    <x v="274"/>
    <s v="C1351"/>
    <d v="2024-01-12T10:00:00"/>
    <n v="25591.55"/>
    <x v="1"/>
    <x v="3"/>
    <s v="Electronics"/>
    <x v="4"/>
    <x v="0"/>
    <s v="Tablet"/>
    <n v="1"/>
    <n v="0"/>
    <x v="241"/>
    <n v="1"/>
    <x v="0"/>
    <x v="0"/>
    <x v="0"/>
  </r>
  <r>
    <x v="275"/>
    <s v="C1130"/>
    <d v="2024-01-12T11:00:00"/>
    <n v="25100.74"/>
    <x v="0"/>
    <x v="2"/>
    <s v="Retail"/>
    <x v="1"/>
    <x v="2"/>
    <s v="Tablet"/>
    <n v="0"/>
    <n v="3"/>
    <x v="242"/>
    <n v="1"/>
    <x v="1"/>
    <x v="0"/>
    <x v="0"/>
  </r>
  <r>
    <x v="276"/>
    <s v="C1416"/>
    <d v="2024-01-12T12:00:00"/>
    <n v="39924.839999999997"/>
    <x v="2"/>
    <x v="2"/>
    <s v="Food"/>
    <x v="0"/>
    <x v="3"/>
    <s v="Desktop"/>
    <n v="1"/>
    <n v="1"/>
    <x v="182"/>
    <n v="1"/>
    <x v="1"/>
    <x v="0"/>
    <x v="0"/>
  </r>
  <r>
    <x v="277"/>
    <s v="C1338"/>
    <d v="2024-01-12T13:00:00"/>
    <n v="32515.7"/>
    <x v="1"/>
    <x v="0"/>
    <s v="Entertainment"/>
    <x v="3"/>
    <x v="0"/>
    <s v="Tablet"/>
    <n v="1"/>
    <n v="0"/>
    <x v="243"/>
    <n v="1"/>
    <x v="0"/>
    <x v="0"/>
    <x v="0"/>
  </r>
  <r>
    <x v="278"/>
    <s v="C1408"/>
    <d v="2024-01-12T14:00:00"/>
    <n v="35113.25"/>
    <x v="0"/>
    <x v="1"/>
    <s v="Retail"/>
    <x v="2"/>
    <x v="1"/>
    <s v="Desktop"/>
    <n v="0"/>
    <n v="3"/>
    <x v="244"/>
    <n v="1"/>
    <x v="1"/>
    <x v="0"/>
    <x v="0"/>
  </r>
  <r>
    <x v="279"/>
    <s v="C1373"/>
    <d v="2024-01-12T15:00:00"/>
    <n v="39799.839999999997"/>
    <x v="2"/>
    <x v="3"/>
    <s v="Entertainment"/>
    <x v="1"/>
    <x v="3"/>
    <s v="Desktop"/>
    <n v="0"/>
    <n v="3"/>
    <x v="245"/>
    <n v="1"/>
    <x v="1"/>
    <x v="0"/>
    <x v="0"/>
  </r>
  <r>
    <x v="280"/>
    <s v="C1078"/>
    <d v="2024-01-12T16:00:00"/>
    <n v="44505.77"/>
    <x v="3"/>
    <x v="3"/>
    <s v="Electronics"/>
    <x v="0"/>
    <x v="0"/>
    <s v="Desktop"/>
    <n v="0"/>
    <n v="0"/>
    <x v="246"/>
    <n v="0"/>
    <x v="2"/>
    <x v="0"/>
    <x v="1"/>
  </r>
  <r>
    <x v="281"/>
    <s v="C1442"/>
    <d v="2024-01-12T17:00:00"/>
    <n v="16932.86"/>
    <x v="2"/>
    <x v="3"/>
    <s v="Food"/>
    <x v="3"/>
    <x v="3"/>
    <s v="Desktop"/>
    <n v="0"/>
    <n v="0"/>
    <x v="247"/>
    <n v="0"/>
    <x v="2"/>
    <x v="0"/>
    <x v="1"/>
  </r>
  <r>
    <x v="282"/>
    <s v="C1189"/>
    <d v="2024-01-12T18:00:00"/>
    <n v="18810.37"/>
    <x v="2"/>
    <x v="3"/>
    <s v="Electronics"/>
    <x v="4"/>
    <x v="4"/>
    <s v="Tablet"/>
    <n v="0"/>
    <n v="2"/>
    <x v="66"/>
    <n v="1"/>
    <x v="0"/>
    <x v="0"/>
    <x v="0"/>
  </r>
  <r>
    <x v="283"/>
    <s v="C1417"/>
    <d v="2024-01-12T19:00:00"/>
    <n v="4744.3999999999996"/>
    <x v="1"/>
    <x v="3"/>
    <s v="Food"/>
    <x v="3"/>
    <x v="4"/>
    <s v="Mobile"/>
    <n v="0"/>
    <n v="0"/>
    <x v="171"/>
    <n v="0"/>
    <x v="2"/>
    <x v="0"/>
    <x v="1"/>
  </r>
  <r>
    <x v="284"/>
    <s v="C1288"/>
    <d v="2024-01-12T20:00:00"/>
    <n v="28935.09"/>
    <x v="0"/>
    <x v="2"/>
    <s v="Food"/>
    <x v="4"/>
    <x v="4"/>
    <s v="Mobile"/>
    <n v="0"/>
    <n v="1"/>
    <x v="248"/>
    <n v="1"/>
    <x v="0"/>
    <x v="0"/>
    <x v="0"/>
  </r>
  <r>
    <x v="285"/>
    <s v="C1039"/>
    <d v="2024-01-12T21:00:00"/>
    <n v="1845.32"/>
    <x v="0"/>
    <x v="2"/>
    <s v="Entertainment"/>
    <x v="4"/>
    <x v="1"/>
    <s v="Tablet"/>
    <n v="1"/>
    <n v="4"/>
    <x v="149"/>
    <n v="1"/>
    <x v="1"/>
    <x v="0"/>
    <x v="0"/>
  </r>
  <r>
    <x v="286"/>
    <s v="C1206"/>
    <d v="2024-01-12T22:00:00"/>
    <n v="23306.62"/>
    <x v="1"/>
    <x v="2"/>
    <s v="Electronics"/>
    <x v="1"/>
    <x v="4"/>
    <s v="Tablet"/>
    <n v="0"/>
    <n v="2"/>
    <x v="249"/>
    <n v="1"/>
    <x v="0"/>
    <x v="0"/>
    <x v="0"/>
  </r>
  <r>
    <x v="287"/>
    <s v="C1096"/>
    <d v="2024-01-12T23:00:00"/>
    <n v="27155.1"/>
    <x v="2"/>
    <x v="1"/>
    <s v="Electronics"/>
    <x v="1"/>
    <x v="1"/>
    <s v="Desktop"/>
    <n v="0"/>
    <n v="0"/>
    <x v="63"/>
    <n v="0"/>
    <x v="2"/>
    <x v="0"/>
    <x v="1"/>
  </r>
  <r>
    <x v="288"/>
    <s v="C1224"/>
    <d v="2024-01-13T00:00:00"/>
    <n v="14362.74"/>
    <x v="3"/>
    <x v="0"/>
    <s v="Retail"/>
    <x v="3"/>
    <x v="4"/>
    <s v="Tablet"/>
    <n v="1"/>
    <n v="4"/>
    <x v="250"/>
    <n v="1"/>
    <x v="1"/>
    <x v="0"/>
    <x v="0"/>
  </r>
  <r>
    <x v="289"/>
    <s v="C1074"/>
    <d v="2024-01-13T01:00:00"/>
    <n v="29562.12"/>
    <x v="2"/>
    <x v="3"/>
    <s v="Electronics"/>
    <x v="0"/>
    <x v="3"/>
    <s v="Mobile"/>
    <n v="0"/>
    <n v="2"/>
    <x v="251"/>
    <n v="1"/>
    <x v="0"/>
    <x v="0"/>
    <x v="0"/>
  </r>
  <r>
    <x v="290"/>
    <s v="C1150"/>
    <d v="2024-01-13T02:00:00"/>
    <n v="1573.49"/>
    <x v="2"/>
    <x v="1"/>
    <s v="Retail"/>
    <x v="3"/>
    <x v="0"/>
    <s v="Tablet"/>
    <n v="0"/>
    <n v="1"/>
    <x v="252"/>
    <n v="0"/>
    <x v="2"/>
    <x v="0"/>
    <x v="1"/>
  </r>
  <r>
    <x v="291"/>
    <s v="C1247"/>
    <d v="2024-01-13T03:00:00"/>
    <n v="1915.54"/>
    <x v="3"/>
    <x v="3"/>
    <s v="Travel"/>
    <x v="2"/>
    <x v="0"/>
    <s v="Tablet"/>
    <n v="0"/>
    <n v="4"/>
    <x v="123"/>
    <n v="1"/>
    <x v="0"/>
    <x v="0"/>
    <x v="0"/>
  </r>
  <r>
    <x v="292"/>
    <s v="C1352"/>
    <d v="2024-01-13T04:00:00"/>
    <n v="41138.9"/>
    <x v="1"/>
    <x v="2"/>
    <s v="Travel"/>
    <x v="4"/>
    <x v="4"/>
    <s v="Desktop"/>
    <n v="0"/>
    <n v="0"/>
    <x v="253"/>
    <n v="1"/>
    <x v="0"/>
    <x v="0"/>
    <x v="0"/>
  </r>
  <r>
    <x v="293"/>
    <s v="C1134"/>
    <d v="2024-01-13T05:00:00"/>
    <n v="18041.52"/>
    <x v="0"/>
    <x v="1"/>
    <s v="Travel"/>
    <x v="4"/>
    <x v="0"/>
    <s v="Desktop"/>
    <n v="0"/>
    <n v="0"/>
    <x v="6"/>
    <n v="0"/>
    <x v="2"/>
    <x v="0"/>
    <x v="1"/>
  </r>
  <r>
    <x v="294"/>
    <s v="C1485"/>
    <d v="2024-01-13T06:00:00"/>
    <n v="6396.67"/>
    <x v="1"/>
    <x v="2"/>
    <s v="Electronics"/>
    <x v="1"/>
    <x v="4"/>
    <s v="Desktop"/>
    <n v="0"/>
    <n v="1"/>
    <x v="254"/>
    <n v="0"/>
    <x v="2"/>
    <x v="0"/>
    <x v="1"/>
  </r>
  <r>
    <x v="295"/>
    <s v="C1367"/>
    <d v="2024-01-13T07:00:00"/>
    <n v="26136.05"/>
    <x v="1"/>
    <x v="3"/>
    <s v="Electronics"/>
    <x v="0"/>
    <x v="4"/>
    <s v="Desktop"/>
    <n v="0"/>
    <n v="2"/>
    <x v="255"/>
    <n v="1"/>
    <x v="0"/>
    <x v="0"/>
    <x v="0"/>
  </r>
  <r>
    <x v="296"/>
    <s v="C1455"/>
    <d v="2024-01-13T08:00:00"/>
    <n v="38511.18"/>
    <x v="2"/>
    <x v="3"/>
    <s v="Retail"/>
    <x v="1"/>
    <x v="2"/>
    <s v="Mobile"/>
    <n v="0"/>
    <n v="4"/>
    <x v="256"/>
    <n v="1"/>
    <x v="1"/>
    <x v="0"/>
    <x v="0"/>
  </r>
  <r>
    <x v="297"/>
    <s v="C1051"/>
    <d v="2024-01-13T09:00:00"/>
    <n v="10830.26"/>
    <x v="0"/>
    <x v="0"/>
    <s v="Food"/>
    <x v="2"/>
    <x v="2"/>
    <s v="Tablet"/>
    <n v="0"/>
    <n v="1"/>
    <x v="257"/>
    <n v="0"/>
    <x v="2"/>
    <x v="0"/>
    <x v="1"/>
  </r>
  <r>
    <x v="298"/>
    <s v="C1405"/>
    <d v="2024-01-13T10:00:00"/>
    <n v="31163.38"/>
    <x v="0"/>
    <x v="3"/>
    <s v="Retail"/>
    <x v="3"/>
    <x v="2"/>
    <s v="Tablet"/>
    <n v="0"/>
    <n v="2"/>
    <x v="258"/>
    <n v="1"/>
    <x v="0"/>
    <x v="0"/>
    <x v="0"/>
  </r>
  <r>
    <x v="299"/>
    <s v="C1326"/>
    <d v="2024-01-13T11:00:00"/>
    <n v="4313.1099999999997"/>
    <x v="1"/>
    <x v="2"/>
    <s v="Travel"/>
    <x v="3"/>
    <x v="1"/>
    <s v="Desktop"/>
    <n v="0"/>
    <n v="3"/>
    <x v="259"/>
    <n v="1"/>
    <x v="0"/>
    <x v="0"/>
    <x v="0"/>
  </r>
  <r>
    <x v="300"/>
    <s v="C1293"/>
    <d v="2024-01-13T12:00:00"/>
    <n v="2631.5"/>
    <x v="3"/>
    <x v="3"/>
    <s v="Retail"/>
    <x v="0"/>
    <x v="2"/>
    <s v="Mobile"/>
    <n v="0"/>
    <n v="3"/>
    <x v="260"/>
    <n v="1"/>
    <x v="0"/>
    <x v="0"/>
    <x v="0"/>
  </r>
  <r>
    <x v="301"/>
    <s v="C1291"/>
    <d v="2024-01-13T13:00:00"/>
    <n v="26591.16"/>
    <x v="1"/>
    <x v="0"/>
    <s v="Food"/>
    <x v="1"/>
    <x v="4"/>
    <s v="Mobile"/>
    <n v="0"/>
    <n v="2"/>
    <x v="94"/>
    <n v="1"/>
    <x v="0"/>
    <x v="0"/>
    <x v="0"/>
  </r>
  <r>
    <x v="302"/>
    <s v="C1495"/>
    <d v="2024-01-13T14:00:00"/>
    <n v="27054.720000000001"/>
    <x v="3"/>
    <x v="0"/>
    <s v="Electronics"/>
    <x v="1"/>
    <x v="3"/>
    <s v="Tablet"/>
    <n v="0"/>
    <n v="0"/>
    <x v="261"/>
    <n v="0"/>
    <x v="2"/>
    <x v="0"/>
    <x v="1"/>
  </r>
  <r>
    <x v="303"/>
    <s v="C1472"/>
    <d v="2024-01-13T15:00:00"/>
    <n v="31889.62"/>
    <x v="0"/>
    <x v="2"/>
    <s v="Retail"/>
    <x v="2"/>
    <x v="2"/>
    <s v="Desktop"/>
    <n v="0"/>
    <n v="0"/>
    <x v="164"/>
    <n v="0"/>
    <x v="2"/>
    <x v="0"/>
    <x v="1"/>
  </r>
  <r>
    <x v="304"/>
    <s v="C1136"/>
    <d v="2024-01-13T16:00:00"/>
    <n v="36318.26"/>
    <x v="1"/>
    <x v="1"/>
    <s v="Travel"/>
    <x v="3"/>
    <x v="2"/>
    <s v="Tablet"/>
    <n v="0"/>
    <n v="3"/>
    <x v="262"/>
    <n v="1"/>
    <x v="1"/>
    <x v="0"/>
    <x v="0"/>
  </r>
  <r>
    <x v="305"/>
    <s v="C1204"/>
    <d v="2024-01-13T17:00:00"/>
    <n v="48793.81"/>
    <x v="2"/>
    <x v="3"/>
    <s v="Travel"/>
    <x v="1"/>
    <x v="3"/>
    <s v="Tablet"/>
    <n v="0"/>
    <n v="0"/>
    <x v="66"/>
    <n v="1"/>
    <x v="0"/>
    <x v="0"/>
    <x v="0"/>
  </r>
  <r>
    <x v="306"/>
    <s v="C1347"/>
    <d v="2024-01-13T18:00:00"/>
    <n v="25839.200000000001"/>
    <x v="1"/>
    <x v="0"/>
    <s v="Electronics"/>
    <x v="0"/>
    <x v="4"/>
    <s v="Mobile"/>
    <n v="0"/>
    <n v="0"/>
    <x v="263"/>
    <n v="0"/>
    <x v="2"/>
    <x v="0"/>
    <x v="1"/>
  </r>
  <r>
    <x v="307"/>
    <s v="C1356"/>
    <d v="2024-01-13T19:00:00"/>
    <n v="16181.68"/>
    <x v="0"/>
    <x v="3"/>
    <s v="Retail"/>
    <x v="3"/>
    <x v="1"/>
    <s v="Mobile"/>
    <n v="0"/>
    <n v="2"/>
    <x v="264"/>
    <n v="1"/>
    <x v="0"/>
    <x v="0"/>
    <x v="0"/>
  </r>
  <r>
    <x v="308"/>
    <s v="C1228"/>
    <d v="2024-01-13T20:00:00"/>
    <n v="39769.550000000003"/>
    <x v="2"/>
    <x v="3"/>
    <s v="Food"/>
    <x v="2"/>
    <x v="2"/>
    <s v="Tablet"/>
    <n v="0"/>
    <n v="2"/>
    <x v="265"/>
    <n v="1"/>
    <x v="0"/>
    <x v="0"/>
    <x v="0"/>
  </r>
  <r>
    <x v="309"/>
    <s v="C1133"/>
    <d v="2024-01-13T21:00:00"/>
    <n v="13578.07"/>
    <x v="2"/>
    <x v="1"/>
    <s v="Electronics"/>
    <x v="0"/>
    <x v="3"/>
    <s v="Desktop"/>
    <n v="0"/>
    <n v="0"/>
    <x v="266"/>
    <n v="0"/>
    <x v="2"/>
    <x v="0"/>
    <x v="1"/>
  </r>
  <r>
    <x v="310"/>
    <s v="C1383"/>
    <d v="2024-01-13T22:00:00"/>
    <n v="21976.62"/>
    <x v="3"/>
    <x v="0"/>
    <s v="Retail"/>
    <x v="4"/>
    <x v="4"/>
    <s v="Desktop"/>
    <n v="0"/>
    <n v="2"/>
    <x v="267"/>
    <n v="1"/>
    <x v="0"/>
    <x v="0"/>
    <x v="0"/>
  </r>
  <r>
    <x v="311"/>
    <s v="C1353"/>
    <d v="2024-01-13T23:00:00"/>
    <n v="3968.9"/>
    <x v="2"/>
    <x v="3"/>
    <s v="Entertainment"/>
    <x v="2"/>
    <x v="0"/>
    <s v="Tablet"/>
    <n v="0"/>
    <n v="4"/>
    <x v="268"/>
    <n v="1"/>
    <x v="0"/>
    <x v="0"/>
    <x v="0"/>
  </r>
  <r>
    <x v="312"/>
    <s v="C1264"/>
    <d v="2024-01-14T00:00:00"/>
    <n v="1316.27"/>
    <x v="2"/>
    <x v="0"/>
    <s v="Travel"/>
    <x v="0"/>
    <x v="1"/>
    <s v="Tablet"/>
    <n v="0"/>
    <n v="3"/>
    <x v="269"/>
    <n v="1"/>
    <x v="0"/>
    <x v="0"/>
    <x v="0"/>
  </r>
  <r>
    <x v="313"/>
    <s v="C1073"/>
    <d v="2024-01-14T01:00:00"/>
    <n v="48134.29"/>
    <x v="1"/>
    <x v="2"/>
    <s v="Food"/>
    <x v="1"/>
    <x v="3"/>
    <s v="Desktop"/>
    <n v="1"/>
    <n v="4"/>
    <x v="270"/>
    <n v="1"/>
    <x v="1"/>
    <x v="0"/>
    <x v="0"/>
  </r>
  <r>
    <x v="314"/>
    <s v="C1437"/>
    <d v="2024-01-14T02:00:00"/>
    <n v="41807.21"/>
    <x v="0"/>
    <x v="2"/>
    <s v="Food"/>
    <x v="4"/>
    <x v="3"/>
    <s v="Desktop"/>
    <n v="0"/>
    <n v="4"/>
    <x v="271"/>
    <n v="1"/>
    <x v="1"/>
    <x v="0"/>
    <x v="0"/>
  </r>
  <r>
    <x v="315"/>
    <s v="C1308"/>
    <d v="2024-01-14T03:00:00"/>
    <n v="34813.910000000003"/>
    <x v="3"/>
    <x v="3"/>
    <s v="Food"/>
    <x v="2"/>
    <x v="3"/>
    <s v="Desktop"/>
    <n v="0"/>
    <n v="0"/>
    <x v="272"/>
    <n v="0"/>
    <x v="2"/>
    <x v="0"/>
    <x v="1"/>
  </r>
  <r>
    <x v="316"/>
    <s v="C1015"/>
    <d v="2024-01-14T04:00:00"/>
    <n v="20477.2"/>
    <x v="1"/>
    <x v="0"/>
    <s v="Travel"/>
    <x v="1"/>
    <x v="2"/>
    <s v="Tablet"/>
    <n v="0"/>
    <n v="0"/>
    <x v="273"/>
    <n v="0"/>
    <x v="2"/>
    <x v="0"/>
    <x v="1"/>
  </r>
  <r>
    <x v="317"/>
    <s v="C1398"/>
    <d v="2024-01-14T05:00:00"/>
    <n v="8706.0499999999993"/>
    <x v="2"/>
    <x v="3"/>
    <s v="Retail"/>
    <x v="4"/>
    <x v="0"/>
    <s v="Mobile"/>
    <n v="0"/>
    <n v="4"/>
    <x v="201"/>
    <n v="1"/>
    <x v="0"/>
    <x v="0"/>
    <x v="0"/>
  </r>
  <r>
    <x v="318"/>
    <s v="C1314"/>
    <d v="2024-01-14T06:00:00"/>
    <n v="7864.03"/>
    <x v="2"/>
    <x v="0"/>
    <s v="Electronics"/>
    <x v="3"/>
    <x v="1"/>
    <s v="Desktop"/>
    <n v="0"/>
    <n v="4"/>
    <x v="274"/>
    <n v="1"/>
    <x v="0"/>
    <x v="0"/>
    <x v="0"/>
  </r>
  <r>
    <x v="319"/>
    <s v="C1059"/>
    <d v="2024-01-14T07:00:00"/>
    <n v="12549.63"/>
    <x v="3"/>
    <x v="0"/>
    <s v="Retail"/>
    <x v="1"/>
    <x v="4"/>
    <s v="Desktop"/>
    <n v="0"/>
    <n v="1"/>
    <x v="187"/>
    <n v="0"/>
    <x v="2"/>
    <x v="0"/>
    <x v="1"/>
  </r>
  <r>
    <x v="320"/>
    <s v="C1298"/>
    <d v="2024-01-14T08:00:00"/>
    <n v="27483.87"/>
    <x v="0"/>
    <x v="1"/>
    <s v="Electronics"/>
    <x v="0"/>
    <x v="4"/>
    <s v="Desktop"/>
    <n v="0"/>
    <n v="1"/>
    <x v="275"/>
    <n v="1"/>
    <x v="0"/>
    <x v="0"/>
    <x v="0"/>
  </r>
  <r>
    <x v="321"/>
    <s v="C1102"/>
    <d v="2024-01-14T09:00:00"/>
    <n v="35744.07"/>
    <x v="3"/>
    <x v="1"/>
    <s v="Food"/>
    <x v="2"/>
    <x v="0"/>
    <s v="Tablet"/>
    <n v="1"/>
    <n v="3"/>
    <x v="276"/>
    <n v="1"/>
    <x v="1"/>
    <x v="0"/>
    <x v="0"/>
  </r>
  <r>
    <x v="322"/>
    <s v="C1042"/>
    <d v="2024-01-14T10:00:00"/>
    <n v="33026.86"/>
    <x v="1"/>
    <x v="1"/>
    <s v="Retail"/>
    <x v="4"/>
    <x v="3"/>
    <s v="Mobile"/>
    <n v="1"/>
    <n v="4"/>
    <x v="277"/>
    <n v="1"/>
    <x v="1"/>
    <x v="0"/>
    <x v="0"/>
  </r>
  <r>
    <x v="323"/>
    <s v="C1385"/>
    <d v="2024-01-14T11:00:00"/>
    <n v="14032.7"/>
    <x v="3"/>
    <x v="3"/>
    <s v="Food"/>
    <x v="1"/>
    <x v="3"/>
    <s v="Mobile"/>
    <n v="0"/>
    <n v="2"/>
    <x v="278"/>
    <n v="1"/>
    <x v="0"/>
    <x v="0"/>
    <x v="0"/>
  </r>
  <r>
    <x v="324"/>
    <s v="C1314"/>
    <d v="2024-01-14T12:00:00"/>
    <n v="47745.52"/>
    <x v="2"/>
    <x v="1"/>
    <s v="Entertainment"/>
    <x v="3"/>
    <x v="3"/>
    <s v="Desktop"/>
    <n v="1"/>
    <n v="1"/>
    <x v="279"/>
    <n v="1"/>
    <x v="1"/>
    <x v="0"/>
    <x v="0"/>
  </r>
  <r>
    <x v="325"/>
    <s v="C1205"/>
    <d v="2024-01-14T13:00:00"/>
    <n v="36907.949999999997"/>
    <x v="1"/>
    <x v="1"/>
    <s v="Food"/>
    <x v="2"/>
    <x v="3"/>
    <s v="Tablet"/>
    <n v="0"/>
    <n v="0"/>
    <x v="280"/>
    <n v="0"/>
    <x v="2"/>
    <x v="0"/>
    <x v="1"/>
  </r>
  <r>
    <x v="326"/>
    <s v="C1306"/>
    <d v="2024-01-14T14:00:00"/>
    <n v="27739.98"/>
    <x v="2"/>
    <x v="2"/>
    <s v="Food"/>
    <x v="2"/>
    <x v="3"/>
    <s v="Mobile"/>
    <n v="0"/>
    <n v="4"/>
    <x v="281"/>
    <n v="1"/>
    <x v="1"/>
    <x v="0"/>
    <x v="0"/>
  </r>
  <r>
    <x v="327"/>
    <s v="C1299"/>
    <d v="2024-01-14T15:00:00"/>
    <n v="30605.45"/>
    <x v="0"/>
    <x v="0"/>
    <s v="Electronics"/>
    <x v="1"/>
    <x v="0"/>
    <s v="Tablet"/>
    <n v="0"/>
    <n v="2"/>
    <x v="282"/>
    <n v="1"/>
    <x v="0"/>
    <x v="0"/>
    <x v="0"/>
  </r>
  <r>
    <x v="328"/>
    <s v="C1426"/>
    <d v="2024-01-14T16:00:00"/>
    <n v="21009.02"/>
    <x v="2"/>
    <x v="0"/>
    <s v="Entertainment"/>
    <x v="3"/>
    <x v="2"/>
    <s v="Mobile"/>
    <n v="0"/>
    <n v="2"/>
    <x v="283"/>
    <n v="1"/>
    <x v="0"/>
    <x v="0"/>
    <x v="0"/>
  </r>
  <r>
    <x v="329"/>
    <s v="C1129"/>
    <d v="2024-01-14T17:00:00"/>
    <n v="12424.16"/>
    <x v="2"/>
    <x v="1"/>
    <s v="Food"/>
    <x v="4"/>
    <x v="1"/>
    <s v="Desktop"/>
    <n v="0"/>
    <n v="2"/>
    <x v="284"/>
    <n v="0"/>
    <x v="2"/>
    <x v="0"/>
    <x v="1"/>
  </r>
  <r>
    <x v="330"/>
    <s v="C1362"/>
    <d v="2024-01-14T18:00:00"/>
    <n v="17830.84"/>
    <x v="3"/>
    <x v="0"/>
    <s v="Food"/>
    <x v="1"/>
    <x v="3"/>
    <s v="Tablet"/>
    <n v="0"/>
    <n v="0"/>
    <x v="285"/>
    <n v="0"/>
    <x v="2"/>
    <x v="0"/>
    <x v="1"/>
  </r>
  <r>
    <x v="331"/>
    <s v="C1019"/>
    <d v="2024-01-14T19:00:00"/>
    <n v="37904.410000000003"/>
    <x v="2"/>
    <x v="2"/>
    <s v="Entertainment"/>
    <x v="4"/>
    <x v="2"/>
    <s v="Desktop"/>
    <n v="0"/>
    <n v="1"/>
    <x v="286"/>
    <n v="1"/>
    <x v="0"/>
    <x v="0"/>
    <x v="0"/>
  </r>
  <r>
    <x v="332"/>
    <s v="C1220"/>
    <d v="2024-01-14T20:00:00"/>
    <n v="768.95"/>
    <x v="1"/>
    <x v="2"/>
    <s v="Entertainment"/>
    <x v="2"/>
    <x v="4"/>
    <s v="Mobile"/>
    <n v="0"/>
    <n v="2"/>
    <x v="96"/>
    <n v="0"/>
    <x v="2"/>
    <x v="0"/>
    <x v="1"/>
  </r>
  <r>
    <x v="333"/>
    <s v="C1321"/>
    <d v="2024-01-14T21:00:00"/>
    <n v="5847.83"/>
    <x v="1"/>
    <x v="1"/>
    <s v="Retail"/>
    <x v="4"/>
    <x v="0"/>
    <s v="Mobile"/>
    <n v="0"/>
    <n v="1"/>
    <x v="287"/>
    <n v="0"/>
    <x v="2"/>
    <x v="0"/>
    <x v="1"/>
  </r>
  <r>
    <x v="334"/>
    <s v="C1331"/>
    <d v="2024-01-14T22:00:00"/>
    <n v="2347.83"/>
    <x v="0"/>
    <x v="2"/>
    <s v="Electronics"/>
    <x v="3"/>
    <x v="2"/>
    <s v="Desktop"/>
    <n v="0"/>
    <n v="3"/>
    <x v="56"/>
    <n v="1"/>
    <x v="0"/>
    <x v="0"/>
    <x v="0"/>
  </r>
  <r>
    <x v="335"/>
    <s v="C1066"/>
    <d v="2024-01-14T23:00:00"/>
    <n v="2084.4"/>
    <x v="1"/>
    <x v="0"/>
    <s v="Entertainment"/>
    <x v="0"/>
    <x v="3"/>
    <s v="Mobile"/>
    <n v="0"/>
    <n v="0"/>
    <x v="288"/>
    <n v="0"/>
    <x v="2"/>
    <x v="0"/>
    <x v="1"/>
  </r>
  <r>
    <x v="336"/>
    <s v="C1175"/>
    <d v="2024-01-15T00:00:00"/>
    <n v="42780.26"/>
    <x v="3"/>
    <x v="3"/>
    <s v="Entertainment"/>
    <x v="3"/>
    <x v="3"/>
    <s v="Desktop"/>
    <n v="1"/>
    <n v="1"/>
    <x v="24"/>
    <n v="1"/>
    <x v="0"/>
    <x v="0"/>
    <x v="0"/>
  </r>
  <r>
    <x v="337"/>
    <s v="C1044"/>
    <d v="2024-01-15T01:00:00"/>
    <n v="35197.71"/>
    <x v="0"/>
    <x v="0"/>
    <s v="Travel"/>
    <x v="4"/>
    <x v="3"/>
    <s v="Desktop"/>
    <n v="0"/>
    <n v="1"/>
    <x v="289"/>
    <n v="1"/>
    <x v="0"/>
    <x v="0"/>
    <x v="0"/>
  </r>
  <r>
    <x v="338"/>
    <s v="C1037"/>
    <d v="2024-01-15T02:00:00"/>
    <n v="23734.98"/>
    <x v="1"/>
    <x v="3"/>
    <s v="Entertainment"/>
    <x v="1"/>
    <x v="2"/>
    <s v="Desktop"/>
    <n v="0"/>
    <n v="2"/>
    <x v="290"/>
    <n v="1"/>
    <x v="0"/>
    <x v="0"/>
    <x v="0"/>
  </r>
  <r>
    <x v="339"/>
    <s v="C1050"/>
    <d v="2024-01-15T03:00:00"/>
    <n v="4936.82"/>
    <x v="3"/>
    <x v="1"/>
    <s v="Electronics"/>
    <x v="2"/>
    <x v="3"/>
    <s v="Mobile"/>
    <n v="1"/>
    <n v="2"/>
    <x v="35"/>
    <n v="1"/>
    <x v="0"/>
    <x v="0"/>
    <x v="0"/>
  </r>
  <r>
    <x v="340"/>
    <s v="C1380"/>
    <d v="2024-01-15T04:00:00"/>
    <n v="24606.21"/>
    <x v="1"/>
    <x v="3"/>
    <s v="Food"/>
    <x v="0"/>
    <x v="2"/>
    <s v="Tablet"/>
    <n v="0"/>
    <n v="0"/>
    <x v="150"/>
    <n v="0"/>
    <x v="2"/>
    <x v="0"/>
    <x v="1"/>
  </r>
  <r>
    <x v="341"/>
    <s v="C1314"/>
    <d v="2024-01-15T05:00:00"/>
    <n v="23699.91"/>
    <x v="1"/>
    <x v="2"/>
    <s v="Food"/>
    <x v="1"/>
    <x v="3"/>
    <s v="Desktop"/>
    <n v="0"/>
    <n v="1"/>
    <x v="291"/>
    <n v="0"/>
    <x v="2"/>
    <x v="0"/>
    <x v="1"/>
  </r>
  <r>
    <x v="342"/>
    <s v="C1050"/>
    <d v="2024-01-15T06:00:00"/>
    <n v="8701.43"/>
    <x v="2"/>
    <x v="0"/>
    <s v="Food"/>
    <x v="1"/>
    <x v="4"/>
    <s v="Tablet"/>
    <n v="0"/>
    <n v="4"/>
    <x v="292"/>
    <n v="1"/>
    <x v="0"/>
    <x v="0"/>
    <x v="0"/>
  </r>
  <r>
    <x v="343"/>
    <s v="C1149"/>
    <d v="2024-01-15T07:00:00"/>
    <n v="21720.89"/>
    <x v="1"/>
    <x v="3"/>
    <s v="Food"/>
    <x v="3"/>
    <x v="4"/>
    <s v="Mobile"/>
    <n v="0"/>
    <n v="2"/>
    <x v="293"/>
    <n v="1"/>
    <x v="0"/>
    <x v="0"/>
    <x v="0"/>
  </r>
  <r>
    <x v="344"/>
    <s v="C1266"/>
    <d v="2024-01-15T08:00:00"/>
    <n v="19955.310000000001"/>
    <x v="1"/>
    <x v="0"/>
    <s v="Travel"/>
    <x v="4"/>
    <x v="1"/>
    <s v="Mobile"/>
    <n v="0"/>
    <n v="2"/>
    <x v="294"/>
    <n v="0"/>
    <x v="2"/>
    <x v="0"/>
    <x v="1"/>
  </r>
  <r>
    <x v="345"/>
    <s v="C1202"/>
    <d v="2024-01-15T09:00:00"/>
    <n v="30811.71"/>
    <x v="3"/>
    <x v="1"/>
    <s v="Entertainment"/>
    <x v="3"/>
    <x v="3"/>
    <s v="Tablet"/>
    <n v="0"/>
    <n v="3"/>
    <x v="76"/>
    <n v="1"/>
    <x v="0"/>
    <x v="0"/>
    <x v="0"/>
  </r>
  <r>
    <x v="346"/>
    <s v="C1497"/>
    <d v="2024-01-15T10:00:00"/>
    <n v="31772.93"/>
    <x v="3"/>
    <x v="1"/>
    <s v="Food"/>
    <x v="4"/>
    <x v="3"/>
    <s v="Desktop"/>
    <n v="0"/>
    <n v="0"/>
    <x v="295"/>
    <n v="0"/>
    <x v="2"/>
    <x v="0"/>
    <x v="1"/>
  </r>
  <r>
    <x v="347"/>
    <s v="C1143"/>
    <d v="2024-01-15T11:00:00"/>
    <n v="2312.94"/>
    <x v="2"/>
    <x v="2"/>
    <s v="Retail"/>
    <x v="3"/>
    <x v="2"/>
    <s v="Mobile"/>
    <n v="0"/>
    <n v="1"/>
    <x v="296"/>
    <n v="0"/>
    <x v="2"/>
    <x v="0"/>
    <x v="1"/>
  </r>
  <r>
    <x v="348"/>
    <s v="C1253"/>
    <d v="2024-01-15T12:00:00"/>
    <n v="18761.900000000001"/>
    <x v="1"/>
    <x v="1"/>
    <s v="Food"/>
    <x v="1"/>
    <x v="2"/>
    <s v="Desktop"/>
    <n v="1"/>
    <n v="1"/>
    <x v="297"/>
    <n v="1"/>
    <x v="0"/>
    <x v="0"/>
    <x v="0"/>
  </r>
  <r>
    <x v="349"/>
    <s v="C1125"/>
    <d v="2024-01-15T13:00:00"/>
    <n v="31311.7"/>
    <x v="2"/>
    <x v="3"/>
    <s v="Entertainment"/>
    <x v="2"/>
    <x v="3"/>
    <s v="Desktop"/>
    <n v="0"/>
    <n v="1"/>
    <x v="269"/>
    <n v="1"/>
    <x v="0"/>
    <x v="0"/>
    <x v="0"/>
  </r>
  <r>
    <x v="350"/>
    <s v="C1254"/>
    <d v="2024-01-15T14:00:00"/>
    <n v="25181.66"/>
    <x v="1"/>
    <x v="1"/>
    <s v="Food"/>
    <x v="4"/>
    <x v="1"/>
    <s v="Tablet"/>
    <n v="1"/>
    <n v="2"/>
    <x v="127"/>
    <n v="1"/>
    <x v="0"/>
    <x v="0"/>
    <x v="0"/>
  </r>
  <r>
    <x v="351"/>
    <s v="C1328"/>
    <d v="2024-01-15T15:00:00"/>
    <n v="42831.67"/>
    <x v="0"/>
    <x v="2"/>
    <s v="Travel"/>
    <x v="0"/>
    <x v="3"/>
    <s v="Mobile"/>
    <n v="1"/>
    <n v="0"/>
    <x v="298"/>
    <n v="1"/>
    <x v="0"/>
    <x v="0"/>
    <x v="0"/>
  </r>
  <r>
    <x v="352"/>
    <s v="C1197"/>
    <d v="2024-01-15T16:00:00"/>
    <n v="32951.75"/>
    <x v="0"/>
    <x v="0"/>
    <s v="Electronics"/>
    <x v="0"/>
    <x v="2"/>
    <s v="Tablet"/>
    <n v="0"/>
    <n v="1"/>
    <x v="75"/>
    <n v="1"/>
    <x v="0"/>
    <x v="0"/>
    <x v="0"/>
  </r>
  <r>
    <x v="353"/>
    <s v="C1056"/>
    <d v="2024-01-15T17:00:00"/>
    <n v="8188.57"/>
    <x v="2"/>
    <x v="0"/>
    <s v="Electronics"/>
    <x v="1"/>
    <x v="3"/>
    <s v="Mobile"/>
    <n v="0"/>
    <n v="4"/>
    <x v="299"/>
    <n v="1"/>
    <x v="0"/>
    <x v="0"/>
    <x v="0"/>
  </r>
  <r>
    <x v="354"/>
    <s v="C1451"/>
    <d v="2024-01-15T18:00:00"/>
    <n v="3574.91"/>
    <x v="2"/>
    <x v="1"/>
    <s v="Entertainment"/>
    <x v="3"/>
    <x v="2"/>
    <s v="Tablet"/>
    <n v="0"/>
    <n v="3"/>
    <x v="300"/>
    <n v="1"/>
    <x v="0"/>
    <x v="0"/>
    <x v="0"/>
  </r>
  <r>
    <x v="355"/>
    <s v="C1247"/>
    <d v="2024-01-15T19:00:00"/>
    <n v="32138.84"/>
    <x v="2"/>
    <x v="3"/>
    <s v="Electronics"/>
    <x v="3"/>
    <x v="3"/>
    <s v="Mobile"/>
    <n v="1"/>
    <n v="3"/>
    <x v="301"/>
    <n v="1"/>
    <x v="1"/>
    <x v="0"/>
    <x v="0"/>
  </r>
  <r>
    <x v="356"/>
    <s v="C1382"/>
    <d v="2024-01-15T20:00:00"/>
    <n v="1374.24"/>
    <x v="3"/>
    <x v="2"/>
    <s v="Electronics"/>
    <x v="1"/>
    <x v="0"/>
    <s v="Mobile"/>
    <n v="0"/>
    <n v="1"/>
    <x v="302"/>
    <n v="0"/>
    <x v="2"/>
    <x v="0"/>
    <x v="1"/>
  </r>
  <r>
    <x v="357"/>
    <s v="C1471"/>
    <d v="2024-01-15T21:00:00"/>
    <n v="29309.49"/>
    <x v="3"/>
    <x v="3"/>
    <s v="Retail"/>
    <x v="0"/>
    <x v="2"/>
    <s v="Mobile"/>
    <n v="0"/>
    <n v="2"/>
    <x v="303"/>
    <n v="1"/>
    <x v="0"/>
    <x v="0"/>
    <x v="0"/>
  </r>
  <r>
    <x v="358"/>
    <s v="C1090"/>
    <d v="2024-01-15T22:00:00"/>
    <n v="47014.5"/>
    <x v="3"/>
    <x v="2"/>
    <s v="Entertainment"/>
    <x v="0"/>
    <x v="1"/>
    <s v="Desktop"/>
    <n v="0"/>
    <n v="3"/>
    <x v="304"/>
    <n v="1"/>
    <x v="1"/>
    <x v="0"/>
    <x v="0"/>
  </r>
  <r>
    <x v="359"/>
    <s v="C1180"/>
    <d v="2024-01-15T23:00:00"/>
    <n v="28794.94"/>
    <x v="2"/>
    <x v="1"/>
    <s v="Entertainment"/>
    <x v="3"/>
    <x v="0"/>
    <s v="Desktop"/>
    <n v="0"/>
    <n v="3"/>
    <x v="305"/>
    <n v="1"/>
    <x v="1"/>
    <x v="0"/>
    <x v="0"/>
  </r>
  <r>
    <x v="360"/>
    <s v="C1487"/>
    <d v="2024-01-16T00:00:00"/>
    <n v="19439.09"/>
    <x v="1"/>
    <x v="2"/>
    <s v="Electronics"/>
    <x v="4"/>
    <x v="3"/>
    <s v="Tablet"/>
    <n v="1"/>
    <n v="3"/>
    <x v="306"/>
    <n v="1"/>
    <x v="1"/>
    <x v="0"/>
    <x v="0"/>
  </r>
  <r>
    <x v="361"/>
    <s v="C1153"/>
    <d v="2024-01-16T01:00:00"/>
    <n v="32182.25"/>
    <x v="0"/>
    <x v="2"/>
    <s v="Electronics"/>
    <x v="2"/>
    <x v="2"/>
    <s v="Tablet"/>
    <n v="0"/>
    <n v="3"/>
    <x v="307"/>
    <n v="1"/>
    <x v="0"/>
    <x v="0"/>
    <x v="0"/>
  </r>
  <r>
    <x v="362"/>
    <s v="C1497"/>
    <d v="2024-01-16T02:00:00"/>
    <n v="22939.73"/>
    <x v="2"/>
    <x v="1"/>
    <s v="Electronics"/>
    <x v="4"/>
    <x v="0"/>
    <s v="Mobile"/>
    <n v="1"/>
    <n v="1"/>
    <x v="308"/>
    <n v="1"/>
    <x v="0"/>
    <x v="0"/>
    <x v="0"/>
  </r>
  <r>
    <x v="363"/>
    <s v="C1019"/>
    <d v="2024-01-16T03:00:00"/>
    <n v="27303.56"/>
    <x v="3"/>
    <x v="3"/>
    <s v="Travel"/>
    <x v="0"/>
    <x v="1"/>
    <s v="Mobile"/>
    <n v="0"/>
    <n v="0"/>
    <x v="309"/>
    <n v="0"/>
    <x v="2"/>
    <x v="0"/>
    <x v="1"/>
  </r>
  <r>
    <x v="364"/>
    <s v="C1085"/>
    <d v="2024-01-16T04:00:00"/>
    <n v="47076.17"/>
    <x v="3"/>
    <x v="1"/>
    <s v="Food"/>
    <x v="4"/>
    <x v="2"/>
    <s v="Desktop"/>
    <n v="0"/>
    <n v="0"/>
    <x v="124"/>
    <n v="1"/>
    <x v="0"/>
    <x v="0"/>
    <x v="0"/>
  </r>
  <r>
    <x v="365"/>
    <s v="C1058"/>
    <d v="2024-01-16T05:00:00"/>
    <n v="19335.830000000002"/>
    <x v="2"/>
    <x v="2"/>
    <s v="Travel"/>
    <x v="2"/>
    <x v="0"/>
    <s v="Desktop"/>
    <n v="1"/>
    <n v="2"/>
    <x v="67"/>
    <n v="1"/>
    <x v="0"/>
    <x v="0"/>
    <x v="0"/>
  </r>
  <r>
    <x v="366"/>
    <s v="C1149"/>
    <d v="2024-01-16T06:00:00"/>
    <n v="48061.47"/>
    <x v="2"/>
    <x v="1"/>
    <s v="Entertainment"/>
    <x v="4"/>
    <x v="0"/>
    <s v="Desktop"/>
    <n v="0"/>
    <n v="4"/>
    <x v="310"/>
    <n v="1"/>
    <x v="1"/>
    <x v="0"/>
    <x v="0"/>
  </r>
  <r>
    <x v="367"/>
    <s v="C1195"/>
    <d v="2024-01-16T07:00:00"/>
    <n v="45272.26"/>
    <x v="3"/>
    <x v="2"/>
    <s v="Retail"/>
    <x v="4"/>
    <x v="0"/>
    <s v="Tablet"/>
    <n v="1"/>
    <n v="0"/>
    <x v="311"/>
    <n v="1"/>
    <x v="0"/>
    <x v="0"/>
    <x v="0"/>
  </r>
  <r>
    <x v="368"/>
    <s v="C1240"/>
    <d v="2024-01-16T08:00:00"/>
    <n v="9829.77"/>
    <x v="1"/>
    <x v="1"/>
    <s v="Food"/>
    <x v="4"/>
    <x v="4"/>
    <s v="Desktop"/>
    <n v="0"/>
    <n v="4"/>
    <x v="39"/>
    <n v="1"/>
    <x v="0"/>
    <x v="0"/>
    <x v="0"/>
  </r>
  <r>
    <x v="369"/>
    <s v="C1455"/>
    <d v="2024-01-16T09:00:00"/>
    <n v="3514.6"/>
    <x v="3"/>
    <x v="0"/>
    <s v="Retail"/>
    <x v="4"/>
    <x v="3"/>
    <s v="Tablet"/>
    <n v="0"/>
    <n v="0"/>
    <x v="312"/>
    <n v="0"/>
    <x v="2"/>
    <x v="0"/>
    <x v="1"/>
  </r>
  <r>
    <x v="370"/>
    <s v="C1473"/>
    <d v="2024-01-16T10:00:00"/>
    <n v="5083.8599999999997"/>
    <x v="3"/>
    <x v="0"/>
    <s v="Entertainment"/>
    <x v="1"/>
    <x v="2"/>
    <s v="Desktop"/>
    <n v="0"/>
    <n v="0"/>
    <x v="313"/>
    <n v="0"/>
    <x v="2"/>
    <x v="0"/>
    <x v="1"/>
  </r>
  <r>
    <x v="371"/>
    <s v="C1047"/>
    <d v="2024-01-16T11:00:00"/>
    <n v="960.18"/>
    <x v="2"/>
    <x v="1"/>
    <s v="Entertainment"/>
    <x v="0"/>
    <x v="2"/>
    <s v="Desktop"/>
    <n v="1"/>
    <n v="2"/>
    <x v="283"/>
    <n v="1"/>
    <x v="0"/>
    <x v="0"/>
    <x v="0"/>
  </r>
  <r>
    <x v="372"/>
    <s v="C1061"/>
    <d v="2024-01-16T12:00:00"/>
    <n v="4767.43"/>
    <x v="1"/>
    <x v="3"/>
    <s v="Retail"/>
    <x v="2"/>
    <x v="2"/>
    <s v="Mobile"/>
    <n v="1"/>
    <n v="3"/>
    <x v="265"/>
    <n v="1"/>
    <x v="0"/>
    <x v="0"/>
    <x v="0"/>
  </r>
  <r>
    <x v="373"/>
    <s v="C1087"/>
    <d v="2024-01-16T13:00:00"/>
    <n v="34166.19"/>
    <x v="3"/>
    <x v="2"/>
    <s v="Retail"/>
    <x v="0"/>
    <x v="0"/>
    <s v="Tablet"/>
    <n v="0"/>
    <n v="2"/>
    <x v="314"/>
    <n v="1"/>
    <x v="0"/>
    <x v="0"/>
    <x v="0"/>
  </r>
  <r>
    <x v="374"/>
    <s v="C1302"/>
    <d v="2024-01-16T14:00:00"/>
    <n v="3605.87"/>
    <x v="3"/>
    <x v="0"/>
    <s v="Retail"/>
    <x v="1"/>
    <x v="3"/>
    <s v="Desktop"/>
    <n v="0"/>
    <n v="0"/>
    <x v="59"/>
    <n v="0"/>
    <x v="2"/>
    <x v="0"/>
    <x v="1"/>
  </r>
  <r>
    <x v="375"/>
    <s v="C1345"/>
    <d v="2024-01-16T15:00:00"/>
    <n v="15982.83"/>
    <x v="0"/>
    <x v="3"/>
    <s v="Entertainment"/>
    <x v="1"/>
    <x v="1"/>
    <s v="Mobile"/>
    <n v="0"/>
    <n v="3"/>
    <x v="315"/>
    <n v="1"/>
    <x v="0"/>
    <x v="0"/>
    <x v="0"/>
  </r>
  <r>
    <x v="376"/>
    <s v="C1083"/>
    <d v="2024-01-16T16:00:00"/>
    <n v="42251.519999999997"/>
    <x v="2"/>
    <x v="2"/>
    <s v="Electronics"/>
    <x v="1"/>
    <x v="2"/>
    <s v="Tablet"/>
    <n v="0"/>
    <n v="3"/>
    <x v="316"/>
    <n v="1"/>
    <x v="1"/>
    <x v="0"/>
    <x v="0"/>
  </r>
  <r>
    <x v="377"/>
    <s v="C1099"/>
    <d v="2024-01-16T17:00:00"/>
    <n v="1212.43"/>
    <x v="0"/>
    <x v="0"/>
    <s v="Retail"/>
    <x v="1"/>
    <x v="3"/>
    <s v="Tablet"/>
    <n v="0"/>
    <n v="3"/>
    <x v="264"/>
    <n v="1"/>
    <x v="0"/>
    <x v="0"/>
    <x v="0"/>
  </r>
  <r>
    <x v="378"/>
    <s v="C1123"/>
    <d v="2024-01-16T18:00:00"/>
    <n v="40732.699999999997"/>
    <x v="0"/>
    <x v="0"/>
    <s v="Food"/>
    <x v="4"/>
    <x v="3"/>
    <s v="Desktop"/>
    <n v="0"/>
    <n v="4"/>
    <x v="276"/>
    <n v="1"/>
    <x v="1"/>
    <x v="0"/>
    <x v="0"/>
  </r>
  <r>
    <x v="379"/>
    <s v="C1230"/>
    <d v="2024-01-16T19:00:00"/>
    <n v="14128.65"/>
    <x v="3"/>
    <x v="1"/>
    <s v="Entertainment"/>
    <x v="0"/>
    <x v="4"/>
    <s v="Tablet"/>
    <n v="1"/>
    <n v="0"/>
    <x v="317"/>
    <n v="0"/>
    <x v="2"/>
    <x v="0"/>
    <x v="1"/>
  </r>
  <r>
    <x v="380"/>
    <s v="C1452"/>
    <d v="2024-01-16T20:00:00"/>
    <n v="5952.33"/>
    <x v="2"/>
    <x v="2"/>
    <s v="Travel"/>
    <x v="3"/>
    <x v="2"/>
    <s v="Mobile"/>
    <n v="0"/>
    <n v="1"/>
    <x v="318"/>
    <n v="0"/>
    <x v="2"/>
    <x v="0"/>
    <x v="1"/>
  </r>
  <r>
    <x v="381"/>
    <s v="C1093"/>
    <d v="2024-01-16T21:00:00"/>
    <n v="34852.019999999997"/>
    <x v="1"/>
    <x v="3"/>
    <s v="Travel"/>
    <x v="2"/>
    <x v="0"/>
    <s v="Mobile"/>
    <n v="0"/>
    <n v="2"/>
    <x v="236"/>
    <n v="1"/>
    <x v="0"/>
    <x v="0"/>
    <x v="0"/>
  </r>
  <r>
    <x v="382"/>
    <s v="C1248"/>
    <d v="2024-01-16T22:00:00"/>
    <n v="31465.7"/>
    <x v="3"/>
    <x v="3"/>
    <s v="Food"/>
    <x v="1"/>
    <x v="3"/>
    <s v="Tablet"/>
    <n v="0"/>
    <n v="4"/>
    <x v="319"/>
    <n v="1"/>
    <x v="1"/>
    <x v="0"/>
    <x v="0"/>
  </r>
  <r>
    <x v="383"/>
    <s v="C1292"/>
    <d v="2024-01-16T23:00:00"/>
    <n v="43879.73"/>
    <x v="1"/>
    <x v="3"/>
    <s v="Electronics"/>
    <x v="0"/>
    <x v="3"/>
    <s v="Mobile"/>
    <n v="0"/>
    <n v="2"/>
    <x v="168"/>
    <n v="1"/>
    <x v="1"/>
    <x v="0"/>
    <x v="0"/>
  </r>
  <r>
    <x v="384"/>
    <s v="C1183"/>
    <d v="2024-01-17T00:00:00"/>
    <n v="36766.800000000003"/>
    <x v="1"/>
    <x v="2"/>
    <s v="Retail"/>
    <x v="1"/>
    <x v="1"/>
    <s v="Tablet"/>
    <n v="1"/>
    <n v="1"/>
    <x v="149"/>
    <n v="1"/>
    <x v="1"/>
    <x v="0"/>
    <x v="0"/>
  </r>
  <r>
    <x v="385"/>
    <s v="C1366"/>
    <d v="2024-01-17T01:00:00"/>
    <n v="40183.870000000003"/>
    <x v="2"/>
    <x v="3"/>
    <s v="Entertainment"/>
    <x v="1"/>
    <x v="4"/>
    <s v="Mobile"/>
    <n v="0"/>
    <n v="3"/>
    <x v="320"/>
    <n v="1"/>
    <x v="1"/>
    <x v="0"/>
    <x v="0"/>
  </r>
  <r>
    <x v="386"/>
    <s v="C1255"/>
    <d v="2024-01-17T02:00:00"/>
    <n v="14137.63"/>
    <x v="0"/>
    <x v="3"/>
    <s v="Retail"/>
    <x v="1"/>
    <x v="3"/>
    <s v="Tablet"/>
    <n v="1"/>
    <n v="1"/>
    <x v="210"/>
    <n v="1"/>
    <x v="0"/>
    <x v="0"/>
    <x v="0"/>
  </r>
  <r>
    <x v="387"/>
    <s v="C1300"/>
    <d v="2024-01-17T03:00:00"/>
    <n v="8913.11"/>
    <x v="2"/>
    <x v="3"/>
    <s v="Entertainment"/>
    <x v="1"/>
    <x v="3"/>
    <s v="Tablet"/>
    <n v="1"/>
    <n v="2"/>
    <x v="212"/>
    <n v="1"/>
    <x v="0"/>
    <x v="0"/>
    <x v="0"/>
  </r>
  <r>
    <x v="388"/>
    <s v="C1278"/>
    <d v="2024-01-17T04:00:00"/>
    <n v="37543.21"/>
    <x v="1"/>
    <x v="1"/>
    <s v="Travel"/>
    <x v="1"/>
    <x v="0"/>
    <s v="Tablet"/>
    <n v="0"/>
    <n v="1"/>
    <x v="243"/>
    <n v="1"/>
    <x v="0"/>
    <x v="0"/>
    <x v="0"/>
  </r>
  <r>
    <x v="389"/>
    <s v="C1209"/>
    <d v="2024-01-17T05:00:00"/>
    <n v="40351.4"/>
    <x v="3"/>
    <x v="1"/>
    <s v="Retail"/>
    <x v="2"/>
    <x v="0"/>
    <s v="Mobile"/>
    <n v="0"/>
    <n v="0"/>
    <x v="321"/>
    <n v="1"/>
    <x v="0"/>
    <x v="0"/>
    <x v="0"/>
  </r>
  <r>
    <x v="390"/>
    <s v="C1478"/>
    <d v="2024-01-17T06:00:00"/>
    <n v="49525.73"/>
    <x v="1"/>
    <x v="2"/>
    <s v="Food"/>
    <x v="0"/>
    <x v="1"/>
    <s v="Tablet"/>
    <n v="0"/>
    <n v="1"/>
    <x v="322"/>
    <n v="1"/>
    <x v="0"/>
    <x v="0"/>
    <x v="0"/>
  </r>
  <r>
    <x v="391"/>
    <s v="C1040"/>
    <d v="2024-01-17T07:00:00"/>
    <n v="20660.25"/>
    <x v="3"/>
    <x v="2"/>
    <s v="Electronics"/>
    <x v="1"/>
    <x v="1"/>
    <s v="Tablet"/>
    <n v="0"/>
    <n v="0"/>
    <x v="323"/>
    <n v="0"/>
    <x v="2"/>
    <x v="0"/>
    <x v="1"/>
  </r>
  <r>
    <x v="392"/>
    <s v="C1086"/>
    <d v="2024-01-17T08:00:00"/>
    <n v="18632.3"/>
    <x v="3"/>
    <x v="3"/>
    <s v="Food"/>
    <x v="1"/>
    <x v="1"/>
    <s v="Desktop"/>
    <n v="0"/>
    <n v="1"/>
    <x v="324"/>
    <n v="0"/>
    <x v="2"/>
    <x v="0"/>
    <x v="1"/>
  </r>
  <r>
    <x v="393"/>
    <s v="C1362"/>
    <d v="2024-01-17T09:00:00"/>
    <n v="38831.83"/>
    <x v="2"/>
    <x v="1"/>
    <s v="Electronics"/>
    <x v="1"/>
    <x v="0"/>
    <s v="Desktop"/>
    <n v="0"/>
    <n v="0"/>
    <x v="325"/>
    <n v="0"/>
    <x v="2"/>
    <x v="0"/>
    <x v="1"/>
  </r>
  <r>
    <x v="394"/>
    <s v="C1115"/>
    <d v="2024-01-17T10:00:00"/>
    <n v="17073.14"/>
    <x v="1"/>
    <x v="0"/>
    <s v="Retail"/>
    <x v="1"/>
    <x v="0"/>
    <s v="Tablet"/>
    <n v="0"/>
    <n v="0"/>
    <x v="326"/>
    <n v="0"/>
    <x v="2"/>
    <x v="0"/>
    <x v="1"/>
  </r>
  <r>
    <x v="395"/>
    <s v="C1480"/>
    <d v="2024-01-17T11:00:00"/>
    <n v="46541.33"/>
    <x v="0"/>
    <x v="0"/>
    <s v="Retail"/>
    <x v="4"/>
    <x v="4"/>
    <s v="Desktop"/>
    <n v="0"/>
    <n v="1"/>
    <x v="327"/>
    <n v="1"/>
    <x v="0"/>
    <x v="0"/>
    <x v="0"/>
  </r>
  <r>
    <x v="396"/>
    <s v="C1077"/>
    <d v="2024-01-17T12:00:00"/>
    <n v="42927.72"/>
    <x v="1"/>
    <x v="3"/>
    <s v="Electronics"/>
    <x v="4"/>
    <x v="2"/>
    <s v="Tablet"/>
    <n v="0"/>
    <n v="4"/>
    <x v="328"/>
    <n v="1"/>
    <x v="1"/>
    <x v="0"/>
    <x v="0"/>
  </r>
  <r>
    <x v="397"/>
    <s v="C1295"/>
    <d v="2024-01-17T13:00:00"/>
    <n v="21478.25"/>
    <x v="1"/>
    <x v="3"/>
    <s v="Travel"/>
    <x v="3"/>
    <x v="2"/>
    <s v="Desktop"/>
    <n v="0"/>
    <n v="3"/>
    <x v="82"/>
    <n v="1"/>
    <x v="0"/>
    <x v="0"/>
    <x v="0"/>
  </r>
  <r>
    <x v="398"/>
    <s v="C1219"/>
    <d v="2024-01-17T14:00:00"/>
    <n v="37556.01"/>
    <x v="0"/>
    <x v="1"/>
    <s v="Entertainment"/>
    <x v="1"/>
    <x v="4"/>
    <s v="Mobile"/>
    <n v="0"/>
    <n v="3"/>
    <x v="131"/>
    <n v="1"/>
    <x v="1"/>
    <x v="0"/>
    <x v="0"/>
  </r>
  <r>
    <x v="399"/>
    <s v="C1347"/>
    <d v="2024-01-17T15:00:00"/>
    <n v="37739.42"/>
    <x v="2"/>
    <x v="1"/>
    <s v="Food"/>
    <x v="3"/>
    <x v="2"/>
    <s v="Mobile"/>
    <n v="0"/>
    <n v="3"/>
    <x v="329"/>
    <n v="1"/>
    <x v="1"/>
    <x v="0"/>
    <x v="0"/>
  </r>
  <r>
    <x v="400"/>
    <s v="C1167"/>
    <d v="2024-01-17T16:00:00"/>
    <n v="5201.04"/>
    <x v="1"/>
    <x v="1"/>
    <s v="Food"/>
    <x v="2"/>
    <x v="0"/>
    <s v="Tablet"/>
    <n v="0"/>
    <n v="0"/>
    <x v="330"/>
    <n v="0"/>
    <x v="2"/>
    <x v="0"/>
    <x v="1"/>
  </r>
  <r>
    <x v="401"/>
    <s v="C1115"/>
    <d v="2024-01-17T17:00:00"/>
    <n v="45132.52"/>
    <x v="1"/>
    <x v="2"/>
    <s v="Food"/>
    <x v="3"/>
    <x v="2"/>
    <s v="Tablet"/>
    <n v="0"/>
    <n v="3"/>
    <x v="331"/>
    <n v="1"/>
    <x v="1"/>
    <x v="0"/>
    <x v="0"/>
  </r>
  <r>
    <x v="402"/>
    <s v="C1145"/>
    <d v="2024-01-17T18:00:00"/>
    <n v="25287.360000000001"/>
    <x v="3"/>
    <x v="2"/>
    <s v="Retail"/>
    <x v="0"/>
    <x v="0"/>
    <s v="Mobile"/>
    <n v="0"/>
    <n v="0"/>
    <x v="332"/>
    <n v="0"/>
    <x v="2"/>
    <x v="0"/>
    <x v="1"/>
  </r>
  <r>
    <x v="403"/>
    <s v="C1242"/>
    <d v="2024-01-17T19:00:00"/>
    <n v="41331.550000000003"/>
    <x v="1"/>
    <x v="3"/>
    <s v="Food"/>
    <x v="4"/>
    <x v="4"/>
    <s v="Mobile"/>
    <n v="0"/>
    <n v="4"/>
    <x v="333"/>
    <n v="1"/>
    <x v="1"/>
    <x v="0"/>
    <x v="0"/>
  </r>
  <r>
    <x v="404"/>
    <s v="C1306"/>
    <d v="2024-01-17T20:00:00"/>
    <n v="16036.48"/>
    <x v="0"/>
    <x v="2"/>
    <s v="Entertainment"/>
    <x v="4"/>
    <x v="1"/>
    <s v="Desktop"/>
    <n v="0"/>
    <n v="1"/>
    <x v="318"/>
    <n v="0"/>
    <x v="2"/>
    <x v="0"/>
    <x v="1"/>
  </r>
  <r>
    <x v="405"/>
    <s v="C1326"/>
    <d v="2024-01-17T21:00:00"/>
    <n v="44781.39"/>
    <x v="3"/>
    <x v="1"/>
    <s v="Entertainment"/>
    <x v="1"/>
    <x v="4"/>
    <s v="Tablet"/>
    <n v="0"/>
    <n v="1"/>
    <x v="334"/>
    <n v="1"/>
    <x v="0"/>
    <x v="0"/>
    <x v="0"/>
  </r>
  <r>
    <x v="406"/>
    <s v="C1014"/>
    <d v="2024-01-17T22:00:00"/>
    <n v="19490.62"/>
    <x v="2"/>
    <x v="1"/>
    <s v="Electronics"/>
    <x v="1"/>
    <x v="2"/>
    <s v="Mobile"/>
    <n v="0"/>
    <n v="0"/>
    <x v="58"/>
    <n v="0"/>
    <x v="2"/>
    <x v="0"/>
    <x v="1"/>
  </r>
  <r>
    <x v="407"/>
    <s v="C1271"/>
    <d v="2024-01-17T23:00:00"/>
    <n v="591.34"/>
    <x v="3"/>
    <x v="2"/>
    <s v="Retail"/>
    <x v="2"/>
    <x v="0"/>
    <s v="Mobile"/>
    <n v="1"/>
    <n v="0"/>
    <x v="335"/>
    <n v="0"/>
    <x v="2"/>
    <x v="0"/>
    <x v="1"/>
  </r>
  <r>
    <x v="408"/>
    <s v="C1412"/>
    <d v="2024-01-18T00:00:00"/>
    <n v="45273.83"/>
    <x v="0"/>
    <x v="0"/>
    <s v="Entertainment"/>
    <x v="2"/>
    <x v="2"/>
    <s v="Tablet"/>
    <n v="0"/>
    <n v="4"/>
    <x v="336"/>
    <n v="1"/>
    <x v="1"/>
    <x v="0"/>
    <x v="0"/>
  </r>
  <r>
    <x v="409"/>
    <s v="C1280"/>
    <d v="2024-01-18T01:00:00"/>
    <n v="4609.7700000000004"/>
    <x v="0"/>
    <x v="3"/>
    <s v="Travel"/>
    <x v="0"/>
    <x v="2"/>
    <s v="Desktop"/>
    <n v="0"/>
    <n v="3"/>
    <x v="161"/>
    <n v="1"/>
    <x v="0"/>
    <x v="0"/>
    <x v="0"/>
  </r>
  <r>
    <x v="410"/>
    <s v="C1074"/>
    <d v="2024-01-18T02:00:00"/>
    <n v="15999.72"/>
    <x v="3"/>
    <x v="0"/>
    <s v="Retail"/>
    <x v="1"/>
    <x v="1"/>
    <s v="Desktop"/>
    <n v="0"/>
    <n v="4"/>
    <x v="122"/>
    <n v="1"/>
    <x v="1"/>
    <x v="0"/>
    <x v="0"/>
  </r>
  <r>
    <x v="411"/>
    <s v="C1179"/>
    <d v="2024-01-18T03:00:00"/>
    <n v="47505.599999999999"/>
    <x v="2"/>
    <x v="3"/>
    <s v="Retail"/>
    <x v="1"/>
    <x v="2"/>
    <s v="Desktop"/>
    <n v="0"/>
    <n v="1"/>
    <x v="337"/>
    <n v="1"/>
    <x v="0"/>
    <x v="0"/>
    <x v="0"/>
  </r>
  <r>
    <x v="412"/>
    <s v="C1467"/>
    <d v="2024-01-18T04:00:00"/>
    <n v="47532.83"/>
    <x v="3"/>
    <x v="0"/>
    <s v="Entertainment"/>
    <x v="2"/>
    <x v="1"/>
    <s v="Desktop"/>
    <n v="0"/>
    <n v="1"/>
    <x v="337"/>
    <n v="1"/>
    <x v="0"/>
    <x v="0"/>
    <x v="0"/>
  </r>
  <r>
    <x v="413"/>
    <s v="C1072"/>
    <d v="2024-01-18T05:00:00"/>
    <n v="28693.22"/>
    <x v="2"/>
    <x v="2"/>
    <s v="Travel"/>
    <x v="2"/>
    <x v="0"/>
    <s v="Mobile"/>
    <n v="1"/>
    <n v="3"/>
    <x v="338"/>
    <n v="1"/>
    <x v="1"/>
    <x v="0"/>
    <x v="0"/>
  </r>
  <r>
    <x v="414"/>
    <s v="C1102"/>
    <d v="2024-01-18T06:00:00"/>
    <n v="31610.27"/>
    <x v="3"/>
    <x v="3"/>
    <s v="Electronics"/>
    <x v="2"/>
    <x v="0"/>
    <s v="Tablet"/>
    <n v="0"/>
    <n v="1"/>
    <x v="94"/>
    <n v="1"/>
    <x v="0"/>
    <x v="0"/>
    <x v="0"/>
  </r>
  <r>
    <x v="415"/>
    <s v="C1039"/>
    <d v="2024-01-18T07:00:00"/>
    <n v="22449.85"/>
    <x v="0"/>
    <x v="3"/>
    <s v="Entertainment"/>
    <x v="4"/>
    <x v="1"/>
    <s v="Tablet"/>
    <n v="1"/>
    <n v="0"/>
    <x v="284"/>
    <n v="0"/>
    <x v="2"/>
    <x v="0"/>
    <x v="1"/>
  </r>
  <r>
    <x v="416"/>
    <s v="C1378"/>
    <d v="2024-01-18T08:00:00"/>
    <n v="14695.88"/>
    <x v="1"/>
    <x v="3"/>
    <s v="Travel"/>
    <x v="3"/>
    <x v="4"/>
    <s v="Mobile"/>
    <n v="0"/>
    <n v="1"/>
    <x v="339"/>
    <n v="0"/>
    <x v="2"/>
    <x v="0"/>
    <x v="1"/>
  </r>
  <r>
    <x v="417"/>
    <s v="C1265"/>
    <d v="2024-01-18T09:00:00"/>
    <n v="16466.79"/>
    <x v="1"/>
    <x v="1"/>
    <s v="Retail"/>
    <x v="3"/>
    <x v="0"/>
    <s v="Mobile"/>
    <n v="1"/>
    <n v="2"/>
    <x v="82"/>
    <n v="1"/>
    <x v="0"/>
    <x v="0"/>
    <x v="0"/>
  </r>
  <r>
    <x v="418"/>
    <s v="C1471"/>
    <d v="2024-01-18T10:00:00"/>
    <n v="33642.300000000003"/>
    <x v="2"/>
    <x v="1"/>
    <s v="Travel"/>
    <x v="1"/>
    <x v="4"/>
    <s v="Mobile"/>
    <n v="0"/>
    <n v="3"/>
    <x v="30"/>
    <n v="1"/>
    <x v="0"/>
    <x v="0"/>
    <x v="0"/>
  </r>
  <r>
    <x v="419"/>
    <s v="C1238"/>
    <d v="2024-01-18T11:00:00"/>
    <n v="37631.11"/>
    <x v="2"/>
    <x v="0"/>
    <s v="Retail"/>
    <x v="4"/>
    <x v="0"/>
    <s v="Tablet"/>
    <n v="0"/>
    <n v="3"/>
    <x v="340"/>
    <n v="1"/>
    <x v="1"/>
    <x v="0"/>
    <x v="0"/>
  </r>
  <r>
    <x v="420"/>
    <s v="C1497"/>
    <d v="2024-01-18T12:00:00"/>
    <n v="39589.370000000003"/>
    <x v="2"/>
    <x v="2"/>
    <s v="Entertainment"/>
    <x v="2"/>
    <x v="0"/>
    <s v="Tablet"/>
    <n v="0"/>
    <n v="3"/>
    <x v="341"/>
    <n v="1"/>
    <x v="1"/>
    <x v="0"/>
    <x v="0"/>
  </r>
  <r>
    <x v="421"/>
    <s v="C1333"/>
    <d v="2024-01-18T13:00:00"/>
    <n v="39491.43"/>
    <x v="0"/>
    <x v="1"/>
    <s v="Entertainment"/>
    <x v="1"/>
    <x v="3"/>
    <s v="Tablet"/>
    <n v="0"/>
    <n v="2"/>
    <x v="143"/>
    <n v="1"/>
    <x v="0"/>
    <x v="0"/>
    <x v="0"/>
  </r>
  <r>
    <x v="422"/>
    <s v="C1137"/>
    <d v="2024-01-18T14:00:00"/>
    <n v="4605.74"/>
    <x v="3"/>
    <x v="3"/>
    <s v="Food"/>
    <x v="4"/>
    <x v="2"/>
    <s v="Desktop"/>
    <n v="0"/>
    <n v="4"/>
    <x v="110"/>
    <n v="1"/>
    <x v="0"/>
    <x v="0"/>
    <x v="0"/>
  </r>
  <r>
    <x v="423"/>
    <s v="C1397"/>
    <d v="2024-01-18T15:00:00"/>
    <n v="24746.29"/>
    <x v="0"/>
    <x v="1"/>
    <s v="Food"/>
    <x v="0"/>
    <x v="2"/>
    <s v="Mobile"/>
    <n v="0"/>
    <n v="0"/>
    <x v="89"/>
    <n v="0"/>
    <x v="2"/>
    <x v="0"/>
    <x v="1"/>
  </r>
  <r>
    <x v="424"/>
    <s v="C1310"/>
    <d v="2024-01-18T16:00:00"/>
    <n v="2925.06"/>
    <x v="1"/>
    <x v="2"/>
    <s v="Food"/>
    <x v="4"/>
    <x v="4"/>
    <s v="Mobile"/>
    <n v="0"/>
    <n v="3"/>
    <x v="226"/>
    <n v="1"/>
    <x v="0"/>
    <x v="0"/>
    <x v="0"/>
  </r>
  <r>
    <x v="425"/>
    <s v="C1328"/>
    <d v="2024-01-18T17:00:00"/>
    <n v="27498.97"/>
    <x v="2"/>
    <x v="1"/>
    <s v="Entertainment"/>
    <x v="1"/>
    <x v="2"/>
    <s v="Mobile"/>
    <n v="0"/>
    <n v="1"/>
    <x v="275"/>
    <n v="1"/>
    <x v="0"/>
    <x v="0"/>
    <x v="0"/>
  </r>
  <r>
    <x v="426"/>
    <s v="C1055"/>
    <d v="2024-01-18T18:00:00"/>
    <n v="22104.45"/>
    <x v="3"/>
    <x v="3"/>
    <s v="Electronics"/>
    <x v="3"/>
    <x v="4"/>
    <s v="Tablet"/>
    <n v="0"/>
    <n v="0"/>
    <x v="342"/>
    <n v="0"/>
    <x v="2"/>
    <x v="0"/>
    <x v="1"/>
  </r>
  <r>
    <x v="427"/>
    <s v="C1128"/>
    <d v="2024-01-18T19:00:00"/>
    <n v="44390.82"/>
    <x v="1"/>
    <x v="0"/>
    <s v="Entertainment"/>
    <x v="2"/>
    <x v="0"/>
    <s v="Mobile"/>
    <n v="0"/>
    <n v="1"/>
    <x v="343"/>
    <n v="1"/>
    <x v="0"/>
    <x v="0"/>
    <x v="0"/>
  </r>
  <r>
    <x v="428"/>
    <s v="C1358"/>
    <d v="2024-01-18T20:00:00"/>
    <n v="17578.2"/>
    <x v="1"/>
    <x v="3"/>
    <s v="Travel"/>
    <x v="0"/>
    <x v="3"/>
    <s v="Mobile"/>
    <n v="1"/>
    <n v="0"/>
    <x v="344"/>
    <n v="0"/>
    <x v="2"/>
    <x v="0"/>
    <x v="1"/>
  </r>
  <r>
    <x v="429"/>
    <s v="C1257"/>
    <d v="2024-01-18T21:00:00"/>
    <n v="5897.5"/>
    <x v="1"/>
    <x v="2"/>
    <s v="Entertainment"/>
    <x v="4"/>
    <x v="3"/>
    <s v="Desktop"/>
    <n v="0"/>
    <n v="0"/>
    <x v="345"/>
    <n v="0"/>
    <x v="2"/>
    <x v="0"/>
    <x v="1"/>
  </r>
  <r>
    <x v="430"/>
    <s v="C1499"/>
    <d v="2024-01-18T22:00:00"/>
    <n v="7192.43"/>
    <x v="0"/>
    <x v="0"/>
    <s v="Entertainment"/>
    <x v="1"/>
    <x v="0"/>
    <s v="Tablet"/>
    <n v="0"/>
    <n v="1"/>
    <x v="346"/>
    <n v="0"/>
    <x v="2"/>
    <x v="0"/>
    <x v="1"/>
  </r>
  <r>
    <x v="431"/>
    <s v="C1153"/>
    <d v="2024-01-18T23:00:00"/>
    <n v="38087.46"/>
    <x v="2"/>
    <x v="1"/>
    <s v="Retail"/>
    <x v="1"/>
    <x v="1"/>
    <s v="Mobile"/>
    <n v="0"/>
    <n v="1"/>
    <x v="103"/>
    <n v="1"/>
    <x v="0"/>
    <x v="0"/>
    <x v="0"/>
  </r>
  <r>
    <x v="432"/>
    <s v="C1205"/>
    <d v="2024-01-19T00:00:00"/>
    <n v="30929.99"/>
    <x v="1"/>
    <x v="1"/>
    <s v="Retail"/>
    <x v="2"/>
    <x v="1"/>
    <s v="Tablet"/>
    <n v="0"/>
    <n v="0"/>
    <x v="347"/>
    <n v="0"/>
    <x v="2"/>
    <x v="0"/>
    <x v="1"/>
  </r>
  <r>
    <x v="433"/>
    <s v="C1060"/>
    <d v="2024-01-19T01:00:00"/>
    <n v="5101.08"/>
    <x v="2"/>
    <x v="1"/>
    <s v="Retail"/>
    <x v="1"/>
    <x v="2"/>
    <s v="Tablet"/>
    <n v="1"/>
    <n v="3"/>
    <x v="242"/>
    <n v="1"/>
    <x v="1"/>
    <x v="0"/>
    <x v="0"/>
  </r>
  <r>
    <x v="434"/>
    <s v="C1498"/>
    <d v="2024-01-19T02:00:00"/>
    <n v="4251.13"/>
    <x v="0"/>
    <x v="0"/>
    <s v="Entertainment"/>
    <x v="1"/>
    <x v="4"/>
    <s v="Tablet"/>
    <n v="0"/>
    <n v="1"/>
    <x v="348"/>
    <n v="0"/>
    <x v="2"/>
    <x v="0"/>
    <x v="1"/>
  </r>
  <r>
    <x v="435"/>
    <s v="C1170"/>
    <d v="2024-01-19T03:00:00"/>
    <n v="35063.410000000003"/>
    <x v="1"/>
    <x v="3"/>
    <s v="Electronics"/>
    <x v="2"/>
    <x v="3"/>
    <s v="Desktop"/>
    <n v="0"/>
    <n v="2"/>
    <x v="133"/>
    <n v="1"/>
    <x v="0"/>
    <x v="0"/>
    <x v="0"/>
  </r>
  <r>
    <x v="436"/>
    <s v="C1369"/>
    <d v="2024-01-19T04:00:00"/>
    <n v="3684.51"/>
    <x v="0"/>
    <x v="0"/>
    <s v="Travel"/>
    <x v="0"/>
    <x v="2"/>
    <s v="Tablet"/>
    <n v="1"/>
    <n v="2"/>
    <x v="290"/>
    <n v="1"/>
    <x v="0"/>
    <x v="0"/>
    <x v="0"/>
  </r>
  <r>
    <x v="437"/>
    <s v="C1068"/>
    <d v="2024-01-19T05:00:00"/>
    <n v="41101.910000000003"/>
    <x v="0"/>
    <x v="0"/>
    <s v="Travel"/>
    <x v="3"/>
    <x v="0"/>
    <s v="Tablet"/>
    <n v="0"/>
    <n v="0"/>
    <x v="253"/>
    <n v="1"/>
    <x v="0"/>
    <x v="0"/>
    <x v="0"/>
  </r>
  <r>
    <x v="438"/>
    <s v="C1035"/>
    <d v="2024-01-19T06:00:00"/>
    <n v="35326.800000000003"/>
    <x v="2"/>
    <x v="2"/>
    <s v="Electronics"/>
    <x v="3"/>
    <x v="3"/>
    <s v="Tablet"/>
    <n v="0"/>
    <n v="4"/>
    <x v="349"/>
    <n v="1"/>
    <x v="1"/>
    <x v="0"/>
    <x v="0"/>
  </r>
  <r>
    <x v="439"/>
    <s v="C1040"/>
    <d v="2024-01-19T07:00:00"/>
    <n v="4113.37"/>
    <x v="1"/>
    <x v="0"/>
    <s v="Electronics"/>
    <x v="4"/>
    <x v="4"/>
    <s v="Mobile"/>
    <n v="1"/>
    <n v="0"/>
    <x v="350"/>
    <n v="0"/>
    <x v="2"/>
    <x v="0"/>
    <x v="1"/>
  </r>
  <r>
    <x v="440"/>
    <s v="C1076"/>
    <d v="2024-01-19T08:00:00"/>
    <n v="4287.6400000000003"/>
    <x v="0"/>
    <x v="1"/>
    <s v="Travel"/>
    <x v="0"/>
    <x v="4"/>
    <s v="Desktop"/>
    <n v="0"/>
    <n v="0"/>
    <x v="351"/>
    <n v="0"/>
    <x v="2"/>
    <x v="0"/>
    <x v="1"/>
  </r>
  <r>
    <x v="441"/>
    <s v="C1158"/>
    <d v="2024-01-19T09:00:00"/>
    <n v="49332.65"/>
    <x v="1"/>
    <x v="3"/>
    <s v="Food"/>
    <x v="4"/>
    <x v="1"/>
    <s v="Mobile"/>
    <n v="0"/>
    <n v="3"/>
    <x v="180"/>
    <n v="1"/>
    <x v="1"/>
    <x v="0"/>
    <x v="0"/>
  </r>
  <r>
    <x v="442"/>
    <s v="C1405"/>
    <d v="2024-01-19T10:00:00"/>
    <n v="18744.830000000002"/>
    <x v="2"/>
    <x v="3"/>
    <s v="Retail"/>
    <x v="3"/>
    <x v="2"/>
    <s v="Desktop"/>
    <n v="0"/>
    <n v="3"/>
    <x v="352"/>
    <n v="1"/>
    <x v="0"/>
    <x v="0"/>
    <x v="0"/>
  </r>
  <r>
    <x v="443"/>
    <s v="C1098"/>
    <d v="2024-01-19T11:00:00"/>
    <n v="18563.580000000002"/>
    <x v="0"/>
    <x v="3"/>
    <s v="Retail"/>
    <x v="2"/>
    <x v="0"/>
    <s v="Desktop"/>
    <n v="0"/>
    <n v="4"/>
    <x v="129"/>
    <n v="1"/>
    <x v="1"/>
    <x v="0"/>
    <x v="0"/>
  </r>
  <r>
    <x v="444"/>
    <s v="C1228"/>
    <d v="2024-01-19T12:00:00"/>
    <n v="40649.339999999997"/>
    <x v="2"/>
    <x v="1"/>
    <s v="Travel"/>
    <x v="1"/>
    <x v="3"/>
    <s v="Tablet"/>
    <n v="1"/>
    <n v="4"/>
    <x v="353"/>
    <n v="1"/>
    <x v="1"/>
    <x v="0"/>
    <x v="0"/>
  </r>
  <r>
    <x v="445"/>
    <s v="C1206"/>
    <d v="2024-01-19T13:00:00"/>
    <n v="47365.07"/>
    <x v="1"/>
    <x v="1"/>
    <s v="Electronics"/>
    <x v="3"/>
    <x v="4"/>
    <s v="Tablet"/>
    <n v="0"/>
    <n v="4"/>
    <x v="354"/>
    <n v="1"/>
    <x v="1"/>
    <x v="0"/>
    <x v="0"/>
  </r>
  <r>
    <x v="446"/>
    <s v="C1066"/>
    <d v="2024-01-19T14:00:00"/>
    <n v="49300.75"/>
    <x v="1"/>
    <x v="1"/>
    <s v="Food"/>
    <x v="0"/>
    <x v="3"/>
    <s v="Mobile"/>
    <n v="0"/>
    <n v="4"/>
    <x v="355"/>
    <n v="1"/>
    <x v="1"/>
    <x v="0"/>
    <x v="0"/>
  </r>
  <r>
    <x v="447"/>
    <s v="C1152"/>
    <d v="2024-01-19T15:00:00"/>
    <n v="37681.24"/>
    <x v="2"/>
    <x v="1"/>
    <s v="Travel"/>
    <x v="3"/>
    <x v="0"/>
    <s v="Desktop"/>
    <n v="0"/>
    <n v="4"/>
    <x v="356"/>
    <n v="1"/>
    <x v="1"/>
    <x v="0"/>
    <x v="0"/>
  </r>
  <r>
    <x v="448"/>
    <s v="C1207"/>
    <d v="2024-01-19T16:00:00"/>
    <n v="18844.169999999998"/>
    <x v="3"/>
    <x v="1"/>
    <s v="Retail"/>
    <x v="0"/>
    <x v="3"/>
    <s v="Tablet"/>
    <n v="0"/>
    <n v="0"/>
    <x v="357"/>
    <n v="0"/>
    <x v="2"/>
    <x v="0"/>
    <x v="1"/>
  </r>
  <r>
    <x v="449"/>
    <s v="C1044"/>
    <d v="2024-01-19T17:00:00"/>
    <n v="4220.8599999999997"/>
    <x v="0"/>
    <x v="0"/>
    <s v="Entertainment"/>
    <x v="0"/>
    <x v="2"/>
    <s v="Tablet"/>
    <n v="0"/>
    <n v="0"/>
    <x v="358"/>
    <n v="0"/>
    <x v="2"/>
    <x v="0"/>
    <x v="1"/>
  </r>
  <r>
    <x v="450"/>
    <s v="C1072"/>
    <d v="2024-01-19T18:00:00"/>
    <n v="38868.49"/>
    <x v="1"/>
    <x v="1"/>
    <s v="Electronics"/>
    <x v="0"/>
    <x v="1"/>
    <s v="Tablet"/>
    <n v="0"/>
    <n v="2"/>
    <x v="101"/>
    <n v="1"/>
    <x v="0"/>
    <x v="0"/>
    <x v="0"/>
  </r>
  <r>
    <x v="451"/>
    <s v="C1313"/>
    <d v="2024-01-19T19:00:00"/>
    <n v="27942.29"/>
    <x v="1"/>
    <x v="1"/>
    <s v="Entertainment"/>
    <x v="4"/>
    <x v="3"/>
    <s v="Tablet"/>
    <n v="0"/>
    <n v="2"/>
    <x v="308"/>
    <n v="1"/>
    <x v="0"/>
    <x v="0"/>
    <x v="0"/>
  </r>
  <r>
    <x v="452"/>
    <s v="C1348"/>
    <d v="2024-01-19T20:00:00"/>
    <n v="21239.89"/>
    <x v="0"/>
    <x v="1"/>
    <s v="Travel"/>
    <x v="2"/>
    <x v="1"/>
    <s v="Mobile"/>
    <n v="1"/>
    <n v="1"/>
    <x v="359"/>
    <n v="1"/>
    <x v="0"/>
    <x v="0"/>
    <x v="0"/>
  </r>
  <r>
    <x v="453"/>
    <s v="C1166"/>
    <d v="2024-01-19T21:00:00"/>
    <n v="45322.400000000001"/>
    <x v="2"/>
    <x v="1"/>
    <s v="Retail"/>
    <x v="3"/>
    <x v="0"/>
    <s v="Mobile"/>
    <n v="0"/>
    <n v="0"/>
    <x v="34"/>
    <n v="1"/>
    <x v="0"/>
    <x v="0"/>
    <x v="0"/>
  </r>
  <r>
    <x v="454"/>
    <s v="C1334"/>
    <d v="2024-01-19T22:00:00"/>
    <n v="5604.31"/>
    <x v="2"/>
    <x v="3"/>
    <s v="Food"/>
    <x v="2"/>
    <x v="1"/>
    <s v="Tablet"/>
    <n v="0"/>
    <n v="4"/>
    <x v="360"/>
    <n v="1"/>
    <x v="0"/>
    <x v="0"/>
    <x v="0"/>
  </r>
  <r>
    <x v="455"/>
    <s v="C1454"/>
    <d v="2024-01-19T23:00:00"/>
    <n v="24656.62"/>
    <x v="2"/>
    <x v="1"/>
    <s v="Entertainment"/>
    <x v="1"/>
    <x v="3"/>
    <s v="Tablet"/>
    <n v="0"/>
    <n v="1"/>
    <x v="361"/>
    <n v="0"/>
    <x v="2"/>
    <x v="0"/>
    <x v="1"/>
  </r>
  <r>
    <x v="456"/>
    <s v="C1232"/>
    <d v="2024-01-20T00:00:00"/>
    <n v="617.11"/>
    <x v="3"/>
    <x v="0"/>
    <s v="Food"/>
    <x v="3"/>
    <x v="3"/>
    <s v="Tablet"/>
    <n v="0"/>
    <n v="3"/>
    <x v="362"/>
    <n v="0"/>
    <x v="2"/>
    <x v="0"/>
    <x v="1"/>
  </r>
  <r>
    <x v="457"/>
    <s v="C1321"/>
    <d v="2024-01-20T01:00:00"/>
    <n v="23459.599999999999"/>
    <x v="3"/>
    <x v="0"/>
    <s v="Retail"/>
    <x v="2"/>
    <x v="4"/>
    <s v="Tablet"/>
    <n v="0"/>
    <n v="0"/>
    <x v="363"/>
    <n v="0"/>
    <x v="2"/>
    <x v="0"/>
    <x v="1"/>
  </r>
  <r>
    <x v="458"/>
    <s v="C1495"/>
    <d v="2024-01-20T02:00:00"/>
    <n v="2862.35"/>
    <x v="1"/>
    <x v="0"/>
    <s v="Entertainment"/>
    <x v="2"/>
    <x v="3"/>
    <s v="Tablet"/>
    <n v="0"/>
    <n v="2"/>
    <x v="364"/>
    <n v="0"/>
    <x v="2"/>
    <x v="0"/>
    <x v="1"/>
  </r>
  <r>
    <x v="459"/>
    <s v="C1009"/>
    <d v="2024-01-20T03:00:00"/>
    <n v="5984.95"/>
    <x v="2"/>
    <x v="2"/>
    <s v="Food"/>
    <x v="1"/>
    <x v="1"/>
    <s v="Desktop"/>
    <n v="1"/>
    <n v="0"/>
    <x v="126"/>
    <n v="0"/>
    <x v="2"/>
    <x v="0"/>
    <x v="1"/>
  </r>
  <r>
    <x v="460"/>
    <s v="C1396"/>
    <d v="2024-01-20T04:00:00"/>
    <n v="5920.44"/>
    <x v="0"/>
    <x v="3"/>
    <s v="Food"/>
    <x v="0"/>
    <x v="4"/>
    <s v="Desktop"/>
    <n v="1"/>
    <n v="0"/>
    <x v="365"/>
    <n v="0"/>
    <x v="2"/>
    <x v="0"/>
    <x v="1"/>
  </r>
  <r>
    <x v="461"/>
    <s v="C1321"/>
    <d v="2024-01-20T05:00:00"/>
    <n v="32478.05"/>
    <x v="1"/>
    <x v="1"/>
    <s v="Entertainment"/>
    <x v="3"/>
    <x v="3"/>
    <s v="Desktop"/>
    <n v="0"/>
    <n v="0"/>
    <x v="366"/>
    <n v="0"/>
    <x v="2"/>
    <x v="0"/>
    <x v="1"/>
  </r>
  <r>
    <x v="462"/>
    <s v="C1313"/>
    <d v="2024-01-20T06:00:00"/>
    <n v="37314.94"/>
    <x v="0"/>
    <x v="2"/>
    <s v="Retail"/>
    <x v="3"/>
    <x v="3"/>
    <s v="Desktop"/>
    <n v="0"/>
    <n v="0"/>
    <x v="309"/>
    <n v="0"/>
    <x v="2"/>
    <x v="0"/>
    <x v="1"/>
  </r>
  <r>
    <x v="463"/>
    <s v="C1010"/>
    <d v="2024-01-20T07:00:00"/>
    <n v="29189.27"/>
    <x v="1"/>
    <x v="1"/>
    <s v="Food"/>
    <x v="1"/>
    <x v="0"/>
    <s v="Tablet"/>
    <n v="0"/>
    <n v="3"/>
    <x v="367"/>
    <n v="1"/>
    <x v="1"/>
    <x v="0"/>
    <x v="0"/>
  </r>
  <r>
    <x v="464"/>
    <s v="C1001"/>
    <d v="2024-01-20T08:00:00"/>
    <n v="48110.52"/>
    <x v="3"/>
    <x v="2"/>
    <s v="Travel"/>
    <x v="0"/>
    <x v="4"/>
    <s v="Desktop"/>
    <n v="0"/>
    <n v="2"/>
    <x v="368"/>
    <n v="1"/>
    <x v="1"/>
    <x v="0"/>
    <x v="0"/>
  </r>
  <r>
    <x v="465"/>
    <s v="C1233"/>
    <d v="2024-01-20T09:00:00"/>
    <n v="18774.79"/>
    <x v="1"/>
    <x v="2"/>
    <s v="Entertainment"/>
    <x v="3"/>
    <x v="0"/>
    <s v="Desktop"/>
    <n v="0"/>
    <n v="0"/>
    <x v="357"/>
    <n v="0"/>
    <x v="2"/>
    <x v="0"/>
    <x v="1"/>
  </r>
  <r>
    <x v="466"/>
    <s v="C1180"/>
    <d v="2024-01-20T10:00:00"/>
    <n v="14321.32"/>
    <x v="3"/>
    <x v="0"/>
    <s v="Electronics"/>
    <x v="3"/>
    <x v="0"/>
    <s v="Mobile"/>
    <n v="0"/>
    <n v="3"/>
    <x v="303"/>
    <n v="1"/>
    <x v="0"/>
    <x v="0"/>
    <x v="0"/>
  </r>
  <r>
    <x v="467"/>
    <s v="C1488"/>
    <d v="2024-01-20T11:00:00"/>
    <n v="43436.53"/>
    <x v="1"/>
    <x v="0"/>
    <s v="Electronics"/>
    <x v="3"/>
    <x v="0"/>
    <s v="Desktop"/>
    <n v="0"/>
    <n v="1"/>
    <x v="196"/>
    <n v="1"/>
    <x v="0"/>
    <x v="0"/>
    <x v="0"/>
  </r>
  <r>
    <x v="468"/>
    <s v="C1267"/>
    <d v="2024-01-20T12:00:00"/>
    <n v="11218.61"/>
    <x v="2"/>
    <x v="2"/>
    <s v="Retail"/>
    <x v="0"/>
    <x v="2"/>
    <s v="Desktop"/>
    <n v="0"/>
    <n v="0"/>
    <x v="369"/>
    <n v="0"/>
    <x v="2"/>
    <x v="0"/>
    <x v="1"/>
  </r>
  <r>
    <x v="469"/>
    <s v="C1062"/>
    <d v="2024-01-20T13:00:00"/>
    <n v="48162.97"/>
    <x v="0"/>
    <x v="0"/>
    <s v="Travel"/>
    <x v="1"/>
    <x v="0"/>
    <s v="Tablet"/>
    <n v="0"/>
    <n v="3"/>
    <x v="370"/>
    <n v="1"/>
    <x v="1"/>
    <x v="0"/>
    <x v="0"/>
  </r>
  <r>
    <x v="470"/>
    <s v="C1452"/>
    <d v="2024-01-20T14:00:00"/>
    <n v="657.12"/>
    <x v="2"/>
    <x v="2"/>
    <s v="Food"/>
    <x v="3"/>
    <x v="1"/>
    <s v="Desktop"/>
    <n v="0"/>
    <n v="4"/>
    <x v="13"/>
    <n v="1"/>
    <x v="0"/>
    <x v="0"/>
    <x v="0"/>
  </r>
  <r>
    <x v="471"/>
    <s v="C1342"/>
    <d v="2024-01-20T15:00:00"/>
    <n v="48495.45"/>
    <x v="1"/>
    <x v="3"/>
    <s v="Electronics"/>
    <x v="2"/>
    <x v="3"/>
    <s v="Desktop"/>
    <n v="0"/>
    <n v="1"/>
    <x v="371"/>
    <n v="1"/>
    <x v="0"/>
    <x v="0"/>
    <x v="0"/>
  </r>
  <r>
    <x v="472"/>
    <s v="C1152"/>
    <d v="2024-01-20T16:00:00"/>
    <n v="2205.84"/>
    <x v="1"/>
    <x v="0"/>
    <s v="Retail"/>
    <x v="0"/>
    <x v="2"/>
    <s v="Tablet"/>
    <n v="1"/>
    <n v="2"/>
    <x v="372"/>
    <n v="1"/>
    <x v="0"/>
    <x v="0"/>
    <x v="0"/>
  </r>
  <r>
    <x v="473"/>
    <s v="C1318"/>
    <d v="2024-01-20T17:00:00"/>
    <n v="44562.6"/>
    <x v="1"/>
    <x v="0"/>
    <s v="Travel"/>
    <x v="4"/>
    <x v="0"/>
    <s v="Desktop"/>
    <n v="1"/>
    <n v="0"/>
    <x v="110"/>
    <n v="1"/>
    <x v="0"/>
    <x v="0"/>
    <x v="0"/>
  </r>
  <r>
    <x v="474"/>
    <s v="C1229"/>
    <d v="2024-01-20T18:00:00"/>
    <n v="26408.67"/>
    <x v="3"/>
    <x v="0"/>
    <s v="Travel"/>
    <x v="1"/>
    <x v="3"/>
    <s v="Tablet"/>
    <n v="0"/>
    <n v="0"/>
    <x v="158"/>
    <n v="0"/>
    <x v="2"/>
    <x v="0"/>
    <x v="1"/>
  </r>
  <r>
    <x v="475"/>
    <s v="C1002"/>
    <d v="2024-01-20T19:00:00"/>
    <n v="49648.59"/>
    <x v="0"/>
    <x v="3"/>
    <s v="Retail"/>
    <x v="2"/>
    <x v="4"/>
    <s v="Desktop"/>
    <n v="0"/>
    <n v="3"/>
    <x v="373"/>
    <n v="1"/>
    <x v="1"/>
    <x v="0"/>
    <x v="0"/>
  </r>
  <r>
    <x v="476"/>
    <s v="C1214"/>
    <d v="2024-01-20T20:00:00"/>
    <n v="3736.14"/>
    <x v="0"/>
    <x v="2"/>
    <s v="Retail"/>
    <x v="3"/>
    <x v="4"/>
    <s v="Mobile"/>
    <n v="0"/>
    <n v="2"/>
    <x v="374"/>
    <n v="0"/>
    <x v="2"/>
    <x v="0"/>
    <x v="1"/>
  </r>
  <r>
    <x v="477"/>
    <s v="C1136"/>
    <d v="2024-01-20T21:00:00"/>
    <n v="27715.02"/>
    <x v="1"/>
    <x v="1"/>
    <s v="Food"/>
    <x v="4"/>
    <x v="3"/>
    <s v="Mobile"/>
    <n v="0"/>
    <n v="4"/>
    <x v="281"/>
    <n v="1"/>
    <x v="1"/>
    <x v="0"/>
    <x v="0"/>
  </r>
  <r>
    <x v="478"/>
    <s v="C1370"/>
    <d v="2024-01-20T22:00:00"/>
    <n v="48466.66"/>
    <x v="1"/>
    <x v="0"/>
    <s v="Retail"/>
    <x v="1"/>
    <x v="1"/>
    <s v="Desktop"/>
    <n v="0"/>
    <n v="1"/>
    <x v="371"/>
    <n v="1"/>
    <x v="0"/>
    <x v="0"/>
    <x v="0"/>
  </r>
  <r>
    <x v="479"/>
    <s v="C1212"/>
    <d v="2024-01-20T23:00:00"/>
    <n v="26178.74"/>
    <x v="3"/>
    <x v="2"/>
    <s v="Food"/>
    <x v="0"/>
    <x v="3"/>
    <s v="Mobile"/>
    <n v="0"/>
    <n v="2"/>
    <x v="359"/>
    <n v="1"/>
    <x v="0"/>
    <x v="0"/>
    <x v="0"/>
  </r>
  <r>
    <x v="480"/>
    <s v="C1242"/>
    <d v="2024-01-21T00:00:00"/>
    <n v="31488.46"/>
    <x v="2"/>
    <x v="3"/>
    <s v="Food"/>
    <x v="4"/>
    <x v="3"/>
    <s v="Tablet"/>
    <n v="0"/>
    <n v="0"/>
    <x v="375"/>
    <n v="0"/>
    <x v="2"/>
    <x v="0"/>
    <x v="1"/>
  </r>
  <r>
    <x v="481"/>
    <s v="C1267"/>
    <d v="2024-01-21T01:00:00"/>
    <n v="34802.65"/>
    <x v="2"/>
    <x v="1"/>
    <s v="Entertainment"/>
    <x v="4"/>
    <x v="2"/>
    <s v="Desktop"/>
    <n v="0"/>
    <n v="3"/>
    <x v="376"/>
    <n v="1"/>
    <x v="1"/>
    <x v="0"/>
    <x v="0"/>
  </r>
  <r>
    <x v="482"/>
    <s v="C1375"/>
    <d v="2024-01-21T02:00:00"/>
    <n v="22754.33"/>
    <x v="0"/>
    <x v="0"/>
    <s v="Travel"/>
    <x v="2"/>
    <x v="4"/>
    <s v="Tablet"/>
    <n v="0"/>
    <n v="4"/>
    <x v="377"/>
    <n v="1"/>
    <x v="1"/>
    <x v="0"/>
    <x v="0"/>
  </r>
  <r>
    <x v="483"/>
    <s v="C1056"/>
    <d v="2024-01-21T03:00:00"/>
    <n v="31396.53"/>
    <x v="3"/>
    <x v="3"/>
    <s v="Travel"/>
    <x v="1"/>
    <x v="4"/>
    <s v="Mobile"/>
    <n v="1"/>
    <n v="3"/>
    <x v="378"/>
    <n v="1"/>
    <x v="1"/>
    <x v="0"/>
    <x v="0"/>
  </r>
  <r>
    <x v="484"/>
    <s v="C1003"/>
    <d v="2024-01-21T04:00:00"/>
    <n v="29236.5"/>
    <x v="1"/>
    <x v="3"/>
    <s v="Travel"/>
    <x v="2"/>
    <x v="0"/>
    <s v="Tablet"/>
    <n v="0"/>
    <n v="1"/>
    <x v="379"/>
    <n v="1"/>
    <x v="0"/>
    <x v="0"/>
    <x v="0"/>
  </r>
  <r>
    <x v="485"/>
    <s v="C1191"/>
    <d v="2024-01-21T05:00:00"/>
    <n v="45062.84"/>
    <x v="0"/>
    <x v="1"/>
    <s v="Entertainment"/>
    <x v="2"/>
    <x v="3"/>
    <s v="Mobile"/>
    <n v="0"/>
    <n v="2"/>
    <x v="380"/>
    <n v="1"/>
    <x v="1"/>
    <x v="0"/>
    <x v="0"/>
  </r>
  <r>
    <x v="486"/>
    <s v="C1061"/>
    <d v="2024-01-21T06:00:00"/>
    <n v="2320.0500000000002"/>
    <x v="3"/>
    <x v="2"/>
    <s v="Food"/>
    <x v="3"/>
    <x v="3"/>
    <s v="Mobile"/>
    <n v="0"/>
    <n v="3"/>
    <x v="381"/>
    <n v="0"/>
    <x v="2"/>
    <x v="0"/>
    <x v="1"/>
  </r>
  <r>
    <x v="487"/>
    <s v="C1346"/>
    <d v="2024-01-21T07:00:00"/>
    <n v="14084.11"/>
    <x v="2"/>
    <x v="0"/>
    <s v="Food"/>
    <x v="0"/>
    <x v="1"/>
    <s v="Mobile"/>
    <n v="0"/>
    <n v="3"/>
    <x v="382"/>
    <n v="1"/>
    <x v="0"/>
    <x v="0"/>
    <x v="0"/>
  </r>
  <r>
    <x v="488"/>
    <s v="C1127"/>
    <d v="2024-01-21T08:00:00"/>
    <n v="47523.05"/>
    <x v="3"/>
    <x v="0"/>
    <s v="Retail"/>
    <x v="4"/>
    <x v="4"/>
    <s v="Tablet"/>
    <n v="0"/>
    <n v="0"/>
    <x v="174"/>
    <n v="1"/>
    <x v="0"/>
    <x v="0"/>
    <x v="0"/>
  </r>
  <r>
    <x v="489"/>
    <s v="C1449"/>
    <d v="2024-01-21T09:00:00"/>
    <n v="44518.68"/>
    <x v="2"/>
    <x v="2"/>
    <s v="Entertainment"/>
    <x v="1"/>
    <x v="1"/>
    <s v="Mobile"/>
    <n v="0"/>
    <n v="3"/>
    <x v="383"/>
    <n v="1"/>
    <x v="1"/>
    <x v="0"/>
    <x v="0"/>
  </r>
  <r>
    <x v="490"/>
    <s v="C1116"/>
    <d v="2024-01-21T10:00:00"/>
    <n v="22810.05"/>
    <x v="3"/>
    <x v="2"/>
    <s v="Retail"/>
    <x v="0"/>
    <x v="2"/>
    <s v="Desktop"/>
    <n v="0"/>
    <n v="4"/>
    <x v="377"/>
    <n v="1"/>
    <x v="1"/>
    <x v="0"/>
    <x v="0"/>
  </r>
  <r>
    <x v="491"/>
    <s v="C1022"/>
    <d v="2024-01-21T11:00:00"/>
    <n v="31025.62"/>
    <x v="0"/>
    <x v="2"/>
    <s v="Entertainment"/>
    <x v="0"/>
    <x v="0"/>
    <s v="Mobile"/>
    <n v="0"/>
    <n v="2"/>
    <x v="283"/>
    <n v="1"/>
    <x v="0"/>
    <x v="0"/>
    <x v="0"/>
  </r>
  <r>
    <x v="492"/>
    <s v="C1176"/>
    <d v="2024-01-21T12:00:00"/>
    <n v="13905.19"/>
    <x v="2"/>
    <x v="1"/>
    <s v="Retail"/>
    <x v="1"/>
    <x v="1"/>
    <s v="Desktop"/>
    <n v="0"/>
    <n v="1"/>
    <x v="206"/>
    <n v="0"/>
    <x v="2"/>
    <x v="0"/>
    <x v="1"/>
  </r>
  <r>
    <x v="493"/>
    <s v="C1028"/>
    <d v="2024-01-21T13:00:00"/>
    <n v="9446.65"/>
    <x v="0"/>
    <x v="1"/>
    <s v="Electronics"/>
    <x v="0"/>
    <x v="4"/>
    <s v="Desktop"/>
    <n v="0"/>
    <n v="3"/>
    <x v="384"/>
    <n v="1"/>
    <x v="0"/>
    <x v="0"/>
    <x v="0"/>
  </r>
  <r>
    <x v="494"/>
    <s v="C1427"/>
    <d v="2024-01-21T14:00:00"/>
    <n v="23211.74"/>
    <x v="0"/>
    <x v="0"/>
    <s v="Travel"/>
    <x v="3"/>
    <x v="2"/>
    <s v="Desktop"/>
    <n v="0"/>
    <n v="4"/>
    <x v="385"/>
    <n v="1"/>
    <x v="1"/>
    <x v="0"/>
    <x v="0"/>
  </r>
  <r>
    <x v="495"/>
    <s v="C1478"/>
    <d v="2024-01-21T15:00:00"/>
    <n v="17699.939999999999"/>
    <x v="2"/>
    <x v="1"/>
    <s v="Travel"/>
    <x v="0"/>
    <x v="3"/>
    <s v="Desktop"/>
    <n v="0"/>
    <n v="1"/>
    <x v="386"/>
    <n v="0"/>
    <x v="2"/>
    <x v="0"/>
    <x v="1"/>
  </r>
  <r>
    <x v="496"/>
    <s v="C1370"/>
    <d v="2024-01-21T16:00:00"/>
    <n v="29203.62"/>
    <x v="2"/>
    <x v="3"/>
    <s v="Food"/>
    <x v="3"/>
    <x v="2"/>
    <s v="Tablet"/>
    <n v="0"/>
    <n v="4"/>
    <x v="387"/>
    <n v="1"/>
    <x v="1"/>
    <x v="0"/>
    <x v="0"/>
  </r>
  <r>
    <x v="497"/>
    <s v="C1159"/>
    <d v="2024-01-21T17:00:00"/>
    <n v="3932.85"/>
    <x v="1"/>
    <x v="0"/>
    <s v="Electronics"/>
    <x v="4"/>
    <x v="1"/>
    <s v="Desktop"/>
    <n v="0"/>
    <n v="3"/>
    <x v="388"/>
    <n v="0"/>
    <x v="2"/>
    <x v="0"/>
    <x v="1"/>
  </r>
  <r>
    <x v="498"/>
    <s v="C1231"/>
    <d v="2024-01-21T18:00:00"/>
    <n v="48721.02"/>
    <x v="1"/>
    <x v="1"/>
    <s v="Travel"/>
    <x v="4"/>
    <x v="4"/>
    <s v="Mobile"/>
    <n v="0"/>
    <n v="3"/>
    <x v="338"/>
    <n v="1"/>
    <x v="1"/>
    <x v="0"/>
    <x v="0"/>
  </r>
  <r>
    <x v="499"/>
    <s v="C1463"/>
    <d v="2024-01-21T19:00:00"/>
    <n v="49311.23"/>
    <x v="1"/>
    <x v="2"/>
    <s v="Food"/>
    <x v="2"/>
    <x v="1"/>
    <s v="Desktop"/>
    <n v="0"/>
    <n v="2"/>
    <x v="389"/>
    <n v="1"/>
    <x v="1"/>
    <x v="0"/>
    <x v="0"/>
  </r>
  <r>
    <x v="500"/>
    <s v="C1414"/>
    <d v="2024-01-21T20:00:00"/>
    <n v="34923.18"/>
    <x v="0"/>
    <x v="3"/>
    <s v="Electronics"/>
    <x v="3"/>
    <x v="3"/>
    <s v="Mobile"/>
    <n v="1"/>
    <n v="0"/>
    <x v="132"/>
    <n v="1"/>
    <x v="0"/>
    <x v="0"/>
    <x v="0"/>
  </r>
  <r>
    <x v="501"/>
    <s v="C1112"/>
    <d v="2024-01-21T21:00:00"/>
    <n v="26828.01"/>
    <x v="0"/>
    <x v="2"/>
    <s v="Travel"/>
    <x v="4"/>
    <x v="3"/>
    <s v="Tablet"/>
    <n v="1"/>
    <n v="4"/>
    <x v="390"/>
    <n v="1"/>
    <x v="1"/>
    <x v="0"/>
    <x v="0"/>
  </r>
  <r>
    <x v="502"/>
    <s v="C1266"/>
    <d v="2024-01-21T22:00:00"/>
    <n v="15510.9"/>
    <x v="1"/>
    <x v="0"/>
    <s v="Retail"/>
    <x v="0"/>
    <x v="4"/>
    <s v="Desktop"/>
    <n v="0"/>
    <n v="0"/>
    <x v="391"/>
    <n v="0"/>
    <x v="2"/>
    <x v="0"/>
    <x v="1"/>
  </r>
  <r>
    <x v="503"/>
    <s v="C1273"/>
    <d v="2024-01-21T23:00:00"/>
    <n v="40699.06"/>
    <x v="0"/>
    <x v="2"/>
    <s v="Entertainment"/>
    <x v="1"/>
    <x v="0"/>
    <s v="Mobile"/>
    <n v="1"/>
    <n v="0"/>
    <x v="13"/>
    <n v="1"/>
    <x v="0"/>
    <x v="0"/>
    <x v="0"/>
  </r>
  <r>
    <x v="504"/>
    <s v="C1060"/>
    <d v="2024-01-22T00:00:00"/>
    <n v="34252.32"/>
    <x v="0"/>
    <x v="1"/>
    <s v="Electronics"/>
    <x v="1"/>
    <x v="2"/>
    <s v="Tablet"/>
    <n v="0"/>
    <n v="1"/>
    <x v="259"/>
    <n v="1"/>
    <x v="0"/>
    <x v="0"/>
    <x v="0"/>
  </r>
  <r>
    <x v="505"/>
    <s v="C1222"/>
    <d v="2024-01-22T01:00:00"/>
    <n v="8172.72"/>
    <x v="2"/>
    <x v="1"/>
    <s v="Food"/>
    <x v="3"/>
    <x v="2"/>
    <s v="Tablet"/>
    <n v="1"/>
    <n v="1"/>
    <x v="392"/>
    <n v="1"/>
    <x v="0"/>
    <x v="0"/>
    <x v="0"/>
  </r>
  <r>
    <x v="506"/>
    <s v="C1140"/>
    <d v="2024-01-22T02:00:00"/>
    <n v="45550.81"/>
    <x v="2"/>
    <x v="0"/>
    <s v="Electronics"/>
    <x v="2"/>
    <x v="3"/>
    <s v="Mobile"/>
    <n v="0"/>
    <n v="4"/>
    <x v="393"/>
    <n v="1"/>
    <x v="1"/>
    <x v="0"/>
    <x v="0"/>
  </r>
  <r>
    <x v="507"/>
    <s v="C1354"/>
    <d v="2024-01-22T03:00:00"/>
    <n v="41135.74"/>
    <x v="0"/>
    <x v="2"/>
    <s v="Food"/>
    <x v="0"/>
    <x v="1"/>
    <s v="Desktop"/>
    <n v="0"/>
    <n v="0"/>
    <x v="253"/>
    <n v="1"/>
    <x v="0"/>
    <x v="0"/>
    <x v="0"/>
  </r>
  <r>
    <x v="508"/>
    <s v="C1016"/>
    <d v="2024-01-22T04:00:00"/>
    <n v="47492.51"/>
    <x v="1"/>
    <x v="0"/>
    <s v="Electronics"/>
    <x v="3"/>
    <x v="1"/>
    <s v="Tablet"/>
    <n v="0"/>
    <n v="2"/>
    <x v="394"/>
    <n v="1"/>
    <x v="1"/>
    <x v="0"/>
    <x v="0"/>
  </r>
  <r>
    <x v="509"/>
    <s v="C1281"/>
    <d v="2024-01-22T05:00:00"/>
    <n v="36299.69"/>
    <x v="3"/>
    <x v="2"/>
    <s v="Food"/>
    <x v="1"/>
    <x v="0"/>
    <s v="Mobile"/>
    <n v="0"/>
    <n v="0"/>
    <x v="395"/>
    <n v="0"/>
    <x v="2"/>
    <x v="0"/>
    <x v="1"/>
  </r>
  <r>
    <x v="510"/>
    <s v="C1209"/>
    <d v="2024-01-22T06:00:00"/>
    <n v="30690.09"/>
    <x v="1"/>
    <x v="3"/>
    <s v="Travel"/>
    <x v="3"/>
    <x v="1"/>
    <s v="Desktop"/>
    <n v="0"/>
    <n v="1"/>
    <x v="396"/>
    <n v="1"/>
    <x v="0"/>
    <x v="0"/>
    <x v="0"/>
  </r>
  <r>
    <x v="511"/>
    <s v="C1279"/>
    <d v="2024-01-22T07:00:00"/>
    <n v="20941.240000000002"/>
    <x v="3"/>
    <x v="1"/>
    <s v="Retail"/>
    <x v="0"/>
    <x v="2"/>
    <s v="Tablet"/>
    <n v="1"/>
    <n v="0"/>
    <x v="397"/>
    <n v="1"/>
    <x v="0"/>
    <x v="0"/>
    <x v="0"/>
  </r>
  <r>
    <x v="512"/>
    <s v="C1112"/>
    <d v="2024-01-22T08:00:00"/>
    <n v="46639.79"/>
    <x v="1"/>
    <x v="0"/>
    <s v="Travel"/>
    <x v="4"/>
    <x v="1"/>
    <s v="Mobile"/>
    <n v="0"/>
    <n v="3"/>
    <x v="398"/>
    <n v="1"/>
    <x v="1"/>
    <x v="0"/>
    <x v="0"/>
  </r>
  <r>
    <x v="513"/>
    <s v="C1086"/>
    <d v="2024-01-22T09:00:00"/>
    <n v="43309.89"/>
    <x v="2"/>
    <x v="3"/>
    <s v="Retail"/>
    <x v="0"/>
    <x v="0"/>
    <s v="Tablet"/>
    <n v="0"/>
    <n v="3"/>
    <x v="399"/>
    <n v="1"/>
    <x v="1"/>
    <x v="0"/>
    <x v="0"/>
  </r>
  <r>
    <x v="514"/>
    <s v="C1297"/>
    <d v="2024-01-22T10:00:00"/>
    <n v="2308.67"/>
    <x v="0"/>
    <x v="3"/>
    <s v="Travel"/>
    <x v="4"/>
    <x v="2"/>
    <s v="Tablet"/>
    <n v="0"/>
    <n v="2"/>
    <x v="400"/>
    <n v="0"/>
    <x v="2"/>
    <x v="0"/>
    <x v="1"/>
  </r>
  <r>
    <x v="515"/>
    <s v="C1419"/>
    <d v="2024-01-22T11:00:00"/>
    <n v="1367.03"/>
    <x v="0"/>
    <x v="0"/>
    <s v="Travel"/>
    <x v="4"/>
    <x v="1"/>
    <s v="Mobile"/>
    <n v="0"/>
    <n v="4"/>
    <x v="401"/>
    <n v="1"/>
    <x v="0"/>
    <x v="0"/>
    <x v="0"/>
  </r>
  <r>
    <x v="516"/>
    <s v="C1316"/>
    <d v="2024-01-22T12:00:00"/>
    <n v="18854.349999999999"/>
    <x v="2"/>
    <x v="0"/>
    <s v="Electronics"/>
    <x v="4"/>
    <x v="2"/>
    <s v="Tablet"/>
    <n v="0"/>
    <n v="0"/>
    <x v="402"/>
    <n v="0"/>
    <x v="2"/>
    <x v="0"/>
    <x v="1"/>
  </r>
  <r>
    <x v="517"/>
    <s v="C1081"/>
    <d v="2024-01-22T13:00:00"/>
    <n v="40537.14"/>
    <x v="3"/>
    <x v="3"/>
    <s v="Entertainment"/>
    <x v="3"/>
    <x v="3"/>
    <s v="Mobile"/>
    <n v="0"/>
    <n v="3"/>
    <x v="403"/>
    <n v="1"/>
    <x v="1"/>
    <x v="0"/>
    <x v="0"/>
  </r>
  <r>
    <x v="518"/>
    <s v="C1033"/>
    <d v="2024-01-22T14:00:00"/>
    <n v="49364.44"/>
    <x v="3"/>
    <x v="2"/>
    <s v="Food"/>
    <x v="1"/>
    <x v="3"/>
    <s v="Desktop"/>
    <n v="0"/>
    <n v="4"/>
    <x v="404"/>
    <n v="1"/>
    <x v="1"/>
    <x v="0"/>
    <x v="0"/>
  </r>
  <r>
    <x v="519"/>
    <s v="C1460"/>
    <d v="2024-01-22T15:00:00"/>
    <n v="7563.32"/>
    <x v="3"/>
    <x v="3"/>
    <s v="Food"/>
    <x v="3"/>
    <x v="3"/>
    <s v="Mobile"/>
    <n v="0"/>
    <n v="3"/>
    <x v="405"/>
    <n v="1"/>
    <x v="0"/>
    <x v="0"/>
    <x v="0"/>
  </r>
  <r>
    <x v="520"/>
    <s v="C1124"/>
    <d v="2024-01-22T16:00:00"/>
    <n v="29726.83"/>
    <x v="2"/>
    <x v="0"/>
    <s v="Food"/>
    <x v="1"/>
    <x v="1"/>
    <s v="Desktop"/>
    <n v="0"/>
    <n v="4"/>
    <x v="51"/>
    <n v="1"/>
    <x v="1"/>
    <x v="0"/>
    <x v="0"/>
  </r>
  <r>
    <x v="521"/>
    <s v="C1164"/>
    <d v="2024-01-22T17:00:00"/>
    <n v="19075.5"/>
    <x v="3"/>
    <x v="3"/>
    <s v="Retail"/>
    <x v="0"/>
    <x v="0"/>
    <s v="Tablet"/>
    <n v="0"/>
    <n v="4"/>
    <x v="406"/>
    <n v="1"/>
    <x v="0"/>
    <x v="0"/>
    <x v="0"/>
  </r>
  <r>
    <x v="522"/>
    <s v="C1248"/>
    <d v="2024-01-22T18:00:00"/>
    <n v="48497.22"/>
    <x v="2"/>
    <x v="2"/>
    <s v="Food"/>
    <x v="2"/>
    <x v="2"/>
    <s v="Mobile"/>
    <n v="0"/>
    <n v="3"/>
    <x v="48"/>
    <n v="1"/>
    <x v="1"/>
    <x v="0"/>
    <x v="0"/>
  </r>
  <r>
    <x v="523"/>
    <s v="C1341"/>
    <d v="2024-01-22T19:00:00"/>
    <n v="42113.84"/>
    <x v="1"/>
    <x v="1"/>
    <s v="Food"/>
    <x v="0"/>
    <x v="4"/>
    <s v="Mobile"/>
    <n v="1"/>
    <n v="1"/>
    <x v="179"/>
    <n v="1"/>
    <x v="1"/>
    <x v="0"/>
    <x v="0"/>
  </r>
  <r>
    <x v="524"/>
    <s v="C1276"/>
    <d v="2024-01-22T20:00:00"/>
    <n v="41924.519999999997"/>
    <x v="1"/>
    <x v="1"/>
    <s v="Electronics"/>
    <x v="3"/>
    <x v="3"/>
    <s v="Mobile"/>
    <n v="0"/>
    <n v="4"/>
    <x v="407"/>
    <n v="1"/>
    <x v="1"/>
    <x v="0"/>
    <x v="0"/>
  </r>
  <r>
    <x v="525"/>
    <s v="C1471"/>
    <d v="2024-01-22T21:00:00"/>
    <n v="23461.22"/>
    <x v="2"/>
    <x v="3"/>
    <s v="Travel"/>
    <x v="3"/>
    <x v="3"/>
    <s v="Mobile"/>
    <n v="0"/>
    <n v="0"/>
    <x v="408"/>
    <n v="0"/>
    <x v="2"/>
    <x v="0"/>
    <x v="1"/>
  </r>
  <r>
    <x v="526"/>
    <s v="C1239"/>
    <d v="2024-01-22T22:00:00"/>
    <n v="20770.23"/>
    <x v="0"/>
    <x v="2"/>
    <s v="Food"/>
    <x v="1"/>
    <x v="4"/>
    <s v="Desktop"/>
    <n v="0"/>
    <n v="3"/>
    <x v="409"/>
    <n v="1"/>
    <x v="0"/>
    <x v="0"/>
    <x v="0"/>
  </r>
  <r>
    <x v="527"/>
    <s v="C1459"/>
    <d v="2024-01-22T23:00:00"/>
    <n v="13706.68"/>
    <x v="1"/>
    <x v="1"/>
    <s v="Entertainment"/>
    <x v="3"/>
    <x v="4"/>
    <s v="Desktop"/>
    <n v="0"/>
    <n v="1"/>
    <x v="410"/>
    <n v="0"/>
    <x v="2"/>
    <x v="0"/>
    <x v="1"/>
  </r>
  <r>
    <x v="528"/>
    <s v="C1105"/>
    <d v="2024-01-23T00:00:00"/>
    <n v="2865.96"/>
    <x v="3"/>
    <x v="3"/>
    <s v="Food"/>
    <x v="4"/>
    <x v="1"/>
    <s v="Tablet"/>
    <n v="0"/>
    <n v="3"/>
    <x v="411"/>
    <n v="0"/>
    <x v="2"/>
    <x v="0"/>
    <x v="1"/>
  </r>
  <r>
    <x v="529"/>
    <s v="C1219"/>
    <d v="2024-01-23T01:00:00"/>
    <n v="43242.879999999997"/>
    <x v="2"/>
    <x v="3"/>
    <s v="Retail"/>
    <x v="3"/>
    <x v="2"/>
    <s v="Tablet"/>
    <n v="0"/>
    <n v="2"/>
    <x v="77"/>
    <n v="1"/>
    <x v="1"/>
    <x v="0"/>
    <x v="0"/>
  </r>
  <r>
    <x v="530"/>
    <s v="C1335"/>
    <d v="2024-01-23T02:00:00"/>
    <n v="40654.410000000003"/>
    <x v="3"/>
    <x v="2"/>
    <s v="Retail"/>
    <x v="1"/>
    <x v="3"/>
    <s v="Tablet"/>
    <n v="0"/>
    <n v="0"/>
    <x v="412"/>
    <n v="1"/>
    <x v="0"/>
    <x v="0"/>
    <x v="0"/>
  </r>
  <r>
    <x v="531"/>
    <s v="C1341"/>
    <d v="2024-01-23T03:00:00"/>
    <n v="49985.9"/>
    <x v="3"/>
    <x v="0"/>
    <s v="Retail"/>
    <x v="1"/>
    <x v="0"/>
    <s v="Tablet"/>
    <n v="0"/>
    <n v="2"/>
    <x v="413"/>
    <n v="1"/>
    <x v="1"/>
    <x v="0"/>
    <x v="0"/>
  </r>
  <r>
    <x v="532"/>
    <s v="C1005"/>
    <d v="2024-01-23T04:00:00"/>
    <n v="49832.01"/>
    <x v="0"/>
    <x v="3"/>
    <s v="Food"/>
    <x v="4"/>
    <x v="1"/>
    <s v="Mobile"/>
    <n v="0"/>
    <n v="4"/>
    <x v="414"/>
    <n v="1"/>
    <x v="1"/>
    <x v="0"/>
    <x v="0"/>
  </r>
  <r>
    <x v="533"/>
    <s v="C1302"/>
    <d v="2024-01-23T05:00:00"/>
    <n v="27793.81"/>
    <x v="3"/>
    <x v="0"/>
    <s v="Electronics"/>
    <x v="1"/>
    <x v="1"/>
    <s v="Desktop"/>
    <n v="0"/>
    <n v="4"/>
    <x v="415"/>
    <n v="1"/>
    <x v="1"/>
    <x v="0"/>
    <x v="0"/>
  </r>
  <r>
    <x v="534"/>
    <s v="C1455"/>
    <d v="2024-01-23T06:00:00"/>
    <n v="38460.92"/>
    <x v="0"/>
    <x v="0"/>
    <s v="Entertainment"/>
    <x v="2"/>
    <x v="0"/>
    <s v="Desktop"/>
    <n v="0"/>
    <n v="2"/>
    <x v="416"/>
    <n v="1"/>
    <x v="0"/>
    <x v="0"/>
    <x v="0"/>
  </r>
  <r>
    <x v="535"/>
    <s v="C1226"/>
    <d v="2024-01-23T07:00:00"/>
    <n v="47241.05"/>
    <x v="1"/>
    <x v="1"/>
    <s v="Food"/>
    <x v="0"/>
    <x v="0"/>
    <s v="Desktop"/>
    <n v="0"/>
    <n v="2"/>
    <x v="307"/>
    <n v="1"/>
    <x v="0"/>
    <x v="0"/>
    <x v="0"/>
  </r>
  <r>
    <x v="536"/>
    <s v="C1323"/>
    <d v="2024-01-23T08:00:00"/>
    <n v="42489.89"/>
    <x v="2"/>
    <x v="0"/>
    <s v="Electronics"/>
    <x v="3"/>
    <x v="0"/>
    <s v="Desktop"/>
    <n v="0"/>
    <n v="4"/>
    <x v="194"/>
    <n v="1"/>
    <x v="1"/>
    <x v="0"/>
    <x v="0"/>
  </r>
  <r>
    <x v="537"/>
    <s v="C1301"/>
    <d v="2024-01-23T09:00:00"/>
    <n v="12405.04"/>
    <x v="3"/>
    <x v="2"/>
    <s v="Electronics"/>
    <x v="2"/>
    <x v="4"/>
    <s v="Tablet"/>
    <n v="0"/>
    <n v="1"/>
    <x v="417"/>
    <n v="0"/>
    <x v="2"/>
    <x v="0"/>
    <x v="1"/>
  </r>
  <r>
    <x v="538"/>
    <s v="C1094"/>
    <d v="2024-01-23T10:00:00"/>
    <n v="22554.68"/>
    <x v="2"/>
    <x v="1"/>
    <s v="Food"/>
    <x v="3"/>
    <x v="3"/>
    <s v="Mobile"/>
    <n v="0"/>
    <n v="0"/>
    <x v="418"/>
    <n v="0"/>
    <x v="2"/>
    <x v="0"/>
    <x v="1"/>
  </r>
  <r>
    <x v="539"/>
    <s v="C1224"/>
    <d v="2024-01-23T11:00:00"/>
    <n v="6501.51"/>
    <x v="3"/>
    <x v="1"/>
    <s v="Food"/>
    <x v="2"/>
    <x v="4"/>
    <s v="Desktop"/>
    <n v="0"/>
    <n v="3"/>
    <x v="419"/>
    <n v="1"/>
    <x v="0"/>
    <x v="0"/>
    <x v="0"/>
  </r>
  <r>
    <x v="540"/>
    <s v="C1076"/>
    <d v="2024-01-23T12:00:00"/>
    <n v="47704.85"/>
    <x v="2"/>
    <x v="1"/>
    <s v="Electronics"/>
    <x v="3"/>
    <x v="3"/>
    <s v="Mobile"/>
    <n v="0"/>
    <n v="2"/>
    <x v="420"/>
    <n v="1"/>
    <x v="0"/>
    <x v="0"/>
    <x v="0"/>
  </r>
  <r>
    <x v="541"/>
    <s v="C1374"/>
    <d v="2024-01-23T13:00:00"/>
    <n v="30328.42"/>
    <x v="3"/>
    <x v="3"/>
    <s v="Electronics"/>
    <x v="4"/>
    <x v="4"/>
    <s v="Mobile"/>
    <n v="0"/>
    <n v="0"/>
    <x v="183"/>
    <n v="0"/>
    <x v="2"/>
    <x v="0"/>
    <x v="1"/>
  </r>
  <r>
    <x v="542"/>
    <s v="C1105"/>
    <d v="2024-01-23T14:00:00"/>
    <n v="11470.71"/>
    <x v="3"/>
    <x v="3"/>
    <s v="Electronics"/>
    <x v="1"/>
    <x v="2"/>
    <s v="Mobile"/>
    <n v="0"/>
    <n v="3"/>
    <x v="421"/>
    <n v="1"/>
    <x v="0"/>
    <x v="0"/>
    <x v="0"/>
  </r>
  <r>
    <x v="543"/>
    <s v="C1262"/>
    <d v="2024-01-23T15:00:00"/>
    <n v="33601.449999999997"/>
    <x v="3"/>
    <x v="0"/>
    <s v="Food"/>
    <x v="1"/>
    <x v="3"/>
    <s v="Mobile"/>
    <n v="0"/>
    <n v="3"/>
    <x v="129"/>
    <n v="1"/>
    <x v="1"/>
    <x v="0"/>
    <x v="0"/>
  </r>
  <r>
    <x v="544"/>
    <s v="C1049"/>
    <d v="2024-01-23T16:00:00"/>
    <n v="30925.51"/>
    <x v="3"/>
    <x v="1"/>
    <s v="Electronics"/>
    <x v="4"/>
    <x v="1"/>
    <s v="Desktop"/>
    <n v="0"/>
    <n v="2"/>
    <x v="113"/>
    <n v="1"/>
    <x v="0"/>
    <x v="0"/>
    <x v="0"/>
  </r>
  <r>
    <x v="545"/>
    <s v="C1083"/>
    <d v="2024-01-23T17:00:00"/>
    <n v="17940.23"/>
    <x v="3"/>
    <x v="1"/>
    <s v="Retail"/>
    <x v="2"/>
    <x v="3"/>
    <s v="Desktop"/>
    <n v="0"/>
    <n v="1"/>
    <x v="364"/>
    <n v="0"/>
    <x v="2"/>
    <x v="0"/>
    <x v="1"/>
  </r>
  <r>
    <x v="546"/>
    <s v="C1151"/>
    <d v="2024-01-23T18:00:00"/>
    <n v="5722.2"/>
    <x v="3"/>
    <x v="2"/>
    <s v="Food"/>
    <x v="0"/>
    <x v="3"/>
    <s v="Desktop"/>
    <n v="0"/>
    <n v="1"/>
    <x v="323"/>
    <n v="0"/>
    <x v="2"/>
    <x v="0"/>
    <x v="1"/>
  </r>
  <r>
    <x v="547"/>
    <s v="C1294"/>
    <d v="2024-01-23T19:00:00"/>
    <n v="33595.08"/>
    <x v="3"/>
    <x v="0"/>
    <s v="Retail"/>
    <x v="2"/>
    <x v="3"/>
    <s v="Tablet"/>
    <n v="0"/>
    <n v="0"/>
    <x v="324"/>
    <n v="0"/>
    <x v="2"/>
    <x v="0"/>
    <x v="1"/>
  </r>
  <r>
    <x v="548"/>
    <s v="C1105"/>
    <d v="2024-01-23T20:00:00"/>
    <n v="26039.37"/>
    <x v="3"/>
    <x v="2"/>
    <s v="Travel"/>
    <x v="1"/>
    <x v="2"/>
    <s v="Desktop"/>
    <n v="0"/>
    <n v="0"/>
    <x v="126"/>
    <n v="0"/>
    <x v="2"/>
    <x v="0"/>
    <x v="1"/>
  </r>
  <r>
    <x v="549"/>
    <s v="C1208"/>
    <d v="2024-01-23T21:00:00"/>
    <n v="38627.300000000003"/>
    <x v="3"/>
    <x v="0"/>
    <s v="Food"/>
    <x v="0"/>
    <x v="4"/>
    <s v="Tablet"/>
    <n v="0"/>
    <n v="4"/>
    <x v="422"/>
    <n v="1"/>
    <x v="1"/>
    <x v="0"/>
    <x v="0"/>
  </r>
  <r>
    <x v="550"/>
    <s v="C1101"/>
    <d v="2024-01-23T22:00:00"/>
    <n v="26032.17"/>
    <x v="2"/>
    <x v="0"/>
    <s v="Travel"/>
    <x v="3"/>
    <x v="1"/>
    <s v="Tablet"/>
    <n v="0"/>
    <n v="1"/>
    <x v="423"/>
    <n v="1"/>
    <x v="0"/>
    <x v="0"/>
    <x v="0"/>
  </r>
  <r>
    <x v="551"/>
    <s v="C1099"/>
    <d v="2024-01-23T23:00:00"/>
    <n v="42616.47"/>
    <x v="0"/>
    <x v="3"/>
    <s v="Electronics"/>
    <x v="0"/>
    <x v="4"/>
    <s v="Tablet"/>
    <n v="0"/>
    <n v="0"/>
    <x v="405"/>
    <n v="1"/>
    <x v="0"/>
    <x v="0"/>
    <x v="0"/>
  </r>
  <r>
    <x v="552"/>
    <s v="C1269"/>
    <d v="2024-01-24T00:00:00"/>
    <n v="27617.75"/>
    <x v="3"/>
    <x v="3"/>
    <s v="Electronics"/>
    <x v="2"/>
    <x v="4"/>
    <s v="Desktop"/>
    <n v="1"/>
    <n v="4"/>
    <x v="424"/>
    <n v="1"/>
    <x v="1"/>
    <x v="0"/>
    <x v="0"/>
  </r>
  <r>
    <x v="553"/>
    <s v="C1242"/>
    <d v="2024-01-24T01:00:00"/>
    <n v="28068.85"/>
    <x v="0"/>
    <x v="2"/>
    <s v="Entertainment"/>
    <x v="4"/>
    <x v="0"/>
    <s v="Desktop"/>
    <n v="1"/>
    <n v="3"/>
    <x v="425"/>
    <n v="1"/>
    <x v="1"/>
    <x v="0"/>
    <x v="0"/>
  </r>
  <r>
    <x v="554"/>
    <s v="C1158"/>
    <d v="2024-01-24T02:00:00"/>
    <n v="43838.85"/>
    <x v="3"/>
    <x v="0"/>
    <s v="Electronics"/>
    <x v="3"/>
    <x v="2"/>
    <s v="Desktop"/>
    <n v="1"/>
    <n v="0"/>
    <x v="426"/>
    <n v="1"/>
    <x v="0"/>
    <x v="0"/>
    <x v="0"/>
  </r>
  <r>
    <x v="555"/>
    <s v="C1034"/>
    <d v="2024-01-24T03:00:00"/>
    <n v="20203.97"/>
    <x v="3"/>
    <x v="1"/>
    <s v="Travel"/>
    <x v="2"/>
    <x v="0"/>
    <s v="Tablet"/>
    <n v="0"/>
    <n v="4"/>
    <x v="427"/>
    <n v="1"/>
    <x v="1"/>
    <x v="0"/>
    <x v="0"/>
  </r>
  <r>
    <x v="556"/>
    <s v="C1075"/>
    <d v="2024-01-24T04:00:00"/>
    <n v="6744.06"/>
    <x v="2"/>
    <x v="3"/>
    <s v="Electronics"/>
    <x v="3"/>
    <x v="2"/>
    <s v="Tablet"/>
    <n v="0"/>
    <n v="1"/>
    <x v="428"/>
    <n v="0"/>
    <x v="2"/>
    <x v="0"/>
    <x v="1"/>
  </r>
  <r>
    <x v="557"/>
    <s v="C1440"/>
    <d v="2024-01-24T05:00:00"/>
    <n v="1487.69"/>
    <x v="1"/>
    <x v="1"/>
    <s v="Food"/>
    <x v="0"/>
    <x v="4"/>
    <s v="Mobile"/>
    <n v="0"/>
    <n v="3"/>
    <x v="429"/>
    <n v="1"/>
    <x v="0"/>
    <x v="0"/>
    <x v="0"/>
  </r>
  <r>
    <x v="558"/>
    <s v="C1406"/>
    <d v="2024-01-24T06:00:00"/>
    <n v="37769.11"/>
    <x v="1"/>
    <x v="2"/>
    <s v="Electronics"/>
    <x v="1"/>
    <x v="4"/>
    <s v="Tablet"/>
    <n v="0"/>
    <n v="0"/>
    <x v="4"/>
    <n v="0"/>
    <x v="2"/>
    <x v="0"/>
    <x v="1"/>
  </r>
  <r>
    <x v="559"/>
    <s v="C1013"/>
    <d v="2024-01-24T07:00:00"/>
    <n v="31034.46"/>
    <x v="2"/>
    <x v="3"/>
    <s v="Entertainment"/>
    <x v="2"/>
    <x v="2"/>
    <s v="Tablet"/>
    <n v="0"/>
    <n v="1"/>
    <x v="430"/>
    <n v="0"/>
    <x v="2"/>
    <x v="0"/>
    <x v="1"/>
  </r>
  <r>
    <x v="560"/>
    <s v="C1223"/>
    <d v="2024-01-24T08:00:00"/>
    <n v="35218.78"/>
    <x v="0"/>
    <x v="3"/>
    <s v="Electronics"/>
    <x v="4"/>
    <x v="4"/>
    <s v="Desktop"/>
    <n v="0"/>
    <n v="3"/>
    <x v="427"/>
    <n v="1"/>
    <x v="1"/>
    <x v="0"/>
    <x v="0"/>
  </r>
  <r>
    <x v="561"/>
    <s v="C1177"/>
    <d v="2024-01-24T09:00:00"/>
    <n v="10687.56"/>
    <x v="1"/>
    <x v="0"/>
    <s v="Travel"/>
    <x v="0"/>
    <x v="4"/>
    <s v="Mobile"/>
    <n v="1"/>
    <n v="2"/>
    <x v="13"/>
    <n v="1"/>
    <x v="0"/>
    <x v="0"/>
    <x v="0"/>
  </r>
  <r>
    <x v="562"/>
    <s v="C1157"/>
    <d v="2024-01-24T10:00:00"/>
    <n v="6861.76"/>
    <x v="2"/>
    <x v="2"/>
    <s v="Travel"/>
    <x v="2"/>
    <x v="1"/>
    <s v="Mobile"/>
    <n v="0"/>
    <n v="1"/>
    <x v="164"/>
    <n v="0"/>
    <x v="2"/>
    <x v="0"/>
    <x v="1"/>
  </r>
  <r>
    <x v="563"/>
    <s v="C1381"/>
    <d v="2024-01-24T11:00:00"/>
    <n v="776.51"/>
    <x v="2"/>
    <x v="0"/>
    <s v="Electronics"/>
    <x v="4"/>
    <x v="0"/>
    <s v="Mobile"/>
    <n v="0"/>
    <n v="2"/>
    <x v="96"/>
    <n v="0"/>
    <x v="2"/>
    <x v="0"/>
    <x v="1"/>
  </r>
  <r>
    <x v="564"/>
    <s v="C1196"/>
    <d v="2024-01-24T12:00:00"/>
    <n v="17561.849999999999"/>
    <x v="1"/>
    <x v="3"/>
    <s v="Travel"/>
    <x v="2"/>
    <x v="0"/>
    <s v="Desktop"/>
    <n v="0"/>
    <n v="0"/>
    <x v="431"/>
    <n v="0"/>
    <x v="2"/>
    <x v="0"/>
    <x v="1"/>
  </r>
  <r>
    <x v="565"/>
    <s v="C1345"/>
    <d v="2024-01-24T13:00:00"/>
    <n v="29516.39"/>
    <x v="0"/>
    <x v="2"/>
    <s v="Travel"/>
    <x v="0"/>
    <x v="0"/>
    <s v="Mobile"/>
    <n v="0"/>
    <n v="4"/>
    <x v="432"/>
    <n v="1"/>
    <x v="1"/>
    <x v="0"/>
    <x v="0"/>
  </r>
  <r>
    <x v="566"/>
    <s v="C1359"/>
    <d v="2024-01-24T14:00:00"/>
    <n v="19642.59"/>
    <x v="2"/>
    <x v="3"/>
    <s v="Entertainment"/>
    <x v="2"/>
    <x v="3"/>
    <s v="Mobile"/>
    <n v="0"/>
    <n v="0"/>
    <x v="22"/>
    <n v="0"/>
    <x v="2"/>
    <x v="0"/>
    <x v="1"/>
  </r>
  <r>
    <x v="567"/>
    <s v="C1065"/>
    <d v="2024-01-24T15:00:00"/>
    <n v="21901.87"/>
    <x v="3"/>
    <x v="2"/>
    <s v="Food"/>
    <x v="3"/>
    <x v="1"/>
    <s v="Desktop"/>
    <n v="0"/>
    <n v="1"/>
    <x v="280"/>
    <n v="0"/>
    <x v="2"/>
    <x v="0"/>
    <x v="1"/>
  </r>
  <r>
    <x v="568"/>
    <s v="C1380"/>
    <d v="2024-01-24T16:00:00"/>
    <n v="45212.73"/>
    <x v="0"/>
    <x v="3"/>
    <s v="Entertainment"/>
    <x v="0"/>
    <x v="0"/>
    <s v="Mobile"/>
    <n v="0"/>
    <n v="2"/>
    <x v="127"/>
    <n v="1"/>
    <x v="0"/>
    <x v="0"/>
    <x v="0"/>
  </r>
  <r>
    <x v="569"/>
    <s v="C1127"/>
    <d v="2024-01-24T17:00:00"/>
    <n v="17445.36"/>
    <x v="0"/>
    <x v="1"/>
    <s v="Retail"/>
    <x v="2"/>
    <x v="0"/>
    <s v="Tablet"/>
    <n v="0"/>
    <n v="2"/>
    <x v="433"/>
    <n v="1"/>
    <x v="0"/>
    <x v="0"/>
    <x v="0"/>
  </r>
  <r>
    <x v="570"/>
    <s v="C1307"/>
    <d v="2024-01-24T18:00:00"/>
    <n v="25723.77"/>
    <x v="1"/>
    <x v="1"/>
    <s v="Entertainment"/>
    <x v="1"/>
    <x v="1"/>
    <s v="Tablet"/>
    <n v="1"/>
    <n v="3"/>
    <x v="215"/>
    <n v="1"/>
    <x v="1"/>
    <x v="0"/>
    <x v="0"/>
  </r>
  <r>
    <x v="571"/>
    <s v="C1016"/>
    <d v="2024-01-24T19:00:00"/>
    <n v="39193.47"/>
    <x v="1"/>
    <x v="0"/>
    <s v="Electronics"/>
    <x v="2"/>
    <x v="4"/>
    <s v="Tablet"/>
    <n v="0"/>
    <n v="0"/>
    <x v="434"/>
    <n v="0"/>
    <x v="2"/>
    <x v="0"/>
    <x v="1"/>
  </r>
  <r>
    <x v="572"/>
    <s v="C1276"/>
    <d v="2024-01-24T20:00:00"/>
    <n v="19857.310000000001"/>
    <x v="3"/>
    <x v="1"/>
    <s v="Food"/>
    <x v="3"/>
    <x v="0"/>
    <s v="Tablet"/>
    <n v="0"/>
    <n v="0"/>
    <x v="229"/>
    <n v="0"/>
    <x v="2"/>
    <x v="0"/>
    <x v="1"/>
  </r>
  <r>
    <x v="573"/>
    <s v="C1009"/>
    <d v="2024-01-24T21:00:00"/>
    <n v="31123.23"/>
    <x v="2"/>
    <x v="3"/>
    <s v="Electronics"/>
    <x v="4"/>
    <x v="4"/>
    <s v="Tablet"/>
    <n v="0"/>
    <n v="1"/>
    <x v="435"/>
    <n v="1"/>
    <x v="0"/>
    <x v="0"/>
    <x v="0"/>
  </r>
  <r>
    <x v="574"/>
    <s v="C1137"/>
    <d v="2024-01-24T22:00:00"/>
    <n v="43125.07"/>
    <x v="1"/>
    <x v="3"/>
    <s v="Retail"/>
    <x v="4"/>
    <x v="0"/>
    <s v="Tablet"/>
    <n v="1"/>
    <n v="2"/>
    <x v="425"/>
    <n v="1"/>
    <x v="1"/>
    <x v="0"/>
    <x v="0"/>
  </r>
  <r>
    <x v="575"/>
    <s v="C1243"/>
    <d v="2024-01-24T23:00:00"/>
    <n v="47478.559999999998"/>
    <x v="1"/>
    <x v="1"/>
    <s v="Food"/>
    <x v="4"/>
    <x v="2"/>
    <s v="Tablet"/>
    <n v="0"/>
    <n v="1"/>
    <x v="337"/>
    <n v="1"/>
    <x v="0"/>
    <x v="0"/>
    <x v="0"/>
  </r>
  <r>
    <x v="576"/>
    <s v="C1298"/>
    <d v="2024-01-25T00:00:00"/>
    <n v="7396.32"/>
    <x v="0"/>
    <x v="0"/>
    <s v="Travel"/>
    <x v="1"/>
    <x v="3"/>
    <s v="Tablet"/>
    <n v="0"/>
    <n v="1"/>
    <x v="436"/>
    <n v="0"/>
    <x v="2"/>
    <x v="0"/>
    <x v="1"/>
  </r>
  <r>
    <x v="577"/>
    <s v="C1128"/>
    <d v="2024-01-25T01:00:00"/>
    <n v="46333.05"/>
    <x v="1"/>
    <x v="1"/>
    <s v="Entertainment"/>
    <x v="3"/>
    <x v="0"/>
    <s v="Tablet"/>
    <n v="0"/>
    <n v="2"/>
    <x v="81"/>
    <n v="1"/>
    <x v="1"/>
    <x v="0"/>
    <x v="0"/>
  </r>
  <r>
    <x v="578"/>
    <s v="C1207"/>
    <d v="2024-01-25T02:00:00"/>
    <n v="24631.21"/>
    <x v="1"/>
    <x v="2"/>
    <s v="Electronics"/>
    <x v="0"/>
    <x v="2"/>
    <s v="Desktop"/>
    <n v="1"/>
    <n v="1"/>
    <x v="251"/>
    <n v="1"/>
    <x v="0"/>
    <x v="0"/>
    <x v="0"/>
  </r>
  <r>
    <x v="579"/>
    <s v="C1457"/>
    <d v="2024-01-25T03:00:00"/>
    <n v="12949.31"/>
    <x v="1"/>
    <x v="2"/>
    <s v="Retail"/>
    <x v="4"/>
    <x v="1"/>
    <s v="Desktop"/>
    <n v="0"/>
    <n v="2"/>
    <x v="364"/>
    <n v="0"/>
    <x v="2"/>
    <x v="0"/>
    <x v="1"/>
  </r>
  <r>
    <x v="580"/>
    <s v="C1095"/>
    <d v="2024-01-25T04:00:00"/>
    <n v="22983.83"/>
    <x v="1"/>
    <x v="2"/>
    <s v="Travel"/>
    <x v="3"/>
    <x v="2"/>
    <s v="Tablet"/>
    <n v="0"/>
    <n v="1"/>
    <x v="437"/>
    <n v="0"/>
    <x v="2"/>
    <x v="0"/>
    <x v="1"/>
  </r>
  <r>
    <x v="581"/>
    <s v="C1277"/>
    <d v="2024-01-25T05:00:00"/>
    <n v="49002.63"/>
    <x v="0"/>
    <x v="1"/>
    <s v="Entertainment"/>
    <x v="2"/>
    <x v="1"/>
    <s v="Desktop"/>
    <n v="0"/>
    <n v="4"/>
    <x v="438"/>
    <n v="1"/>
    <x v="1"/>
    <x v="0"/>
    <x v="0"/>
  </r>
  <r>
    <x v="582"/>
    <s v="C1242"/>
    <d v="2024-01-25T06:00:00"/>
    <n v="24656.27"/>
    <x v="3"/>
    <x v="1"/>
    <s v="Travel"/>
    <x v="1"/>
    <x v="0"/>
    <s v="Desktop"/>
    <n v="0"/>
    <n v="1"/>
    <x v="361"/>
    <n v="0"/>
    <x v="2"/>
    <x v="0"/>
    <x v="1"/>
  </r>
  <r>
    <x v="583"/>
    <s v="C1434"/>
    <d v="2024-01-25T07:00:00"/>
    <n v="16471.14"/>
    <x v="3"/>
    <x v="1"/>
    <s v="Entertainment"/>
    <x v="3"/>
    <x v="1"/>
    <s v="Tablet"/>
    <n v="0"/>
    <n v="1"/>
    <x v="375"/>
    <n v="0"/>
    <x v="2"/>
    <x v="0"/>
    <x v="1"/>
  </r>
  <r>
    <x v="584"/>
    <s v="C1266"/>
    <d v="2024-01-25T08:00:00"/>
    <n v="31688.37"/>
    <x v="2"/>
    <x v="2"/>
    <s v="Food"/>
    <x v="3"/>
    <x v="2"/>
    <s v="Tablet"/>
    <n v="0"/>
    <n v="4"/>
    <x v="439"/>
    <n v="1"/>
    <x v="1"/>
    <x v="0"/>
    <x v="0"/>
  </r>
  <r>
    <x v="585"/>
    <s v="C1432"/>
    <d v="2024-01-25T09:00:00"/>
    <n v="12045.27"/>
    <x v="1"/>
    <x v="0"/>
    <s v="Travel"/>
    <x v="0"/>
    <x v="3"/>
    <s v="Desktop"/>
    <n v="0"/>
    <n v="0"/>
    <x v="440"/>
    <n v="0"/>
    <x v="2"/>
    <x v="0"/>
    <x v="1"/>
  </r>
  <r>
    <x v="586"/>
    <s v="C1050"/>
    <d v="2024-01-25T10:00:00"/>
    <n v="3839.37"/>
    <x v="0"/>
    <x v="3"/>
    <s v="Travel"/>
    <x v="3"/>
    <x v="4"/>
    <s v="Tablet"/>
    <n v="1"/>
    <n v="2"/>
    <x v="297"/>
    <n v="1"/>
    <x v="0"/>
    <x v="0"/>
    <x v="0"/>
  </r>
  <r>
    <x v="587"/>
    <s v="C1113"/>
    <d v="2024-01-25T11:00:00"/>
    <n v="6487.54"/>
    <x v="2"/>
    <x v="1"/>
    <s v="Travel"/>
    <x v="0"/>
    <x v="4"/>
    <s v="Tablet"/>
    <n v="0"/>
    <n v="3"/>
    <x v="419"/>
    <n v="1"/>
    <x v="0"/>
    <x v="0"/>
    <x v="0"/>
  </r>
  <r>
    <x v="588"/>
    <s v="C1237"/>
    <d v="2024-01-25T12:00:00"/>
    <n v="6445.89"/>
    <x v="2"/>
    <x v="0"/>
    <s v="Food"/>
    <x v="1"/>
    <x v="3"/>
    <s v="Tablet"/>
    <n v="1"/>
    <n v="4"/>
    <x v="378"/>
    <n v="1"/>
    <x v="1"/>
    <x v="0"/>
    <x v="0"/>
  </r>
  <r>
    <x v="589"/>
    <s v="C1139"/>
    <d v="2024-01-25T13:00:00"/>
    <n v="7637.54"/>
    <x v="3"/>
    <x v="3"/>
    <s v="Retail"/>
    <x v="1"/>
    <x v="4"/>
    <s v="Tablet"/>
    <n v="0"/>
    <n v="0"/>
    <x v="441"/>
    <n v="0"/>
    <x v="2"/>
    <x v="0"/>
    <x v="1"/>
  </r>
  <r>
    <x v="590"/>
    <s v="C1167"/>
    <d v="2024-01-25T14:00:00"/>
    <n v="6984.42"/>
    <x v="0"/>
    <x v="3"/>
    <s v="Entertainment"/>
    <x v="2"/>
    <x v="0"/>
    <s v="Desktop"/>
    <n v="0"/>
    <n v="1"/>
    <x v="442"/>
    <n v="0"/>
    <x v="2"/>
    <x v="0"/>
    <x v="1"/>
  </r>
  <r>
    <x v="591"/>
    <s v="C1423"/>
    <d v="2024-01-25T15:00:00"/>
    <n v="32061.69"/>
    <x v="0"/>
    <x v="3"/>
    <s v="Travel"/>
    <x v="0"/>
    <x v="0"/>
    <s v="Mobile"/>
    <n v="0"/>
    <n v="0"/>
    <x v="342"/>
    <n v="0"/>
    <x v="2"/>
    <x v="0"/>
    <x v="1"/>
  </r>
  <r>
    <x v="592"/>
    <s v="C1011"/>
    <d v="2024-01-25T16:00:00"/>
    <n v="9134.91"/>
    <x v="0"/>
    <x v="0"/>
    <s v="Food"/>
    <x v="0"/>
    <x v="2"/>
    <s v="Desktop"/>
    <n v="0"/>
    <n v="4"/>
    <x v="406"/>
    <n v="1"/>
    <x v="0"/>
    <x v="0"/>
    <x v="0"/>
  </r>
  <r>
    <x v="593"/>
    <s v="C1126"/>
    <d v="2024-01-25T17:00:00"/>
    <n v="17316.080000000002"/>
    <x v="3"/>
    <x v="0"/>
    <s v="Retail"/>
    <x v="4"/>
    <x v="2"/>
    <s v="Mobile"/>
    <n v="0"/>
    <n v="1"/>
    <x v="400"/>
    <n v="0"/>
    <x v="2"/>
    <x v="0"/>
    <x v="1"/>
  </r>
  <r>
    <x v="594"/>
    <s v="C1061"/>
    <d v="2024-01-25T18:00:00"/>
    <n v="44844.58"/>
    <x v="3"/>
    <x v="2"/>
    <s v="Entertainment"/>
    <x v="4"/>
    <x v="1"/>
    <s v="Mobile"/>
    <n v="0"/>
    <n v="0"/>
    <x v="272"/>
    <n v="0"/>
    <x v="2"/>
    <x v="0"/>
    <x v="1"/>
  </r>
  <r>
    <x v="595"/>
    <s v="C1064"/>
    <d v="2024-01-25T19:00:00"/>
    <n v="23724.38"/>
    <x v="3"/>
    <x v="0"/>
    <s v="Food"/>
    <x v="2"/>
    <x v="2"/>
    <s v="Mobile"/>
    <n v="0"/>
    <n v="3"/>
    <x v="292"/>
    <n v="1"/>
    <x v="0"/>
    <x v="0"/>
    <x v="0"/>
  </r>
  <r>
    <x v="596"/>
    <s v="C1145"/>
    <d v="2024-01-25T20:00:00"/>
    <n v="33394.51"/>
    <x v="3"/>
    <x v="0"/>
    <s v="Entertainment"/>
    <x v="1"/>
    <x v="0"/>
    <s v="Desktop"/>
    <n v="0"/>
    <n v="2"/>
    <x v="443"/>
    <n v="1"/>
    <x v="0"/>
    <x v="0"/>
    <x v="0"/>
  </r>
  <r>
    <x v="597"/>
    <s v="C1161"/>
    <d v="2024-01-25T21:00:00"/>
    <n v="8657.3799999999992"/>
    <x v="3"/>
    <x v="0"/>
    <s v="Travel"/>
    <x v="4"/>
    <x v="2"/>
    <s v="Desktop"/>
    <n v="0"/>
    <n v="2"/>
    <x v="291"/>
    <n v="0"/>
    <x v="2"/>
    <x v="0"/>
    <x v="1"/>
  </r>
  <r>
    <x v="598"/>
    <s v="C1377"/>
    <d v="2024-01-25T22:00:00"/>
    <n v="9654.84"/>
    <x v="1"/>
    <x v="3"/>
    <s v="Retail"/>
    <x v="3"/>
    <x v="4"/>
    <s v="Desktop"/>
    <n v="0"/>
    <n v="4"/>
    <x v="444"/>
    <n v="1"/>
    <x v="0"/>
    <x v="0"/>
    <x v="0"/>
  </r>
  <r>
    <x v="599"/>
    <s v="C1352"/>
    <d v="2024-01-25T23:00:00"/>
    <n v="2091.39"/>
    <x v="1"/>
    <x v="1"/>
    <s v="Food"/>
    <x v="1"/>
    <x v="1"/>
    <s v="Desktop"/>
    <n v="0"/>
    <n v="1"/>
    <x v="326"/>
    <n v="0"/>
    <x v="2"/>
    <x v="0"/>
    <x v="1"/>
  </r>
  <r>
    <x v="600"/>
    <s v="C1337"/>
    <d v="2024-01-26T00:00:00"/>
    <n v="8488.31"/>
    <x v="0"/>
    <x v="2"/>
    <s v="Retail"/>
    <x v="3"/>
    <x v="1"/>
    <s v="Desktop"/>
    <n v="1"/>
    <n v="1"/>
    <x v="445"/>
    <n v="1"/>
    <x v="0"/>
    <x v="0"/>
    <x v="0"/>
  </r>
  <r>
    <x v="601"/>
    <s v="C1141"/>
    <d v="2024-01-26T01:00:00"/>
    <n v="13965.59"/>
    <x v="2"/>
    <x v="1"/>
    <s v="Travel"/>
    <x v="0"/>
    <x v="0"/>
    <s v="Mobile"/>
    <n v="0"/>
    <n v="2"/>
    <x v="446"/>
    <n v="0"/>
    <x v="2"/>
    <x v="0"/>
    <x v="1"/>
  </r>
  <r>
    <x v="602"/>
    <s v="C1378"/>
    <d v="2024-01-26T02:00:00"/>
    <n v="8891.67"/>
    <x v="0"/>
    <x v="1"/>
    <s v="Retail"/>
    <x v="1"/>
    <x v="2"/>
    <s v="Desktop"/>
    <n v="0"/>
    <n v="0"/>
    <x v="447"/>
    <n v="0"/>
    <x v="2"/>
    <x v="0"/>
    <x v="1"/>
  </r>
  <r>
    <x v="603"/>
    <s v="C1229"/>
    <d v="2024-01-26T03:00:00"/>
    <n v="4480.6899999999996"/>
    <x v="2"/>
    <x v="0"/>
    <s v="Retail"/>
    <x v="2"/>
    <x v="4"/>
    <s v="Mobile"/>
    <n v="1"/>
    <n v="1"/>
    <x v="448"/>
    <n v="0"/>
    <x v="2"/>
    <x v="0"/>
    <x v="1"/>
  </r>
  <r>
    <x v="604"/>
    <s v="C1019"/>
    <d v="2024-01-26T04:00:00"/>
    <n v="6075.76"/>
    <x v="3"/>
    <x v="2"/>
    <s v="Electronics"/>
    <x v="0"/>
    <x v="2"/>
    <s v="Desktop"/>
    <n v="1"/>
    <n v="3"/>
    <x v="449"/>
    <n v="1"/>
    <x v="1"/>
    <x v="0"/>
    <x v="0"/>
  </r>
  <r>
    <x v="605"/>
    <s v="C1045"/>
    <d v="2024-01-26T05:00:00"/>
    <n v="23065.9"/>
    <x v="2"/>
    <x v="1"/>
    <s v="Retail"/>
    <x v="0"/>
    <x v="3"/>
    <s v="Desktop"/>
    <n v="0"/>
    <n v="3"/>
    <x v="87"/>
    <n v="1"/>
    <x v="0"/>
    <x v="0"/>
    <x v="0"/>
  </r>
  <r>
    <x v="606"/>
    <s v="C1315"/>
    <d v="2024-01-26T06:00:00"/>
    <n v="10356.370000000001"/>
    <x v="0"/>
    <x v="1"/>
    <s v="Entertainment"/>
    <x v="3"/>
    <x v="2"/>
    <s v="Tablet"/>
    <n v="0"/>
    <n v="1"/>
    <x v="9"/>
    <n v="0"/>
    <x v="2"/>
    <x v="0"/>
    <x v="1"/>
  </r>
  <r>
    <x v="607"/>
    <s v="C1057"/>
    <d v="2024-01-26T07:00:00"/>
    <n v="18245.28"/>
    <x v="0"/>
    <x v="2"/>
    <s v="Food"/>
    <x v="0"/>
    <x v="0"/>
    <s v="Mobile"/>
    <n v="0"/>
    <n v="1"/>
    <x v="450"/>
    <n v="0"/>
    <x v="2"/>
    <x v="0"/>
    <x v="1"/>
  </r>
  <r>
    <x v="608"/>
    <s v="C1225"/>
    <d v="2024-01-26T08:00:00"/>
    <n v="25195.69"/>
    <x v="2"/>
    <x v="0"/>
    <s v="Electronics"/>
    <x v="4"/>
    <x v="2"/>
    <s v="Desktop"/>
    <n v="0"/>
    <n v="2"/>
    <x v="137"/>
    <n v="1"/>
    <x v="0"/>
    <x v="0"/>
    <x v="0"/>
  </r>
  <r>
    <x v="609"/>
    <s v="C1157"/>
    <d v="2024-01-26T09:00:00"/>
    <n v="34535.22"/>
    <x v="1"/>
    <x v="1"/>
    <s v="Food"/>
    <x v="1"/>
    <x v="1"/>
    <s v="Desktop"/>
    <n v="0"/>
    <n v="4"/>
    <x v="451"/>
    <n v="1"/>
    <x v="1"/>
    <x v="0"/>
    <x v="0"/>
  </r>
  <r>
    <x v="610"/>
    <s v="C1389"/>
    <d v="2024-01-26T10:00:00"/>
    <n v="2013.64"/>
    <x v="3"/>
    <x v="3"/>
    <s v="Food"/>
    <x v="4"/>
    <x v="4"/>
    <s v="Desktop"/>
    <n v="0"/>
    <n v="2"/>
    <x v="452"/>
    <n v="0"/>
    <x v="2"/>
    <x v="0"/>
    <x v="1"/>
  </r>
  <r>
    <x v="611"/>
    <s v="C1200"/>
    <d v="2024-01-26T11:00:00"/>
    <n v="39980.550000000003"/>
    <x v="3"/>
    <x v="1"/>
    <s v="Travel"/>
    <x v="3"/>
    <x v="0"/>
    <s v="Tablet"/>
    <n v="0"/>
    <n v="4"/>
    <x v="453"/>
    <n v="1"/>
    <x v="1"/>
    <x v="0"/>
    <x v="0"/>
  </r>
  <r>
    <x v="612"/>
    <s v="C1456"/>
    <d v="2024-01-26T12:00:00"/>
    <n v="31413.62"/>
    <x v="0"/>
    <x v="3"/>
    <s v="Travel"/>
    <x v="3"/>
    <x v="3"/>
    <s v="Mobile"/>
    <n v="0"/>
    <n v="3"/>
    <x v="454"/>
    <n v="1"/>
    <x v="0"/>
    <x v="0"/>
    <x v="0"/>
  </r>
  <r>
    <x v="613"/>
    <s v="C1404"/>
    <d v="2024-01-26T13:00:00"/>
    <n v="4133.8599999999997"/>
    <x v="1"/>
    <x v="0"/>
    <s v="Electronics"/>
    <x v="1"/>
    <x v="4"/>
    <s v="Desktop"/>
    <n v="0"/>
    <n v="4"/>
    <x v="455"/>
    <n v="1"/>
    <x v="0"/>
    <x v="0"/>
    <x v="0"/>
  </r>
  <r>
    <x v="614"/>
    <s v="C1270"/>
    <d v="2024-01-26T14:00:00"/>
    <n v="43685.25"/>
    <x v="2"/>
    <x v="1"/>
    <s v="Travel"/>
    <x v="0"/>
    <x v="4"/>
    <s v="Desktop"/>
    <n v="0"/>
    <n v="2"/>
    <x v="456"/>
    <n v="1"/>
    <x v="1"/>
    <x v="0"/>
    <x v="0"/>
  </r>
  <r>
    <x v="615"/>
    <s v="C1243"/>
    <d v="2024-01-26T15:00:00"/>
    <n v="46047.58"/>
    <x v="3"/>
    <x v="2"/>
    <s v="Travel"/>
    <x v="2"/>
    <x v="1"/>
    <s v="Desktop"/>
    <n v="0"/>
    <n v="1"/>
    <x v="315"/>
    <n v="1"/>
    <x v="0"/>
    <x v="0"/>
    <x v="0"/>
  </r>
  <r>
    <x v="616"/>
    <s v="C1455"/>
    <d v="2024-01-26T16:00:00"/>
    <n v="3100.84"/>
    <x v="1"/>
    <x v="2"/>
    <s v="Travel"/>
    <x v="3"/>
    <x v="1"/>
    <s v="Tablet"/>
    <n v="0"/>
    <n v="4"/>
    <x v="43"/>
    <n v="1"/>
    <x v="0"/>
    <x v="0"/>
    <x v="0"/>
  </r>
  <r>
    <x v="617"/>
    <s v="C1006"/>
    <d v="2024-01-26T17:00:00"/>
    <n v="13880.04"/>
    <x v="3"/>
    <x v="1"/>
    <s v="Food"/>
    <x v="1"/>
    <x v="1"/>
    <s v="Desktop"/>
    <n v="0"/>
    <n v="2"/>
    <x v="248"/>
    <n v="1"/>
    <x v="0"/>
    <x v="0"/>
    <x v="0"/>
  </r>
  <r>
    <x v="618"/>
    <s v="C1015"/>
    <d v="2024-01-26T18:00:00"/>
    <n v="40319.75"/>
    <x v="1"/>
    <x v="0"/>
    <s v="Electronics"/>
    <x v="2"/>
    <x v="0"/>
    <s v="Mobile"/>
    <n v="0"/>
    <n v="3"/>
    <x v="349"/>
    <n v="1"/>
    <x v="1"/>
    <x v="0"/>
    <x v="0"/>
  </r>
  <r>
    <x v="619"/>
    <s v="C1155"/>
    <d v="2024-01-26T19:00:00"/>
    <n v="37425.57"/>
    <x v="1"/>
    <x v="0"/>
    <s v="Food"/>
    <x v="0"/>
    <x v="2"/>
    <s v="Mobile"/>
    <n v="0"/>
    <n v="4"/>
    <x v="457"/>
    <n v="1"/>
    <x v="1"/>
    <x v="0"/>
    <x v="0"/>
  </r>
  <r>
    <x v="620"/>
    <s v="C1281"/>
    <d v="2024-01-26T20:00:00"/>
    <n v="9266.82"/>
    <x v="0"/>
    <x v="2"/>
    <s v="Entertainment"/>
    <x v="3"/>
    <x v="4"/>
    <s v="Mobile"/>
    <n v="0"/>
    <n v="3"/>
    <x v="458"/>
    <n v="1"/>
    <x v="0"/>
    <x v="0"/>
    <x v="0"/>
  </r>
  <r>
    <x v="621"/>
    <s v="C1472"/>
    <d v="2024-01-26T21:00:00"/>
    <n v="10507"/>
    <x v="3"/>
    <x v="1"/>
    <s v="Food"/>
    <x v="1"/>
    <x v="2"/>
    <s v="Mobile"/>
    <n v="0"/>
    <n v="3"/>
    <x v="136"/>
    <n v="1"/>
    <x v="0"/>
    <x v="0"/>
    <x v="0"/>
  </r>
  <r>
    <x v="622"/>
    <s v="C1461"/>
    <d v="2024-01-26T22:00:00"/>
    <n v="18555.080000000002"/>
    <x v="2"/>
    <x v="0"/>
    <s v="Entertainment"/>
    <x v="1"/>
    <x v="2"/>
    <s v="Desktop"/>
    <n v="0"/>
    <n v="0"/>
    <x v="459"/>
    <n v="0"/>
    <x v="2"/>
    <x v="0"/>
    <x v="1"/>
  </r>
  <r>
    <x v="623"/>
    <s v="C1173"/>
    <d v="2024-01-26T23:00:00"/>
    <n v="24251.919999999998"/>
    <x v="0"/>
    <x v="2"/>
    <s v="Retail"/>
    <x v="1"/>
    <x v="1"/>
    <s v="Tablet"/>
    <n v="0"/>
    <n v="4"/>
    <x v="180"/>
    <n v="1"/>
    <x v="1"/>
    <x v="0"/>
    <x v="0"/>
  </r>
  <r>
    <x v="624"/>
    <s v="C1206"/>
    <d v="2024-01-27T00:00:00"/>
    <n v="30931.83"/>
    <x v="0"/>
    <x v="3"/>
    <s v="Retail"/>
    <x v="3"/>
    <x v="2"/>
    <s v="Tablet"/>
    <n v="0"/>
    <n v="2"/>
    <x v="233"/>
    <n v="1"/>
    <x v="0"/>
    <x v="0"/>
    <x v="0"/>
  </r>
  <r>
    <x v="625"/>
    <s v="C1235"/>
    <d v="2024-01-27T01:00:00"/>
    <n v="18477.240000000002"/>
    <x v="2"/>
    <x v="1"/>
    <s v="Entertainment"/>
    <x v="2"/>
    <x v="4"/>
    <s v="Tablet"/>
    <n v="0"/>
    <n v="4"/>
    <x v="11"/>
    <n v="1"/>
    <x v="1"/>
    <x v="0"/>
    <x v="0"/>
  </r>
  <r>
    <x v="626"/>
    <s v="C1306"/>
    <d v="2024-01-27T02:00:00"/>
    <n v="23153.61"/>
    <x v="0"/>
    <x v="3"/>
    <s v="Entertainment"/>
    <x v="1"/>
    <x v="4"/>
    <s v="Desktop"/>
    <n v="0"/>
    <n v="4"/>
    <x v="77"/>
    <n v="1"/>
    <x v="1"/>
    <x v="0"/>
    <x v="0"/>
  </r>
  <r>
    <x v="627"/>
    <s v="C1030"/>
    <d v="2024-01-27T03:00:00"/>
    <n v="37386.17"/>
    <x v="1"/>
    <x v="3"/>
    <s v="Food"/>
    <x v="0"/>
    <x v="3"/>
    <s v="Tablet"/>
    <n v="0"/>
    <n v="3"/>
    <x v="460"/>
    <n v="1"/>
    <x v="1"/>
    <x v="0"/>
    <x v="0"/>
  </r>
  <r>
    <x v="628"/>
    <s v="C1493"/>
    <d v="2024-01-27T04:00:00"/>
    <n v="1882.33"/>
    <x v="1"/>
    <x v="0"/>
    <s v="Entertainment"/>
    <x v="1"/>
    <x v="0"/>
    <s v="Mobile"/>
    <n v="0"/>
    <n v="3"/>
    <x v="146"/>
    <n v="1"/>
    <x v="0"/>
    <x v="0"/>
    <x v="0"/>
  </r>
  <r>
    <x v="629"/>
    <s v="C1166"/>
    <d v="2024-01-27T05:00:00"/>
    <n v="12659.23"/>
    <x v="3"/>
    <x v="0"/>
    <s v="Electronics"/>
    <x v="2"/>
    <x v="2"/>
    <s v="Desktop"/>
    <n v="0"/>
    <n v="3"/>
    <x v="214"/>
    <n v="1"/>
    <x v="0"/>
    <x v="0"/>
    <x v="0"/>
  </r>
  <r>
    <x v="630"/>
    <s v="C1148"/>
    <d v="2024-01-27T06:00:00"/>
    <n v="35681.81"/>
    <x v="3"/>
    <x v="0"/>
    <s v="Retail"/>
    <x v="3"/>
    <x v="0"/>
    <s v="Tablet"/>
    <n v="1"/>
    <n v="3"/>
    <x v="276"/>
    <n v="1"/>
    <x v="1"/>
    <x v="0"/>
    <x v="0"/>
  </r>
  <r>
    <x v="631"/>
    <s v="C1464"/>
    <d v="2024-01-27T07:00:00"/>
    <n v="44765.58"/>
    <x v="2"/>
    <x v="1"/>
    <s v="Retail"/>
    <x v="1"/>
    <x v="0"/>
    <s v="Mobile"/>
    <n v="0"/>
    <n v="2"/>
    <x v="222"/>
    <n v="1"/>
    <x v="1"/>
    <x v="0"/>
    <x v="0"/>
  </r>
  <r>
    <x v="632"/>
    <s v="C1330"/>
    <d v="2024-01-27T08:00:00"/>
    <n v="25608.29"/>
    <x v="3"/>
    <x v="3"/>
    <s v="Entertainment"/>
    <x v="1"/>
    <x v="0"/>
    <s v="Mobile"/>
    <n v="0"/>
    <n v="1"/>
    <x v="120"/>
    <n v="1"/>
    <x v="0"/>
    <x v="0"/>
    <x v="0"/>
  </r>
  <r>
    <x v="633"/>
    <s v="C1284"/>
    <d v="2024-01-27T09:00:00"/>
    <n v="26629.07"/>
    <x v="1"/>
    <x v="1"/>
    <s v="Travel"/>
    <x v="0"/>
    <x v="0"/>
    <s v="Desktop"/>
    <n v="1"/>
    <n v="0"/>
    <x v="461"/>
    <n v="0"/>
    <x v="2"/>
    <x v="0"/>
    <x v="1"/>
  </r>
  <r>
    <x v="634"/>
    <s v="C1301"/>
    <d v="2024-01-27T10:00:00"/>
    <n v="5403.24"/>
    <x v="2"/>
    <x v="0"/>
    <s v="Travel"/>
    <x v="0"/>
    <x v="4"/>
    <s v="Desktop"/>
    <n v="1"/>
    <n v="3"/>
    <x v="105"/>
    <n v="1"/>
    <x v="1"/>
    <x v="0"/>
    <x v="0"/>
  </r>
  <r>
    <x v="635"/>
    <s v="C1405"/>
    <d v="2024-01-27T11:00:00"/>
    <n v="22398.25"/>
    <x v="2"/>
    <x v="3"/>
    <s v="Entertainment"/>
    <x v="1"/>
    <x v="2"/>
    <s v="Tablet"/>
    <n v="0"/>
    <n v="3"/>
    <x v="462"/>
    <n v="1"/>
    <x v="0"/>
    <x v="0"/>
    <x v="0"/>
  </r>
  <r>
    <x v="636"/>
    <s v="C1416"/>
    <d v="2024-01-27T12:00:00"/>
    <n v="26654.23"/>
    <x v="3"/>
    <x v="1"/>
    <s v="Electronics"/>
    <x v="1"/>
    <x v="3"/>
    <s v="Tablet"/>
    <n v="0"/>
    <n v="0"/>
    <x v="463"/>
    <n v="0"/>
    <x v="2"/>
    <x v="0"/>
    <x v="1"/>
  </r>
  <r>
    <x v="637"/>
    <s v="C1463"/>
    <d v="2024-01-27T13:00:00"/>
    <n v="12161.4"/>
    <x v="1"/>
    <x v="1"/>
    <s v="Travel"/>
    <x v="0"/>
    <x v="0"/>
    <s v="Tablet"/>
    <n v="0"/>
    <n v="3"/>
    <x v="200"/>
    <n v="1"/>
    <x v="0"/>
    <x v="0"/>
    <x v="0"/>
  </r>
  <r>
    <x v="638"/>
    <s v="C1127"/>
    <d v="2024-01-27T14:00:00"/>
    <n v="13498.7"/>
    <x v="2"/>
    <x v="2"/>
    <s v="Entertainment"/>
    <x v="2"/>
    <x v="3"/>
    <s v="Desktop"/>
    <n v="0"/>
    <n v="1"/>
    <x v="464"/>
    <n v="0"/>
    <x v="2"/>
    <x v="0"/>
    <x v="1"/>
  </r>
  <r>
    <x v="639"/>
    <s v="C1337"/>
    <d v="2024-01-27T15:00:00"/>
    <n v="18895.34"/>
    <x v="1"/>
    <x v="1"/>
    <s v="Electronics"/>
    <x v="4"/>
    <x v="4"/>
    <s v="Tablet"/>
    <n v="0"/>
    <n v="4"/>
    <x v="465"/>
    <n v="1"/>
    <x v="1"/>
    <x v="0"/>
    <x v="0"/>
  </r>
  <r>
    <x v="640"/>
    <s v="C1004"/>
    <d v="2024-01-27T16:00:00"/>
    <n v="1052.56"/>
    <x v="1"/>
    <x v="0"/>
    <s v="Electronics"/>
    <x v="4"/>
    <x v="4"/>
    <s v="Tablet"/>
    <n v="0"/>
    <n v="0"/>
    <x v="10"/>
    <n v="0"/>
    <x v="2"/>
    <x v="0"/>
    <x v="1"/>
  </r>
  <r>
    <x v="641"/>
    <s v="C1286"/>
    <d v="2024-01-27T17:00:00"/>
    <n v="16137.85"/>
    <x v="1"/>
    <x v="1"/>
    <s v="Food"/>
    <x v="1"/>
    <x v="1"/>
    <s v="Mobile"/>
    <n v="0"/>
    <n v="2"/>
    <x v="435"/>
    <n v="1"/>
    <x v="0"/>
    <x v="0"/>
    <x v="0"/>
  </r>
  <r>
    <x v="642"/>
    <s v="C1391"/>
    <d v="2024-01-27T18:00:00"/>
    <n v="10611.83"/>
    <x v="3"/>
    <x v="3"/>
    <s v="Electronics"/>
    <x v="0"/>
    <x v="0"/>
    <s v="Mobile"/>
    <n v="0"/>
    <n v="0"/>
    <x v="466"/>
    <n v="0"/>
    <x v="2"/>
    <x v="0"/>
    <x v="1"/>
  </r>
  <r>
    <x v="643"/>
    <s v="C1488"/>
    <d v="2024-01-27T19:00:00"/>
    <n v="16408.490000000002"/>
    <x v="0"/>
    <x v="1"/>
    <s v="Travel"/>
    <x v="3"/>
    <x v="1"/>
    <s v="Mobile"/>
    <n v="0"/>
    <n v="1"/>
    <x v="467"/>
    <n v="0"/>
    <x v="2"/>
    <x v="0"/>
    <x v="1"/>
  </r>
  <r>
    <x v="644"/>
    <s v="C1037"/>
    <d v="2024-01-27T20:00:00"/>
    <n v="6032.12"/>
    <x v="0"/>
    <x v="2"/>
    <s v="Travel"/>
    <x v="3"/>
    <x v="3"/>
    <s v="Tablet"/>
    <n v="1"/>
    <n v="2"/>
    <x v="468"/>
    <n v="1"/>
    <x v="0"/>
    <x v="0"/>
    <x v="0"/>
  </r>
  <r>
    <x v="645"/>
    <s v="C1457"/>
    <d v="2024-01-27T21:00:00"/>
    <n v="44531.839999999997"/>
    <x v="2"/>
    <x v="3"/>
    <s v="Entertainment"/>
    <x v="4"/>
    <x v="2"/>
    <s v="Desktop"/>
    <n v="0"/>
    <n v="4"/>
    <x v="469"/>
    <n v="1"/>
    <x v="1"/>
    <x v="0"/>
    <x v="0"/>
  </r>
  <r>
    <x v="646"/>
    <s v="C1259"/>
    <d v="2024-01-27T22:00:00"/>
    <n v="29699.94"/>
    <x v="1"/>
    <x v="3"/>
    <s v="Entertainment"/>
    <x v="2"/>
    <x v="1"/>
    <s v="Mobile"/>
    <n v="0"/>
    <n v="3"/>
    <x v="470"/>
    <n v="1"/>
    <x v="1"/>
    <x v="0"/>
    <x v="0"/>
  </r>
  <r>
    <x v="647"/>
    <s v="C1380"/>
    <d v="2024-01-27T23:00:00"/>
    <n v="33971.160000000003"/>
    <x v="3"/>
    <x v="2"/>
    <s v="Electronics"/>
    <x v="4"/>
    <x v="4"/>
    <s v="Desktop"/>
    <n v="0"/>
    <n v="0"/>
    <x v="446"/>
    <n v="0"/>
    <x v="2"/>
    <x v="0"/>
    <x v="1"/>
  </r>
  <r>
    <x v="648"/>
    <s v="C1342"/>
    <d v="2024-01-28T00:00:00"/>
    <n v="39469.1"/>
    <x v="1"/>
    <x v="0"/>
    <s v="Retail"/>
    <x v="1"/>
    <x v="0"/>
    <s v="Tablet"/>
    <n v="0"/>
    <n v="2"/>
    <x v="143"/>
    <n v="1"/>
    <x v="0"/>
    <x v="0"/>
    <x v="0"/>
  </r>
  <r>
    <x v="649"/>
    <s v="C1423"/>
    <d v="2024-01-28T01:00:00"/>
    <n v="24947.19"/>
    <x v="1"/>
    <x v="3"/>
    <s v="Food"/>
    <x v="2"/>
    <x v="3"/>
    <s v="Tablet"/>
    <n v="0"/>
    <n v="0"/>
    <x v="471"/>
    <n v="0"/>
    <x v="2"/>
    <x v="0"/>
    <x v="1"/>
  </r>
  <r>
    <x v="650"/>
    <s v="C1371"/>
    <d v="2024-01-28T02:00:00"/>
    <n v="4391.67"/>
    <x v="3"/>
    <x v="0"/>
    <s v="Retail"/>
    <x v="3"/>
    <x v="4"/>
    <s v="Mobile"/>
    <n v="1"/>
    <n v="4"/>
    <x v="306"/>
    <n v="1"/>
    <x v="1"/>
    <x v="0"/>
    <x v="0"/>
  </r>
  <r>
    <x v="651"/>
    <s v="C1426"/>
    <d v="2024-01-28T03:00:00"/>
    <n v="26878.47"/>
    <x v="0"/>
    <x v="3"/>
    <s v="Electronics"/>
    <x v="0"/>
    <x v="2"/>
    <s v="Desktop"/>
    <n v="1"/>
    <n v="0"/>
    <x v="146"/>
    <n v="1"/>
    <x v="0"/>
    <x v="0"/>
    <x v="0"/>
  </r>
  <r>
    <x v="652"/>
    <s v="C1029"/>
    <d v="2024-01-28T04:00:00"/>
    <n v="29362.71"/>
    <x v="1"/>
    <x v="3"/>
    <s v="Electronics"/>
    <x v="0"/>
    <x v="0"/>
    <s v="Mobile"/>
    <n v="0"/>
    <n v="2"/>
    <x v="472"/>
    <n v="1"/>
    <x v="0"/>
    <x v="0"/>
    <x v="0"/>
  </r>
  <r>
    <x v="653"/>
    <s v="C1003"/>
    <d v="2024-01-28T05:00:00"/>
    <n v="37284.699999999997"/>
    <x v="1"/>
    <x v="0"/>
    <s v="Retail"/>
    <x v="1"/>
    <x v="2"/>
    <s v="Tablet"/>
    <n v="0"/>
    <n v="1"/>
    <x v="473"/>
    <n v="1"/>
    <x v="0"/>
    <x v="0"/>
    <x v="0"/>
  </r>
  <r>
    <x v="654"/>
    <s v="C1107"/>
    <d v="2024-01-28T06:00:00"/>
    <n v="21611.39"/>
    <x v="0"/>
    <x v="3"/>
    <s v="Food"/>
    <x v="4"/>
    <x v="2"/>
    <s v="Desktop"/>
    <n v="0"/>
    <n v="2"/>
    <x v="474"/>
    <n v="1"/>
    <x v="0"/>
    <x v="0"/>
    <x v="0"/>
  </r>
  <r>
    <x v="655"/>
    <s v="C1166"/>
    <d v="2024-01-28T07:00:00"/>
    <n v="6422.64"/>
    <x v="3"/>
    <x v="0"/>
    <s v="Retail"/>
    <x v="1"/>
    <x v="0"/>
    <s v="Mobile"/>
    <n v="0"/>
    <n v="0"/>
    <x v="475"/>
    <n v="0"/>
    <x v="2"/>
    <x v="0"/>
    <x v="1"/>
  </r>
  <r>
    <x v="656"/>
    <s v="C1399"/>
    <d v="2024-01-28T08:00:00"/>
    <n v="14224.61"/>
    <x v="2"/>
    <x v="2"/>
    <s v="Entertainment"/>
    <x v="0"/>
    <x v="0"/>
    <s v="Tablet"/>
    <n v="0"/>
    <n v="4"/>
    <x v="36"/>
    <n v="1"/>
    <x v="0"/>
    <x v="0"/>
    <x v="0"/>
  </r>
  <r>
    <x v="657"/>
    <s v="C1145"/>
    <d v="2024-01-28T09:00:00"/>
    <n v="18185.96"/>
    <x v="0"/>
    <x v="0"/>
    <s v="Travel"/>
    <x v="3"/>
    <x v="2"/>
    <s v="Mobile"/>
    <n v="0"/>
    <n v="3"/>
    <x v="128"/>
    <n v="1"/>
    <x v="0"/>
    <x v="0"/>
    <x v="0"/>
  </r>
  <r>
    <x v="658"/>
    <s v="C1139"/>
    <d v="2024-01-28T10:00:00"/>
    <n v="32313.57"/>
    <x v="2"/>
    <x v="2"/>
    <s v="Entertainment"/>
    <x v="0"/>
    <x v="3"/>
    <s v="Desktop"/>
    <n v="0"/>
    <n v="3"/>
    <x v="159"/>
    <n v="1"/>
    <x v="1"/>
    <x v="0"/>
    <x v="0"/>
  </r>
  <r>
    <x v="659"/>
    <s v="C1298"/>
    <d v="2024-01-28T11:00:00"/>
    <n v="28560.38"/>
    <x v="2"/>
    <x v="3"/>
    <s v="Travel"/>
    <x v="2"/>
    <x v="0"/>
    <s v="Desktop"/>
    <n v="0"/>
    <n v="4"/>
    <x v="476"/>
    <n v="1"/>
    <x v="1"/>
    <x v="0"/>
    <x v="0"/>
  </r>
  <r>
    <x v="660"/>
    <s v="C1025"/>
    <d v="2024-01-28T12:00:00"/>
    <n v="17837.03"/>
    <x v="0"/>
    <x v="0"/>
    <s v="Electronics"/>
    <x v="0"/>
    <x v="4"/>
    <s v="Desktop"/>
    <n v="0"/>
    <n v="0"/>
    <x v="285"/>
    <n v="0"/>
    <x v="2"/>
    <x v="0"/>
    <x v="1"/>
  </r>
  <r>
    <x v="661"/>
    <s v="C1285"/>
    <d v="2024-01-28T13:00:00"/>
    <n v="49326.44"/>
    <x v="1"/>
    <x v="3"/>
    <s v="Food"/>
    <x v="0"/>
    <x v="1"/>
    <s v="Desktop"/>
    <n v="1"/>
    <n v="4"/>
    <x v="477"/>
    <n v="1"/>
    <x v="1"/>
    <x v="0"/>
    <x v="0"/>
  </r>
  <r>
    <x v="662"/>
    <s v="C1357"/>
    <d v="2024-01-28T14:00:00"/>
    <n v="30308.45"/>
    <x v="2"/>
    <x v="0"/>
    <s v="Retail"/>
    <x v="2"/>
    <x v="3"/>
    <s v="Desktop"/>
    <n v="0"/>
    <n v="0"/>
    <x v="183"/>
    <n v="0"/>
    <x v="2"/>
    <x v="0"/>
    <x v="1"/>
  </r>
  <r>
    <x v="663"/>
    <s v="C1111"/>
    <d v="2024-01-28T15:00:00"/>
    <n v="11899.48"/>
    <x v="2"/>
    <x v="2"/>
    <s v="Food"/>
    <x v="4"/>
    <x v="0"/>
    <s v="Mobile"/>
    <n v="0"/>
    <n v="2"/>
    <x v="478"/>
    <n v="1"/>
    <x v="0"/>
    <x v="0"/>
    <x v="0"/>
  </r>
  <r>
    <x v="664"/>
    <s v="C1259"/>
    <d v="2024-01-28T16:00:00"/>
    <n v="5134.03"/>
    <x v="3"/>
    <x v="2"/>
    <s v="Retail"/>
    <x v="0"/>
    <x v="0"/>
    <s v="Mobile"/>
    <n v="0"/>
    <n v="1"/>
    <x v="479"/>
    <n v="0"/>
    <x v="2"/>
    <x v="0"/>
    <x v="1"/>
  </r>
  <r>
    <x v="665"/>
    <s v="C1406"/>
    <d v="2024-01-28T17:00:00"/>
    <n v="7685.31"/>
    <x v="1"/>
    <x v="0"/>
    <s v="Entertainment"/>
    <x v="1"/>
    <x v="3"/>
    <s v="Mobile"/>
    <n v="0"/>
    <n v="0"/>
    <x v="480"/>
    <n v="0"/>
    <x v="2"/>
    <x v="0"/>
    <x v="1"/>
  </r>
  <r>
    <x v="666"/>
    <s v="C1446"/>
    <d v="2024-01-28T18:00:00"/>
    <n v="12335.59"/>
    <x v="2"/>
    <x v="2"/>
    <s v="Entertainment"/>
    <x v="0"/>
    <x v="1"/>
    <s v="Mobile"/>
    <n v="0"/>
    <n v="3"/>
    <x v="142"/>
    <n v="1"/>
    <x v="0"/>
    <x v="0"/>
    <x v="0"/>
  </r>
  <r>
    <x v="667"/>
    <s v="C1449"/>
    <d v="2024-01-28T19:00:00"/>
    <n v="8076.03"/>
    <x v="3"/>
    <x v="3"/>
    <s v="Retail"/>
    <x v="1"/>
    <x v="2"/>
    <s v="Tablet"/>
    <n v="0"/>
    <n v="3"/>
    <x v="103"/>
    <n v="1"/>
    <x v="0"/>
    <x v="0"/>
    <x v="0"/>
  </r>
  <r>
    <x v="668"/>
    <s v="C1085"/>
    <d v="2024-01-28T20:00:00"/>
    <n v="9369.02"/>
    <x v="1"/>
    <x v="3"/>
    <s v="Food"/>
    <x v="2"/>
    <x v="4"/>
    <s v="Tablet"/>
    <n v="0"/>
    <n v="1"/>
    <x v="481"/>
    <n v="0"/>
    <x v="2"/>
    <x v="0"/>
    <x v="1"/>
  </r>
  <r>
    <x v="669"/>
    <s v="C1430"/>
    <d v="2024-01-28T21:00:00"/>
    <n v="14290.5"/>
    <x v="0"/>
    <x v="1"/>
    <s v="Retail"/>
    <x v="0"/>
    <x v="0"/>
    <s v="Mobile"/>
    <n v="0"/>
    <n v="0"/>
    <x v="351"/>
    <n v="0"/>
    <x v="2"/>
    <x v="0"/>
    <x v="1"/>
  </r>
  <r>
    <x v="670"/>
    <s v="C1272"/>
    <d v="2024-01-28T22:00:00"/>
    <n v="8710.01"/>
    <x v="0"/>
    <x v="2"/>
    <s v="Electronics"/>
    <x v="2"/>
    <x v="1"/>
    <s v="Tablet"/>
    <n v="0"/>
    <n v="1"/>
    <x v="482"/>
    <n v="0"/>
    <x v="2"/>
    <x v="0"/>
    <x v="1"/>
  </r>
  <r>
    <x v="671"/>
    <s v="C1484"/>
    <d v="2024-01-28T23:00:00"/>
    <n v="44843.43"/>
    <x v="3"/>
    <x v="3"/>
    <s v="Entertainment"/>
    <x v="2"/>
    <x v="4"/>
    <s v="Tablet"/>
    <n v="0"/>
    <n v="2"/>
    <x v="222"/>
    <n v="1"/>
    <x v="1"/>
    <x v="0"/>
    <x v="0"/>
  </r>
  <r>
    <x v="672"/>
    <s v="C1249"/>
    <d v="2024-01-29T00:00:00"/>
    <n v="4057.68"/>
    <x v="0"/>
    <x v="0"/>
    <s v="Electronics"/>
    <x v="4"/>
    <x v="3"/>
    <s v="Desktop"/>
    <n v="1"/>
    <n v="1"/>
    <x v="483"/>
    <n v="0"/>
    <x v="2"/>
    <x v="0"/>
    <x v="1"/>
  </r>
  <r>
    <x v="673"/>
    <s v="C1498"/>
    <d v="2024-01-29T01:00:00"/>
    <n v="26249.34"/>
    <x v="2"/>
    <x v="2"/>
    <s v="Entertainment"/>
    <x v="0"/>
    <x v="0"/>
    <s v="Mobile"/>
    <n v="1"/>
    <n v="2"/>
    <x v="484"/>
    <n v="1"/>
    <x v="0"/>
    <x v="0"/>
    <x v="0"/>
  </r>
  <r>
    <x v="674"/>
    <s v="C1283"/>
    <d v="2024-01-29T02:00:00"/>
    <n v="20549.32"/>
    <x v="1"/>
    <x v="3"/>
    <s v="Entertainment"/>
    <x v="1"/>
    <x v="2"/>
    <s v="Tablet"/>
    <n v="0"/>
    <n v="3"/>
    <x v="114"/>
    <n v="1"/>
    <x v="0"/>
    <x v="0"/>
    <x v="0"/>
  </r>
  <r>
    <x v="675"/>
    <s v="C1019"/>
    <d v="2024-01-29T03:00:00"/>
    <n v="49119.81"/>
    <x v="2"/>
    <x v="2"/>
    <s v="Travel"/>
    <x v="1"/>
    <x v="3"/>
    <s v="Tablet"/>
    <n v="0"/>
    <n v="2"/>
    <x v="485"/>
    <n v="1"/>
    <x v="1"/>
    <x v="0"/>
    <x v="0"/>
  </r>
  <r>
    <x v="676"/>
    <s v="C1132"/>
    <d v="2024-01-29T04:00:00"/>
    <n v="5646.34"/>
    <x v="2"/>
    <x v="0"/>
    <s v="Electronics"/>
    <x v="0"/>
    <x v="0"/>
    <s v="Mobile"/>
    <n v="0"/>
    <n v="0"/>
    <x v="486"/>
    <n v="0"/>
    <x v="2"/>
    <x v="0"/>
    <x v="1"/>
  </r>
  <r>
    <x v="677"/>
    <s v="C1429"/>
    <d v="2024-01-29T05:00:00"/>
    <n v="19922.89"/>
    <x v="0"/>
    <x v="3"/>
    <s v="Electronics"/>
    <x v="4"/>
    <x v="1"/>
    <s v="Desktop"/>
    <n v="0"/>
    <n v="0"/>
    <x v="487"/>
    <n v="0"/>
    <x v="2"/>
    <x v="0"/>
    <x v="1"/>
  </r>
  <r>
    <x v="678"/>
    <s v="C1146"/>
    <d v="2024-01-29T06:00:00"/>
    <n v="48475.05"/>
    <x v="2"/>
    <x v="1"/>
    <s v="Travel"/>
    <x v="4"/>
    <x v="4"/>
    <s v="Mobile"/>
    <n v="0"/>
    <n v="0"/>
    <x v="488"/>
    <n v="1"/>
    <x v="0"/>
    <x v="0"/>
    <x v="0"/>
  </r>
  <r>
    <x v="679"/>
    <s v="C1435"/>
    <d v="2024-01-29T07:00:00"/>
    <n v="43282.080000000002"/>
    <x v="0"/>
    <x v="1"/>
    <s v="Food"/>
    <x v="4"/>
    <x v="4"/>
    <s v="Desktop"/>
    <n v="0"/>
    <n v="0"/>
    <x v="249"/>
    <n v="1"/>
    <x v="0"/>
    <x v="0"/>
    <x v="0"/>
  </r>
  <r>
    <x v="680"/>
    <s v="C1244"/>
    <d v="2024-01-29T08:00:00"/>
    <n v="40862.75"/>
    <x v="1"/>
    <x v="2"/>
    <s v="Electronics"/>
    <x v="1"/>
    <x v="0"/>
    <s v="Tablet"/>
    <n v="0"/>
    <n v="4"/>
    <x v="117"/>
    <n v="1"/>
    <x v="1"/>
    <x v="0"/>
    <x v="0"/>
  </r>
  <r>
    <x v="681"/>
    <s v="C1223"/>
    <d v="2024-01-29T09:00:00"/>
    <n v="12932.25"/>
    <x v="1"/>
    <x v="0"/>
    <s v="Retail"/>
    <x v="2"/>
    <x v="3"/>
    <s v="Desktop"/>
    <n v="0"/>
    <n v="2"/>
    <x v="489"/>
    <n v="1"/>
    <x v="0"/>
    <x v="0"/>
    <x v="0"/>
  </r>
  <r>
    <x v="682"/>
    <s v="C1300"/>
    <d v="2024-01-29T10:00:00"/>
    <n v="8585.83"/>
    <x v="2"/>
    <x v="3"/>
    <s v="Travel"/>
    <x v="4"/>
    <x v="2"/>
    <s v="Desktop"/>
    <n v="0"/>
    <n v="0"/>
    <x v="490"/>
    <n v="0"/>
    <x v="2"/>
    <x v="0"/>
    <x v="1"/>
  </r>
  <r>
    <x v="683"/>
    <s v="C1274"/>
    <d v="2024-01-29T11:00:00"/>
    <n v="33448.730000000003"/>
    <x v="3"/>
    <x v="0"/>
    <s v="Electronics"/>
    <x v="1"/>
    <x v="1"/>
    <s v="Mobile"/>
    <n v="1"/>
    <n v="1"/>
    <x v="491"/>
    <n v="1"/>
    <x v="0"/>
    <x v="0"/>
    <x v="0"/>
  </r>
  <r>
    <x v="684"/>
    <s v="C1214"/>
    <d v="2024-01-29T12:00:00"/>
    <n v="46472.33"/>
    <x v="0"/>
    <x v="3"/>
    <s v="Food"/>
    <x v="1"/>
    <x v="0"/>
    <s v="Tablet"/>
    <n v="0"/>
    <n v="1"/>
    <x v="327"/>
    <n v="1"/>
    <x v="0"/>
    <x v="0"/>
    <x v="0"/>
  </r>
  <r>
    <x v="685"/>
    <s v="C1108"/>
    <d v="2024-01-29T13:00:00"/>
    <n v="27860.31"/>
    <x v="0"/>
    <x v="2"/>
    <s v="Electronics"/>
    <x v="2"/>
    <x v="1"/>
    <s v="Mobile"/>
    <n v="0"/>
    <n v="4"/>
    <x v="492"/>
    <n v="1"/>
    <x v="1"/>
    <x v="0"/>
    <x v="0"/>
  </r>
  <r>
    <x v="686"/>
    <s v="C1253"/>
    <d v="2024-01-29T14:00:00"/>
    <n v="28602.05"/>
    <x v="2"/>
    <x v="3"/>
    <s v="Entertainment"/>
    <x v="0"/>
    <x v="4"/>
    <s v="Mobile"/>
    <n v="0"/>
    <n v="2"/>
    <x v="493"/>
    <n v="1"/>
    <x v="0"/>
    <x v="0"/>
    <x v="0"/>
  </r>
  <r>
    <x v="687"/>
    <s v="C1352"/>
    <d v="2024-01-29T15:00:00"/>
    <n v="14034.96"/>
    <x v="0"/>
    <x v="0"/>
    <s v="Retail"/>
    <x v="0"/>
    <x v="2"/>
    <s v="Tablet"/>
    <n v="0"/>
    <n v="2"/>
    <x v="278"/>
    <n v="1"/>
    <x v="0"/>
    <x v="0"/>
    <x v="0"/>
  </r>
  <r>
    <x v="688"/>
    <s v="C1022"/>
    <d v="2024-01-29T16:00:00"/>
    <n v="38486.17"/>
    <x v="0"/>
    <x v="0"/>
    <s v="Travel"/>
    <x v="4"/>
    <x v="1"/>
    <s v="Mobile"/>
    <n v="0"/>
    <n v="2"/>
    <x v="494"/>
    <n v="1"/>
    <x v="0"/>
    <x v="0"/>
    <x v="0"/>
  </r>
  <r>
    <x v="689"/>
    <s v="C1252"/>
    <d v="2024-01-29T17:00:00"/>
    <n v="9392.84"/>
    <x v="3"/>
    <x v="2"/>
    <s v="Entertainment"/>
    <x v="4"/>
    <x v="0"/>
    <s v="Mobile"/>
    <n v="0"/>
    <n v="4"/>
    <x v="162"/>
    <n v="1"/>
    <x v="0"/>
    <x v="0"/>
    <x v="0"/>
  </r>
  <r>
    <x v="690"/>
    <s v="C1044"/>
    <d v="2024-01-29T18:00:00"/>
    <n v="16217.78"/>
    <x v="3"/>
    <x v="0"/>
    <s v="Food"/>
    <x v="2"/>
    <x v="2"/>
    <s v="Desktop"/>
    <n v="0"/>
    <n v="2"/>
    <x v="495"/>
    <n v="0"/>
    <x v="2"/>
    <x v="0"/>
    <x v="1"/>
  </r>
  <r>
    <x v="691"/>
    <s v="C1436"/>
    <d v="2024-01-29T19:00:00"/>
    <n v="21300.55"/>
    <x v="2"/>
    <x v="3"/>
    <s v="Entertainment"/>
    <x v="4"/>
    <x v="3"/>
    <s v="Mobile"/>
    <n v="0"/>
    <n v="2"/>
    <x v="175"/>
    <n v="1"/>
    <x v="0"/>
    <x v="0"/>
    <x v="0"/>
  </r>
  <r>
    <x v="692"/>
    <s v="C1112"/>
    <d v="2024-01-29T20:00:00"/>
    <n v="25405.14"/>
    <x v="3"/>
    <x v="2"/>
    <s v="Entertainment"/>
    <x v="2"/>
    <x v="0"/>
    <s v="Tablet"/>
    <n v="0"/>
    <n v="0"/>
    <x v="9"/>
    <n v="0"/>
    <x v="2"/>
    <x v="0"/>
    <x v="1"/>
  </r>
  <r>
    <x v="693"/>
    <s v="C1111"/>
    <d v="2024-01-29T21:00:00"/>
    <n v="12158.37"/>
    <x v="2"/>
    <x v="3"/>
    <s v="Food"/>
    <x v="1"/>
    <x v="1"/>
    <s v="Mobile"/>
    <n v="0"/>
    <n v="2"/>
    <x v="496"/>
    <n v="1"/>
    <x v="0"/>
    <x v="0"/>
    <x v="0"/>
  </r>
  <r>
    <x v="694"/>
    <s v="C1382"/>
    <d v="2024-01-29T22:00:00"/>
    <n v="5786.1"/>
    <x v="1"/>
    <x v="0"/>
    <s v="Entertainment"/>
    <x v="4"/>
    <x v="2"/>
    <s v="Desktop"/>
    <n v="1"/>
    <n v="0"/>
    <x v="263"/>
    <n v="0"/>
    <x v="2"/>
    <x v="0"/>
    <x v="1"/>
  </r>
  <r>
    <x v="695"/>
    <s v="C1285"/>
    <d v="2024-01-29T23:00:00"/>
    <n v="30550.47"/>
    <x v="2"/>
    <x v="2"/>
    <s v="Travel"/>
    <x v="1"/>
    <x v="0"/>
    <s v="Mobile"/>
    <n v="0"/>
    <n v="0"/>
    <x v="20"/>
    <n v="0"/>
    <x v="2"/>
    <x v="0"/>
    <x v="1"/>
  </r>
  <r>
    <x v="696"/>
    <s v="C1444"/>
    <d v="2024-01-30T00:00:00"/>
    <n v="14467.1"/>
    <x v="1"/>
    <x v="3"/>
    <s v="Electronics"/>
    <x v="3"/>
    <x v="2"/>
    <s v="Mobile"/>
    <n v="0"/>
    <n v="2"/>
    <x v="497"/>
    <n v="1"/>
    <x v="0"/>
    <x v="0"/>
    <x v="0"/>
  </r>
  <r>
    <x v="697"/>
    <s v="C1266"/>
    <d v="2024-01-30T01:00:00"/>
    <n v="29082.85"/>
    <x v="2"/>
    <x v="0"/>
    <s v="Entertainment"/>
    <x v="2"/>
    <x v="2"/>
    <s v="Mobile"/>
    <n v="0"/>
    <n v="1"/>
    <x v="317"/>
    <n v="0"/>
    <x v="2"/>
    <x v="0"/>
    <x v="1"/>
  </r>
  <r>
    <x v="698"/>
    <s v="C1247"/>
    <d v="2024-01-30T02:00:00"/>
    <n v="7760.42"/>
    <x v="0"/>
    <x v="0"/>
    <s v="Travel"/>
    <x v="3"/>
    <x v="2"/>
    <s v="Desktop"/>
    <n v="1"/>
    <n v="3"/>
    <x v="498"/>
    <n v="1"/>
    <x v="1"/>
    <x v="0"/>
    <x v="0"/>
  </r>
  <r>
    <x v="699"/>
    <s v="C1105"/>
    <d v="2024-01-30T03:00:00"/>
    <n v="24082.95"/>
    <x v="3"/>
    <x v="1"/>
    <s v="Electronics"/>
    <x v="4"/>
    <x v="1"/>
    <s v="Tablet"/>
    <n v="0"/>
    <n v="1"/>
    <x v="62"/>
    <n v="0"/>
    <x v="2"/>
    <x v="0"/>
    <x v="1"/>
  </r>
  <r>
    <x v="700"/>
    <s v="C1445"/>
    <d v="2024-01-30T04:00:00"/>
    <n v="26652.84"/>
    <x v="1"/>
    <x v="0"/>
    <s v="Electronics"/>
    <x v="1"/>
    <x v="0"/>
    <s v="Tablet"/>
    <n v="0"/>
    <n v="2"/>
    <x v="499"/>
    <n v="1"/>
    <x v="0"/>
    <x v="0"/>
    <x v="0"/>
  </r>
  <r>
    <x v="701"/>
    <s v="C1498"/>
    <d v="2024-01-30T05:00:00"/>
    <n v="2638.59"/>
    <x v="2"/>
    <x v="3"/>
    <s v="Entertainment"/>
    <x v="4"/>
    <x v="4"/>
    <s v="Desktop"/>
    <n v="1"/>
    <n v="2"/>
    <x v="500"/>
    <n v="1"/>
    <x v="0"/>
    <x v="0"/>
    <x v="0"/>
  </r>
  <r>
    <x v="702"/>
    <s v="C1460"/>
    <d v="2024-01-30T06:00:00"/>
    <n v="16863.38"/>
    <x v="3"/>
    <x v="2"/>
    <s v="Travel"/>
    <x v="3"/>
    <x v="4"/>
    <s v="Desktop"/>
    <n v="0"/>
    <n v="1"/>
    <x v="501"/>
    <n v="0"/>
    <x v="2"/>
    <x v="0"/>
    <x v="1"/>
  </r>
  <r>
    <x v="703"/>
    <s v="C1250"/>
    <d v="2024-01-30T07:00:00"/>
    <n v="6764.01"/>
    <x v="2"/>
    <x v="1"/>
    <s v="Entertainment"/>
    <x v="4"/>
    <x v="1"/>
    <s v="Mobile"/>
    <n v="0"/>
    <n v="2"/>
    <x v="502"/>
    <n v="0"/>
    <x v="2"/>
    <x v="0"/>
    <x v="1"/>
  </r>
  <r>
    <x v="704"/>
    <s v="C1429"/>
    <d v="2024-01-30T08:00:00"/>
    <n v="3215.58"/>
    <x v="3"/>
    <x v="0"/>
    <s v="Food"/>
    <x v="0"/>
    <x v="1"/>
    <s v="Tablet"/>
    <n v="0"/>
    <n v="0"/>
    <x v="80"/>
    <n v="0"/>
    <x v="2"/>
    <x v="0"/>
    <x v="1"/>
  </r>
  <r>
    <x v="705"/>
    <s v="C1201"/>
    <d v="2024-01-30T09:00:00"/>
    <n v="49498.51"/>
    <x v="3"/>
    <x v="0"/>
    <s v="Electronics"/>
    <x v="3"/>
    <x v="2"/>
    <s v="Desktop"/>
    <n v="0"/>
    <n v="4"/>
    <x v="503"/>
    <n v="1"/>
    <x v="1"/>
    <x v="0"/>
    <x v="0"/>
  </r>
  <r>
    <x v="706"/>
    <s v="C1239"/>
    <d v="2024-01-30T10:00:00"/>
    <n v="16151.57"/>
    <x v="2"/>
    <x v="0"/>
    <s v="Entertainment"/>
    <x v="4"/>
    <x v="0"/>
    <s v="Tablet"/>
    <n v="0"/>
    <n v="2"/>
    <x v="264"/>
    <n v="1"/>
    <x v="0"/>
    <x v="0"/>
    <x v="0"/>
  </r>
  <r>
    <x v="707"/>
    <s v="C1025"/>
    <d v="2024-01-30T11:00:00"/>
    <n v="40503.230000000003"/>
    <x v="1"/>
    <x v="3"/>
    <s v="Electronics"/>
    <x v="1"/>
    <x v="0"/>
    <s v="Mobile"/>
    <n v="0"/>
    <n v="2"/>
    <x v="504"/>
    <n v="1"/>
    <x v="1"/>
    <x v="0"/>
    <x v="0"/>
  </r>
  <r>
    <x v="708"/>
    <s v="C1315"/>
    <d v="2024-01-30T12:00:00"/>
    <n v="12769.3"/>
    <x v="1"/>
    <x v="1"/>
    <s v="Travel"/>
    <x v="4"/>
    <x v="3"/>
    <s v="Desktop"/>
    <n v="0"/>
    <n v="1"/>
    <x v="4"/>
    <n v="0"/>
    <x v="2"/>
    <x v="0"/>
    <x v="1"/>
  </r>
  <r>
    <x v="709"/>
    <s v="C1449"/>
    <d v="2024-01-30T13:00:00"/>
    <n v="34091.06"/>
    <x v="0"/>
    <x v="3"/>
    <s v="Retail"/>
    <x v="1"/>
    <x v="3"/>
    <s v="Tablet"/>
    <n v="0"/>
    <n v="0"/>
    <x v="317"/>
    <n v="0"/>
    <x v="2"/>
    <x v="0"/>
    <x v="1"/>
  </r>
  <r>
    <x v="710"/>
    <s v="C1362"/>
    <d v="2024-01-30T14:00:00"/>
    <n v="38023.379999999997"/>
    <x v="3"/>
    <x v="1"/>
    <s v="Entertainment"/>
    <x v="0"/>
    <x v="4"/>
    <s v="Tablet"/>
    <n v="0"/>
    <n v="1"/>
    <x v="505"/>
    <n v="1"/>
    <x v="0"/>
    <x v="0"/>
    <x v="0"/>
  </r>
  <r>
    <x v="711"/>
    <s v="C1432"/>
    <d v="2024-01-30T15:00:00"/>
    <n v="29802.16"/>
    <x v="0"/>
    <x v="2"/>
    <s v="Entertainment"/>
    <x v="4"/>
    <x v="3"/>
    <s v="Mobile"/>
    <n v="0"/>
    <n v="1"/>
    <x v="506"/>
    <n v="1"/>
    <x v="0"/>
    <x v="0"/>
    <x v="0"/>
  </r>
  <r>
    <x v="712"/>
    <s v="C1001"/>
    <d v="2024-01-30T16:00:00"/>
    <n v="23605.23"/>
    <x v="0"/>
    <x v="3"/>
    <s v="Electronics"/>
    <x v="0"/>
    <x v="3"/>
    <s v="Desktop"/>
    <n v="0"/>
    <n v="2"/>
    <x v="507"/>
    <n v="1"/>
    <x v="0"/>
    <x v="0"/>
    <x v="0"/>
  </r>
  <r>
    <x v="713"/>
    <s v="C1194"/>
    <d v="2024-01-30T17:00:00"/>
    <n v="20621.45"/>
    <x v="2"/>
    <x v="3"/>
    <s v="Travel"/>
    <x v="3"/>
    <x v="4"/>
    <s v="Tablet"/>
    <n v="0"/>
    <n v="0"/>
    <x v="335"/>
    <n v="0"/>
    <x v="2"/>
    <x v="0"/>
    <x v="1"/>
  </r>
  <r>
    <x v="714"/>
    <s v="C1230"/>
    <d v="2024-01-30T18:00:00"/>
    <n v="17475.97"/>
    <x v="2"/>
    <x v="2"/>
    <s v="Food"/>
    <x v="1"/>
    <x v="4"/>
    <s v="Mobile"/>
    <n v="0"/>
    <n v="2"/>
    <x v="193"/>
    <n v="0"/>
    <x v="2"/>
    <x v="0"/>
    <x v="1"/>
  </r>
  <r>
    <x v="715"/>
    <s v="C1095"/>
    <d v="2024-01-30T19:00:00"/>
    <n v="46479.98"/>
    <x v="2"/>
    <x v="1"/>
    <s v="Travel"/>
    <x v="3"/>
    <x v="3"/>
    <s v="Tablet"/>
    <n v="1"/>
    <n v="2"/>
    <x v="170"/>
    <n v="1"/>
    <x v="1"/>
    <x v="0"/>
    <x v="0"/>
  </r>
  <r>
    <x v="716"/>
    <s v="C1426"/>
    <d v="2024-01-30T20:00:00"/>
    <n v="41539.440000000002"/>
    <x v="3"/>
    <x v="0"/>
    <s v="Entertainment"/>
    <x v="1"/>
    <x v="0"/>
    <s v="Mobile"/>
    <n v="0"/>
    <n v="2"/>
    <x v="508"/>
    <n v="1"/>
    <x v="1"/>
    <x v="0"/>
    <x v="0"/>
  </r>
  <r>
    <x v="717"/>
    <s v="C1446"/>
    <d v="2024-01-30T21:00:00"/>
    <n v="48253.09"/>
    <x v="2"/>
    <x v="2"/>
    <s v="Food"/>
    <x v="0"/>
    <x v="3"/>
    <s v="Tablet"/>
    <n v="1"/>
    <n v="2"/>
    <x v="32"/>
    <n v="1"/>
    <x v="1"/>
    <x v="0"/>
    <x v="0"/>
  </r>
  <r>
    <x v="718"/>
    <s v="C1320"/>
    <d v="2024-01-30T22:00:00"/>
    <n v="6258.65"/>
    <x v="2"/>
    <x v="0"/>
    <s v="Travel"/>
    <x v="2"/>
    <x v="2"/>
    <s v="Tablet"/>
    <n v="0"/>
    <n v="4"/>
    <x v="190"/>
    <n v="1"/>
    <x v="0"/>
    <x v="0"/>
    <x v="0"/>
  </r>
  <r>
    <x v="719"/>
    <s v="C1353"/>
    <d v="2024-01-30T23:00:00"/>
    <n v="36556.83"/>
    <x v="3"/>
    <x v="0"/>
    <s v="Retail"/>
    <x v="4"/>
    <x v="2"/>
    <s v="Mobile"/>
    <n v="0"/>
    <n v="3"/>
    <x v="398"/>
    <n v="1"/>
    <x v="1"/>
    <x v="0"/>
    <x v="0"/>
  </r>
  <r>
    <x v="720"/>
    <s v="C1478"/>
    <d v="2024-01-31T00:00:00"/>
    <n v="46920.11"/>
    <x v="3"/>
    <x v="2"/>
    <s v="Electronics"/>
    <x v="0"/>
    <x v="2"/>
    <s v="Desktop"/>
    <n v="0"/>
    <n v="0"/>
    <x v="146"/>
    <n v="1"/>
    <x v="0"/>
    <x v="0"/>
    <x v="0"/>
  </r>
  <r>
    <x v="721"/>
    <s v="C1040"/>
    <d v="2024-01-31T01:00:00"/>
    <n v="9102.59"/>
    <x v="1"/>
    <x v="1"/>
    <s v="Travel"/>
    <x v="1"/>
    <x v="1"/>
    <s v="Mobile"/>
    <n v="0"/>
    <n v="4"/>
    <x v="406"/>
    <n v="1"/>
    <x v="0"/>
    <x v="0"/>
    <x v="0"/>
  </r>
  <r>
    <x v="722"/>
    <s v="C1164"/>
    <d v="2024-01-31T02:00:00"/>
    <n v="3371.49"/>
    <x v="2"/>
    <x v="0"/>
    <s v="Travel"/>
    <x v="1"/>
    <x v="2"/>
    <s v="Desktop"/>
    <n v="1"/>
    <n v="3"/>
    <x v="491"/>
    <n v="1"/>
    <x v="0"/>
    <x v="0"/>
    <x v="0"/>
  </r>
  <r>
    <x v="723"/>
    <s v="C1090"/>
    <d v="2024-01-31T03:00:00"/>
    <n v="37068.980000000003"/>
    <x v="2"/>
    <x v="2"/>
    <s v="Retail"/>
    <x v="1"/>
    <x v="0"/>
    <s v="Tablet"/>
    <n v="1"/>
    <n v="3"/>
    <x v="509"/>
    <n v="1"/>
    <x v="1"/>
    <x v="0"/>
    <x v="0"/>
  </r>
  <r>
    <x v="724"/>
    <s v="C1036"/>
    <d v="2024-01-31T04:00:00"/>
    <n v="28744.93"/>
    <x v="2"/>
    <x v="3"/>
    <s v="Entertainment"/>
    <x v="1"/>
    <x v="1"/>
    <s v="Tablet"/>
    <n v="0"/>
    <n v="3"/>
    <x v="456"/>
    <n v="1"/>
    <x v="1"/>
    <x v="0"/>
    <x v="0"/>
  </r>
  <r>
    <x v="725"/>
    <s v="C1071"/>
    <d v="2024-01-31T05:00:00"/>
    <n v="42099.35"/>
    <x v="1"/>
    <x v="3"/>
    <s v="Electronics"/>
    <x v="4"/>
    <x v="1"/>
    <s v="Mobile"/>
    <n v="0"/>
    <n v="4"/>
    <x v="510"/>
    <n v="1"/>
    <x v="1"/>
    <x v="0"/>
    <x v="0"/>
  </r>
  <r>
    <x v="726"/>
    <s v="C1097"/>
    <d v="2024-01-31T06:00:00"/>
    <n v="7031.63"/>
    <x v="2"/>
    <x v="3"/>
    <s v="Travel"/>
    <x v="3"/>
    <x v="2"/>
    <s v="Mobile"/>
    <n v="0"/>
    <n v="0"/>
    <x v="511"/>
    <n v="0"/>
    <x v="2"/>
    <x v="0"/>
    <x v="1"/>
  </r>
  <r>
    <x v="727"/>
    <s v="C1307"/>
    <d v="2024-01-31T07:00:00"/>
    <n v="39773.599999999999"/>
    <x v="1"/>
    <x v="2"/>
    <s v="Food"/>
    <x v="2"/>
    <x v="3"/>
    <s v="Desktop"/>
    <n v="0"/>
    <n v="1"/>
    <x v="512"/>
    <n v="1"/>
    <x v="0"/>
    <x v="0"/>
    <x v="0"/>
  </r>
  <r>
    <x v="728"/>
    <s v="C1293"/>
    <d v="2024-01-31T08:00:00"/>
    <n v="10121.280000000001"/>
    <x v="0"/>
    <x v="3"/>
    <s v="Travel"/>
    <x v="4"/>
    <x v="4"/>
    <s v="Desktop"/>
    <n v="0"/>
    <n v="3"/>
    <x v="513"/>
    <n v="1"/>
    <x v="0"/>
    <x v="0"/>
    <x v="0"/>
  </r>
  <r>
    <x v="729"/>
    <s v="C1414"/>
    <d v="2024-01-31T09:00:00"/>
    <n v="8224.61"/>
    <x v="1"/>
    <x v="0"/>
    <s v="Electronics"/>
    <x v="1"/>
    <x v="3"/>
    <s v="Desktop"/>
    <n v="0"/>
    <n v="1"/>
    <x v="450"/>
    <n v="0"/>
    <x v="2"/>
    <x v="0"/>
    <x v="1"/>
  </r>
  <r>
    <x v="730"/>
    <s v="C1031"/>
    <d v="2024-01-31T10:00:00"/>
    <n v="8255.08"/>
    <x v="0"/>
    <x v="3"/>
    <s v="Travel"/>
    <x v="4"/>
    <x v="3"/>
    <s v="Mobile"/>
    <n v="0"/>
    <n v="1"/>
    <x v="514"/>
    <n v="0"/>
    <x v="2"/>
    <x v="0"/>
    <x v="1"/>
  </r>
  <r>
    <x v="731"/>
    <s v="C1073"/>
    <d v="2024-01-31T11:00:00"/>
    <n v="40738.01"/>
    <x v="2"/>
    <x v="3"/>
    <s v="Retail"/>
    <x v="0"/>
    <x v="1"/>
    <s v="Tablet"/>
    <n v="0"/>
    <n v="2"/>
    <x v="515"/>
    <n v="1"/>
    <x v="1"/>
    <x v="0"/>
    <x v="0"/>
  </r>
  <r>
    <x v="732"/>
    <s v="C1178"/>
    <d v="2024-01-31T12:00:00"/>
    <n v="33276.6"/>
    <x v="0"/>
    <x v="0"/>
    <s v="Travel"/>
    <x v="1"/>
    <x v="1"/>
    <s v="Mobile"/>
    <n v="0"/>
    <n v="1"/>
    <x v="23"/>
    <n v="1"/>
    <x v="0"/>
    <x v="0"/>
    <x v="0"/>
  </r>
  <r>
    <x v="733"/>
    <s v="C1139"/>
    <d v="2024-01-31T13:00:00"/>
    <n v="26177.119999999999"/>
    <x v="1"/>
    <x v="3"/>
    <s v="Travel"/>
    <x v="2"/>
    <x v="1"/>
    <s v="Tablet"/>
    <n v="0"/>
    <n v="2"/>
    <x v="359"/>
    <n v="1"/>
    <x v="0"/>
    <x v="0"/>
    <x v="0"/>
  </r>
  <r>
    <x v="734"/>
    <s v="C1317"/>
    <d v="2024-01-31T14:00:00"/>
    <n v="17973.580000000002"/>
    <x v="3"/>
    <x v="0"/>
    <s v="Food"/>
    <x v="1"/>
    <x v="0"/>
    <s v="Mobile"/>
    <n v="0"/>
    <n v="0"/>
    <x v="6"/>
    <n v="0"/>
    <x v="2"/>
    <x v="0"/>
    <x v="1"/>
  </r>
  <r>
    <x v="735"/>
    <s v="C1099"/>
    <d v="2024-01-31T15:00:00"/>
    <n v="43866.17"/>
    <x v="0"/>
    <x v="3"/>
    <s v="Retail"/>
    <x v="2"/>
    <x v="0"/>
    <s v="Mobile"/>
    <n v="1"/>
    <n v="0"/>
    <x v="516"/>
    <n v="1"/>
    <x v="0"/>
    <x v="0"/>
    <x v="0"/>
  </r>
  <r>
    <x v="736"/>
    <s v="C1285"/>
    <d v="2024-01-31T16:00:00"/>
    <n v="19652.63"/>
    <x v="0"/>
    <x v="0"/>
    <s v="Retail"/>
    <x v="2"/>
    <x v="4"/>
    <s v="Desktop"/>
    <n v="0"/>
    <n v="2"/>
    <x v="517"/>
    <n v="1"/>
    <x v="0"/>
    <x v="0"/>
    <x v="0"/>
  </r>
  <r>
    <x v="737"/>
    <s v="C1175"/>
    <d v="2024-01-31T17:00:00"/>
    <n v="40839.14"/>
    <x v="2"/>
    <x v="3"/>
    <s v="Travel"/>
    <x v="3"/>
    <x v="1"/>
    <s v="Tablet"/>
    <n v="0"/>
    <n v="0"/>
    <x v="518"/>
    <n v="1"/>
    <x v="0"/>
    <x v="0"/>
    <x v="0"/>
  </r>
  <r>
    <x v="738"/>
    <s v="C1467"/>
    <d v="2024-01-31T18:00:00"/>
    <n v="21984.79"/>
    <x v="1"/>
    <x v="0"/>
    <s v="Food"/>
    <x v="3"/>
    <x v="2"/>
    <s v="Mobile"/>
    <n v="0"/>
    <n v="3"/>
    <x v="21"/>
    <n v="1"/>
    <x v="0"/>
    <x v="0"/>
    <x v="0"/>
  </r>
  <r>
    <x v="739"/>
    <s v="C1038"/>
    <d v="2024-01-31T19:00:00"/>
    <n v="18878.37"/>
    <x v="0"/>
    <x v="2"/>
    <s v="Travel"/>
    <x v="4"/>
    <x v="1"/>
    <s v="Mobile"/>
    <n v="0"/>
    <n v="0"/>
    <x v="447"/>
    <n v="0"/>
    <x v="2"/>
    <x v="0"/>
    <x v="1"/>
  </r>
  <r>
    <x v="740"/>
    <s v="C1069"/>
    <d v="2024-01-31T20:00:00"/>
    <n v="23160.86"/>
    <x v="0"/>
    <x v="0"/>
    <s v="Travel"/>
    <x v="4"/>
    <x v="0"/>
    <s v="Tablet"/>
    <n v="0"/>
    <n v="2"/>
    <x v="519"/>
    <n v="1"/>
    <x v="0"/>
    <x v="0"/>
    <x v="0"/>
  </r>
  <r>
    <x v="741"/>
    <s v="C1293"/>
    <d v="2024-01-31T21:00:00"/>
    <n v="15103.82"/>
    <x v="0"/>
    <x v="3"/>
    <s v="Electronics"/>
    <x v="2"/>
    <x v="1"/>
    <s v="Mobile"/>
    <n v="1"/>
    <n v="3"/>
    <x v="244"/>
    <n v="1"/>
    <x v="1"/>
    <x v="0"/>
    <x v="0"/>
  </r>
  <r>
    <x v="742"/>
    <s v="C1126"/>
    <d v="2024-01-31T22:00:00"/>
    <n v="37393.089999999997"/>
    <x v="0"/>
    <x v="3"/>
    <s v="Electronics"/>
    <x v="1"/>
    <x v="0"/>
    <s v="Tablet"/>
    <n v="1"/>
    <n v="1"/>
    <x v="46"/>
    <n v="1"/>
    <x v="1"/>
    <x v="0"/>
    <x v="0"/>
  </r>
  <r>
    <x v="743"/>
    <s v="C1325"/>
    <d v="2024-01-31T23:00:00"/>
    <n v="25160.880000000001"/>
    <x v="3"/>
    <x v="1"/>
    <s v="Food"/>
    <x v="0"/>
    <x v="1"/>
    <s v="Desktop"/>
    <n v="0"/>
    <n v="1"/>
    <x v="520"/>
    <n v="1"/>
    <x v="0"/>
    <x v="0"/>
    <x v="0"/>
  </r>
  <r>
    <x v="744"/>
    <s v="C1225"/>
    <d v="2024-02-01T00:00:00"/>
    <n v="11649.02"/>
    <x v="1"/>
    <x v="0"/>
    <s v="Entertainment"/>
    <x v="0"/>
    <x v="2"/>
    <s v="Desktop"/>
    <n v="0"/>
    <n v="1"/>
    <x v="521"/>
    <n v="0"/>
    <x v="2"/>
    <x v="1"/>
    <x v="1"/>
  </r>
  <r>
    <x v="745"/>
    <s v="C1135"/>
    <d v="2024-02-01T01:00:00"/>
    <n v="44983.75"/>
    <x v="2"/>
    <x v="2"/>
    <s v="Electronics"/>
    <x v="1"/>
    <x v="4"/>
    <s v="Tablet"/>
    <n v="0"/>
    <n v="2"/>
    <x v="522"/>
    <n v="1"/>
    <x v="0"/>
    <x v="1"/>
    <x v="0"/>
  </r>
  <r>
    <x v="746"/>
    <s v="C1084"/>
    <d v="2024-02-01T02:00:00"/>
    <n v="19225.37"/>
    <x v="2"/>
    <x v="0"/>
    <s v="Entertainment"/>
    <x v="1"/>
    <x v="2"/>
    <s v="Desktop"/>
    <n v="0"/>
    <n v="1"/>
    <x v="523"/>
    <n v="0"/>
    <x v="2"/>
    <x v="1"/>
    <x v="1"/>
  </r>
  <r>
    <x v="747"/>
    <s v="C1339"/>
    <d v="2024-02-01T03:00:00"/>
    <n v="27200.47"/>
    <x v="3"/>
    <x v="0"/>
    <s v="Retail"/>
    <x v="3"/>
    <x v="0"/>
    <s v="Tablet"/>
    <n v="0"/>
    <n v="0"/>
    <x v="63"/>
    <n v="0"/>
    <x v="2"/>
    <x v="1"/>
    <x v="1"/>
  </r>
  <r>
    <x v="748"/>
    <s v="C1467"/>
    <d v="2024-02-01T04:00:00"/>
    <n v="45328.28"/>
    <x v="1"/>
    <x v="2"/>
    <s v="Electronics"/>
    <x v="0"/>
    <x v="3"/>
    <s v="Mobile"/>
    <n v="0"/>
    <n v="1"/>
    <x v="524"/>
    <n v="1"/>
    <x v="0"/>
    <x v="1"/>
    <x v="0"/>
  </r>
  <r>
    <x v="749"/>
    <s v="C1268"/>
    <d v="2024-02-01T05:00:00"/>
    <n v="31230.69"/>
    <x v="0"/>
    <x v="0"/>
    <s v="Electronics"/>
    <x v="2"/>
    <x v="2"/>
    <s v="Mobile"/>
    <n v="0"/>
    <n v="4"/>
    <x v="525"/>
    <n v="1"/>
    <x v="1"/>
    <x v="1"/>
    <x v="0"/>
  </r>
  <r>
    <x v="750"/>
    <s v="C1425"/>
    <d v="2024-02-01T06:00:00"/>
    <n v="5889.06"/>
    <x v="3"/>
    <x v="2"/>
    <s v="Food"/>
    <x v="4"/>
    <x v="1"/>
    <s v="Tablet"/>
    <n v="0"/>
    <n v="4"/>
    <x v="526"/>
    <n v="1"/>
    <x v="0"/>
    <x v="1"/>
    <x v="0"/>
  </r>
  <r>
    <x v="751"/>
    <s v="C1438"/>
    <d v="2024-02-01T07:00:00"/>
    <n v="46994.61"/>
    <x v="1"/>
    <x v="2"/>
    <s v="Entertainment"/>
    <x v="3"/>
    <x v="4"/>
    <s v="Mobile"/>
    <n v="0"/>
    <n v="1"/>
    <x v="213"/>
    <n v="1"/>
    <x v="0"/>
    <x v="1"/>
    <x v="0"/>
  </r>
  <r>
    <x v="752"/>
    <s v="C1357"/>
    <d v="2024-02-01T08:00:00"/>
    <n v="31404.02"/>
    <x v="0"/>
    <x v="0"/>
    <s v="Electronics"/>
    <x v="0"/>
    <x v="1"/>
    <s v="Desktop"/>
    <n v="0"/>
    <n v="1"/>
    <x v="218"/>
    <n v="1"/>
    <x v="0"/>
    <x v="1"/>
    <x v="0"/>
  </r>
  <r>
    <x v="753"/>
    <s v="C1323"/>
    <d v="2024-02-01T09:00:00"/>
    <n v="16778.54"/>
    <x v="3"/>
    <x v="0"/>
    <s v="Electronics"/>
    <x v="1"/>
    <x v="1"/>
    <s v="Mobile"/>
    <n v="0"/>
    <n v="4"/>
    <x v="527"/>
    <n v="1"/>
    <x v="1"/>
    <x v="1"/>
    <x v="0"/>
  </r>
  <r>
    <x v="754"/>
    <s v="C1228"/>
    <d v="2024-02-01T10:00:00"/>
    <n v="7006.64"/>
    <x v="1"/>
    <x v="3"/>
    <s v="Food"/>
    <x v="0"/>
    <x v="2"/>
    <s v="Mobile"/>
    <n v="0"/>
    <n v="1"/>
    <x v="442"/>
    <n v="0"/>
    <x v="2"/>
    <x v="1"/>
    <x v="1"/>
  </r>
  <r>
    <x v="755"/>
    <s v="C1002"/>
    <d v="2024-02-01T11:00:00"/>
    <n v="39711.56"/>
    <x v="2"/>
    <x v="3"/>
    <s v="Food"/>
    <x v="2"/>
    <x v="4"/>
    <s v="Tablet"/>
    <n v="0"/>
    <n v="3"/>
    <x v="528"/>
    <n v="1"/>
    <x v="1"/>
    <x v="1"/>
    <x v="0"/>
  </r>
  <r>
    <x v="756"/>
    <s v="C1420"/>
    <d v="2024-02-01T12:00:00"/>
    <n v="31022.63"/>
    <x v="2"/>
    <x v="1"/>
    <s v="Entertainment"/>
    <x v="3"/>
    <x v="3"/>
    <s v="Desktop"/>
    <n v="0"/>
    <n v="4"/>
    <x v="529"/>
    <n v="1"/>
    <x v="1"/>
    <x v="1"/>
    <x v="0"/>
  </r>
  <r>
    <x v="757"/>
    <s v="C1322"/>
    <d v="2024-02-01T13:00:00"/>
    <n v="26696.38"/>
    <x v="1"/>
    <x v="1"/>
    <s v="Retail"/>
    <x v="1"/>
    <x v="1"/>
    <s v="Mobile"/>
    <n v="0"/>
    <n v="2"/>
    <x v="499"/>
    <n v="1"/>
    <x v="0"/>
    <x v="1"/>
    <x v="0"/>
  </r>
  <r>
    <x v="758"/>
    <s v="C1004"/>
    <d v="2024-02-01T14:00:00"/>
    <n v="44699.93"/>
    <x v="2"/>
    <x v="0"/>
    <s v="Retail"/>
    <x v="2"/>
    <x v="4"/>
    <s v="Mobile"/>
    <n v="1"/>
    <n v="4"/>
    <x v="530"/>
    <n v="1"/>
    <x v="1"/>
    <x v="1"/>
    <x v="0"/>
  </r>
  <r>
    <x v="759"/>
    <s v="C1104"/>
    <d v="2024-02-01T15:00:00"/>
    <n v="39440.43"/>
    <x v="1"/>
    <x v="2"/>
    <s v="Travel"/>
    <x v="4"/>
    <x v="3"/>
    <s v="Tablet"/>
    <n v="0"/>
    <n v="0"/>
    <x v="531"/>
    <n v="0"/>
    <x v="2"/>
    <x v="1"/>
    <x v="1"/>
  </r>
  <r>
    <x v="760"/>
    <s v="C1050"/>
    <d v="2024-02-01T16:00:00"/>
    <n v="7626.16"/>
    <x v="0"/>
    <x v="1"/>
    <s v="Electronics"/>
    <x v="3"/>
    <x v="1"/>
    <s v="Tablet"/>
    <n v="0"/>
    <n v="3"/>
    <x v="500"/>
    <n v="1"/>
    <x v="0"/>
    <x v="1"/>
    <x v="0"/>
  </r>
  <r>
    <x v="761"/>
    <s v="C1057"/>
    <d v="2024-02-01T17:00:00"/>
    <n v="15620.52"/>
    <x v="1"/>
    <x v="0"/>
    <s v="Entertainment"/>
    <x v="2"/>
    <x v="4"/>
    <s v="Desktop"/>
    <n v="0"/>
    <n v="2"/>
    <x v="241"/>
    <n v="1"/>
    <x v="0"/>
    <x v="1"/>
    <x v="0"/>
  </r>
  <r>
    <x v="762"/>
    <s v="C1341"/>
    <d v="2024-02-01T18:00:00"/>
    <n v="12462.03"/>
    <x v="0"/>
    <x v="1"/>
    <s v="Electronics"/>
    <x v="2"/>
    <x v="2"/>
    <s v="Mobile"/>
    <n v="0"/>
    <n v="1"/>
    <x v="187"/>
    <n v="0"/>
    <x v="2"/>
    <x v="1"/>
    <x v="1"/>
  </r>
  <r>
    <x v="763"/>
    <s v="C1242"/>
    <d v="2024-02-01T19:00:00"/>
    <n v="37210.120000000003"/>
    <x v="3"/>
    <x v="2"/>
    <s v="Entertainment"/>
    <x v="1"/>
    <x v="1"/>
    <s v="Tablet"/>
    <n v="0"/>
    <n v="0"/>
    <x v="532"/>
    <n v="0"/>
    <x v="2"/>
    <x v="1"/>
    <x v="1"/>
  </r>
  <r>
    <x v="764"/>
    <s v="C1471"/>
    <d v="2024-02-01T20:00:00"/>
    <n v="1724.95"/>
    <x v="1"/>
    <x v="0"/>
    <s v="Entertainment"/>
    <x v="4"/>
    <x v="1"/>
    <s v="Tablet"/>
    <n v="0"/>
    <n v="0"/>
    <x v="533"/>
    <n v="0"/>
    <x v="2"/>
    <x v="1"/>
    <x v="1"/>
  </r>
  <r>
    <x v="765"/>
    <s v="C1229"/>
    <d v="2024-02-01T21:00:00"/>
    <n v="28515.99"/>
    <x v="3"/>
    <x v="2"/>
    <s v="Entertainment"/>
    <x v="2"/>
    <x v="4"/>
    <s v="Tablet"/>
    <n v="1"/>
    <n v="3"/>
    <x v="228"/>
    <n v="1"/>
    <x v="1"/>
    <x v="1"/>
    <x v="0"/>
  </r>
  <r>
    <x v="766"/>
    <s v="C1146"/>
    <d v="2024-02-01T22:00:00"/>
    <n v="38134.81"/>
    <x v="2"/>
    <x v="0"/>
    <s v="Electronics"/>
    <x v="3"/>
    <x v="1"/>
    <s v="Desktop"/>
    <n v="0"/>
    <n v="2"/>
    <x v="87"/>
    <n v="1"/>
    <x v="0"/>
    <x v="1"/>
    <x v="0"/>
  </r>
  <r>
    <x v="767"/>
    <s v="C1248"/>
    <d v="2024-02-01T23:00:00"/>
    <n v="43844.44"/>
    <x v="0"/>
    <x v="1"/>
    <s v="Food"/>
    <x v="2"/>
    <x v="3"/>
    <s v="Tablet"/>
    <n v="0"/>
    <n v="0"/>
    <x v="534"/>
    <n v="1"/>
    <x v="0"/>
    <x v="1"/>
    <x v="0"/>
  </r>
  <r>
    <x v="768"/>
    <s v="C1149"/>
    <d v="2024-02-02T00:00:00"/>
    <n v="17136.98"/>
    <x v="1"/>
    <x v="3"/>
    <s v="Electronics"/>
    <x v="0"/>
    <x v="1"/>
    <s v="Desktop"/>
    <n v="0"/>
    <n v="2"/>
    <x v="124"/>
    <n v="1"/>
    <x v="0"/>
    <x v="1"/>
    <x v="0"/>
  </r>
  <r>
    <x v="769"/>
    <s v="C1135"/>
    <d v="2024-02-02T01:00:00"/>
    <n v="41071.800000000003"/>
    <x v="3"/>
    <x v="1"/>
    <s v="Entertainment"/>
    <x v="3"/>
    <x v="0"/>
    <s v="Desktop"/>
    <n v="0"/>
    <n v="2"/>
    <x v="449"/>
    <n v="1"/>
    <x v="1"/>
    <x v="1"/>
    <x v="0"/>
  </r>
  <r>
    <x v="770"/>
    <s v="C1399"/>
    <d v="2024-02-02T02:00:00"/>
    <n v="5576.06"/>
    <x v="0"/>
    <x v="1"/>
    <s v="Travel"/>
    <x v="3"/>
    <x v="3"/>
    <s v="Mobile"/>
    <n v="0"/>
    <n v="0"/>
    <x v="486"/>
    <n v="0"/>
    <x v="2"/>
    <x v="1"/>
    <x v="1"/>
  </r>
  <r>
    <x v="771"/>
    <s v="C1187"/>
    <d v="2024-02-02T03:00:00"/>
    <n v="42330.29"/>
    <x v="0"/>
    <x v="3"/>
    <s v="Retail"/>
    <x v="2"/>
    <x v="4"/>
    <s v="Mobile"/>
    <n v="0"/>
    <n v="2"/>
    <x v="192"/>
    <n v="1"/>
    <x v="1"/>
    <x v="1"/>
    <x v="0"/>
  </r>
  <r>
    <x v="772"/>
    <s v="C1379"/>
    <d v="2024-02-02T04:00:00"/>
    <n v="6418.06"/>
    <x v="2"/>
    <x v="3"/>
    <s v="Entertainment"/>
    <x v="1"/>
    <x v="3"/>
    <s v="Desktop"/>
    <n v="1"/>
    <n v="3"/>
    <x v="535"/>
    <n v="1"/>
    <x v="1"/>
    <x v="1"/>
    <x v="0"/>
  </r>
  <r>
    <x v="773"/>
    <s v="C1468"/>
    <d v="2024-02-02T05:00:00"/>
    <n v="19894.5"/>
    <x v="2"/>
    <x v="0"/>
    <s v="Travel"/>
    <x v="3"/>
    <x v="0"/>
    <s v="Mobile"/>
    <n v="0"/>
    <n v="0"/>
    <x v="229"/>
    <n v="0"/>
    <x v="2"/>
    <x v="1"/>
    <x v="1"/>
  </r>
  <r>
    <x v="774"/>
    <s v="C1266"/>
    <d v="2024-02-02T06:00:00"/>
    <n v="39874.9"/>
    <x v="0"/>
    <x v="0"/>
    <s v="Food"/>
    <x v="0"/>
    <x v="0"/>
    <s v="Mobile"/>
    <n v="0"/>
    <n v="3"/>
    <x v="182"/>
    <n v="1"/>
    <x v="1"/>
    <x v="1"/>
    <x v="0"/>
  </r>
  <r>
    <x v="775"/>
    <s v="C1438"/>
    <d v="2024-02-02T07:00:00"/>
    <n v="7538.38"/>
    <x v="0"/>
    <x v="2"/>
    <s v="Entertainment"/>
    <x v="1"/>
    <x v="1"/>
    <s v="Tablet"/>
    <n v="0"/>
    <n v="3"/>
    <x v="243"/>
    <n v="1"/>
    <x v="0"/>
    <x v="1"/>
    <x v="0"/>
  </r>
  <r>
    <x v="776"/>
    <s v="C1183"/>
    <d v="2024-02-02T08:00:00"/>
    <n v="11501.11"/>
    <x v="1"/>
    <x v="2"/>
    <s v="Travel"/>
    <x v="1"/>
    <x v="1"/>
    <s v="Mobile"/>
    <n v="0"/>
    <n v="2"/>
    <x v="536"/>
    <n v="1"/>
    <x v="0"/>
    <x v="1"/>
    <x v="0"/>
  </r>
  <r>
    <x v="777"/>
    <s v="C1134"/>
    <d v="2024-02-02T09:00:00"/>
    <n v="36126.519999999997"/>
    <x v="0"/>
    <x v="1"/>
    <s v="Entertainment"/>
    <x v="1"/>
    <x v="2"/>
    <s v="Desktop"/>
    <n v="0"/>
    <n v="2"/>
    <x v="537"/>
    <n v="1"/>
    <x v="0"/>
    <x v="1"/>
    <x v="0"/>
  </r>
  <r>
    <x v="778"/>
    <s v="C1312"/>
    <d v="2024-02-02T10:00:00"/>
    <n v="36015.83"/>
    <x v="1"/>
    <x v="3"/>
    <s v="Electronics"/>
    <x v="3"/>
    <x v="3"/>
    <s v="Mobile"/>
    <n v="0"/>
    <n v="0"/>
    <x v="126"/>
    <n v="0"/>
    <x v="2"/>
    <x v="1"/>
    <x v="1"/>
  </r>
  <r>
    <x v="779"/>
    <s v="C1379"/>
    <d v="2024-02-02T11:00:00"/>
    <n v="32075.32"/>
    <x v="0"/>
    <x v="2"/>
    <s v="Travel"/>
    <x v="1"/>
    <x v="2"/>
    <s v="Tablet"/>
    <n v="1"/>
    <n v="1"/>
    <x v="165"/>
    <n v="1"/>
    <x v="0"/>
    <x v="1"/>
    <x v="0"/>
  </r>
  <r>
    <x v="780"/>
    <s v="C1431"/>
    <d v="2024-02-02T12:00:00"/>
    <n v="34712.720000000001"/>
    <x v="2"/>
    <x v="1"/>
    <s v="Electronics"/>
    <x v="2"/>
    <x v="0"/>
    <s v="Desktop"/>
    <n v="0"/>
    <n v="0"/>
    <x v="197"/>
    <n v="0"/>
    <x v="2"/>
    <x v="1"/>
    <x v="1"/>
  </r>
  <r>
    <x v="781"/>
    <s v="C1263"/>
    <d v="2024-02-02T13:00:00"/>
    <n v="27159.09"/>
    <x v="1"/>
    <x v="3"/>
    <s v="Electronics"/>
    <x v="1"/>
    <x v="1"/>
    <s v="Mobile"/>
    <n v="0"/>
    <n v="3"/>
    <x v="538"/>
    <n v="1"/>
    <x v="1"/>
    <x v="1"/>
    <x v="0"/>
  </r>
  <r>
    <x v="782"/>
    <s v="C1495"/>
    <d v="2024-02-02T14:00:00"/>
    <n v="12627.36"/>
    <x v="3"/>
    <x v="0"/>
    <s v="Travel"/>
    <x v="0"/>
    <x v="1"/>
    <s v="Desktop"/>
    <n v="1"/>
    <n v="2"/>
    <x v="539"/>
    <n v="1"/>
    <x v="0"/>
    <x v="1"/>
    <x v="0"/>
  </r>
  <r>
    <x v="783"/>
    <s v="C1276"/>
    <d v="2024-02-02T15:00:00"/>
    <n v="17317.509999999998"/>
    <x v="2"/>
    <x v="1"/>
    <s v="Retail"/>
    <x v="4"/>
    <x v="1"/>
    <s v="Mobile"/>
    <n v="1"/>
    <n v="3"/>
    <x v="192"/>
    <n v="1"/>
    <x v="1"/>
    <x v="1"/>
    <x v="0"/>
  </r>
  <r>
    <x v="784"/>
    <s v="C1038"/>
    <d v="2024-02-02T16:00:00"/>
    <n v="9120.81"/>
    <x v="1"/>
    <x v="0"/>
    <s v="Travel"/>
    <x v="0"/>
    <x v="4"/>
    <s v="Tablet"/>
    <n v="0"/>
    <n v="4"/>
    <x v="406"/>
    <n v="1"/>
    <x v="0"/>
    <x v="1"/>
    <x v="0"/>
  </r>
  <r>
    <x v="785"/>
    <s v="C1279"/>
    <d v="2024-02-02T17:00:00"/>
    <n v="45427.11"/>
    <x v="1"/>
    <x v="2"/>
    <s v="Retail"/>
    <x v="3"/>
    <x v="0"/>
    <s v="Mobile"/>
    <n v="1"/>
    <n v="4"/>
    <x v="540"/>
    <n v="1"/>
    <x v="1"/>
    <x v="1"/>
    <x v="0"/>
  </r>
  <r>
    <x v="786"/>
    <s v="C1165"/>
    <d v="2024-02-02T18:00:00"/>
    <n v="29190.42"/>
    <x v="3"/>
    <x v="2"/>
    <s v="Entertainment"/>
    <x v="1"/>
    <x v="1"/>
    <s v="Desktop"/>
    <n v="0"/>
    <n v="3"/>
    <x v="367"/>
    <n v="1"/>
    <x v="1"/>
    <x v="1"/>
    <x v="0"/>
  </r>
  <r>
    <x v="787"/>
    <s v="C1419"/>
    <d v="2024-02-02T19:00:00"/>
    <n v="20072.53"/>
    <x v="1"/>
    <x v="3"/>
    <s v="Entertainment"/>
    <x v="1"/>
    <x v="0"/>
    <s v="Desktop"/>
    <n v="0"/>
    <n v="1"/>
    <x v="541"/>
    <n v="0"/>
    <x v="2"/>
    <x v="1"/>
    <x v="1"/>
  </r>
  <r>
    <x v="788"/>
    <s v="C1285"/>
    <d v="2024-02-02T20:00:00"/>
    <n v="23127.19"/>
    <x v="0"/>
    <x v="1"/>
    <s v="Travel"/>
    <x v="2"/>
    <x v="1"/>
    <s v="Desktop"/>
    <n v="0"/>
    <n v="1"/>
    <x v="542"/>
    <n v="0"/>
    <x v="2"/>
    <x v="1"/>
    <x v="1"/>
  </r>
  <r>
    <x v="789"/>
    <s v="C1325"/>
    <d v="2024-02-02T21:00:00"/>
    <n v="47366.8"/>
    <x v="3"/>
    <x v="0"/>
    <s v="Entertainment"/>
    <x v="1"/>
    <x v="3"/>
    <s v="Mobile"/>
    <n v="1"/>
    <n v="0"/>
    <x v="462"/>
    <n v="1"/>
    <x v="0"/>
    <x v="1"/>
    <x v="0"/>
  </r>
  <r>
    <x v="790"/>
    <s v="C1443"/>
    <d v="2024-02-02T22:00:00"/>
    <n v="7709.9"/>
    <x v="2"/>
    <x v="3"/>
    <s v="Food"/>
    <x v="0"/>
    <x v="0"/>
    <s v="Mobile"/>
    <n v="0"/>
    <n v="0"/>
    <x v="543"/>
    <n v="0"/>
    <x v="2"/>
    <x v="1"/>
    <x v="1"/>
  </r>
  <r>
    <x v="791"/>
    <s v="C1237"/>
    <d v="2024-02-02T23:00:00"/>
    <n v="29332.18"/>
    <x v="2"/>
    <x v="2"/>
    <s v="Electronics"/>
    <x v="3"/>
    <x v="2"/>
    <s v="Mobile"/>
    <n v="0"/>
    <n v="0"/>
    <x v="544"/>
    <n v="0"/>
    <x v="2"/>
    <x v="1"/>
    <x v="1"/>
  </r>
  <r>
    <x v="792"/>
    <s v="C1115"/>
    <d v="2024-02-03T00:00:00"/>
    <n v="25319.14"/>
    <x v="0"/>
    <x v="2"/>
    <s v="Electronics"/>
    <x v="4"/>
    <x v="4"/>
    <s v="Tablet"/>
    <n v="0"/>
    <n v="2"/>
    <x v="545"/>
    <n v="1"/>
    <x v="0"/>
    <x v="1"/>
    <x v="0"/>
  </r>
  <r>
    <x v="793"/>
    <s v="C1090"/>
    <d v="2024-02-03T01:00:00"/>
    <n v="30592.14"/>
    <x v="2"/>
    <x v="1"/>
    <s v="Retail"/>
    <x v="1"/>
    <x v="2"/>
    <s v="Tablet"/>
    <n v="0"/>
    <n v="1"/>
    <x v="241"/>
    <n v="1"/>
    <x v="0"/>
    <x v="1"/>
    <x v="0"/>
  </r>
  <r>
    <x v="794"/>
    <s v="C1282"/>
    <d v="2024-02-03T02:00:00"/>
    <n v="954.6"/>
    <x v="1"/>
    <x v="0"/>
    <s v="Entertainment"/>
    <x v="4"/>
    <x v="0"/>
    <s v="Tablet"/>
    <n v="0"/>
    <n v="3"/>
    <x v="468"/>
    <n v="1"/>
    <x v="0"/>
    <x v="1"/>
    <x v="0"/>
  </r>
  <r>
    <x v="795"/>
    <s v="C1211"/>
    <d v="2024-02-03T03:00:00"/>
    <n v="43612.59"/>
    <x v="1"/>
    <x v="1"/>
    <s v="Retail"/>
    <x v="1"/>
    <x v="1"/>
    <s v="Desktop"/>
    <n v="0"/>
    <n v="4"/>
    <x v="546"/>
    <n v="1"/>
    <x v="1"/>
    <x v="1"/>
    <x v="0"/>
  </r>
  <r>
    <x v="796"/>
    <s v="C1002"/>
    <d v="2024-02-03T04:00:00"/>
    <n v="46609.31"/>
    <x v="0"/>
    <x v="0"/>
    <s v="Electronics"/>
    <x v="3"/>
    <x v="0"/>
    <s v="Desktop"/>
    <n v="1"/>
    <n v="1"/>
    <x v="398"/>
    <n v="1"/>
    <x v="1"/>
    <x v="1"/>
    <x v="0"/>
  </r>
  <r>
    <x v="797"/>
    <s v="C1357"/>
    <d v="2024-02-03T05:00:00"/>
    <n v="28278.400000000001"/>
    <x v="2"/>
    <x v="0"/>
    <s v="Electronics"/>
    <x v="0"/>
    <x v="4"/>
    <s v="Desktop"/>
    <n v="0"/>
    <n v="1"/>
    <x v="249"/>
    <n v="1"/>
    <x v="0"/>
    <x v="1"/>
    <x v="0"/>
  </r>
  <r>
    <x v="798"/>
    <s v="C1442"/>
    <d v="2024-02-03T06:00:00"/>
    <n v="34847.71"/>
    <x v="2"/>
    <x v="1"/>
    <s v="Entertainment"/>
    <x v="3"/>
    <x v="0"/>
    <s v="Desktop"/>
    <n v="0"/>
    <n v="1"/>
    <x v="334"/>
    <n v="1"/>
    <x v="0"/>
    <x v="1"/>
    <x v="0"/>
  </r>
  <r>
    <x v="799"/>
    <s v="C1265"/>
    <d v="2024-02-03T07:00:00"/>
    <n v="46128.84"/>
    <x v="0"/>
    <x v="3"/>
    <s v="Food"/>
    <x v="4"/>
    <x v="1"/>
    <s v="Desktop"/>
    <n v="0"/>
    <n v="0"/>
    <x v="38"/>
    <n v="0"/>
    <x v="2"/>
    <x v="1"/>
    <x v="1"/>
  </r>
  <r>
    <x v="800"/>
    <s v="C1409"/>
    <d v="2024-02-03T08:00:00"/>
    <n v="35376.57"/>
    <x v="3"/>
    <x v="1"/>
    <s v="Food"/>
    <x v="1"/>
    <x v="2"/>
    <s v="Mobile"/>
    <n v="1"/>
    <n v="2"/>
    <x v="547"/>
    <n v="1"/>
    <x v="1"/>
    <x v="1"/>
    <x v="0"/>
  </r>
  <r>
    <x v="801"/>
    <s v="C1252"/>
    <d v="2024-02-03T09:00:00"/>
    <n v="7669.33"/>
    <x v="2"/>
    <x v="1"/>
    <s v="Entertainment"/>
    <x v="4"/>
    <x v="3"/>
    <s v="Desktop"/>
    <n v="0"/>
    <n v="3"/>
    <x v="548"/>
    <n v="1"/>
    <x v="0"/>
    <x v="1"/>
    <x v="0"/>
  </r>
  <r>
    <x v="802"/>
    <s v="C1128"/>
    <d v="2024-02-03T10:00:00"/>
    <n v="28835.599999999999"/>
    <x v="3"/>
    <x v="2"/>
    <s v="Entertainment"/>
    <x v="0"/>
    <x v="2"/>
    <s v="Mobile"/>
    <n v="0"/>
    <n v="0"/>
    <x v="549"/>
    <n v="0"/>
    <x v="2"/>
    <x v="1"/>
    <x v="1"/>
  </r>
  <r>
    <x v="803"/>
    <s v="C1200"/>
    <d v="2024-02-03T11:00:00"/>
    <n v="30355.42"/>
    <x v="2"/>
    <x v="2"/>
    <s v="Retail"/>
    <x v="3"/>
    <x v="1"/>
    <s v="Tablet"/>
    <n v="1"/>
    <n v="2"/>
    <x v="29"/>
    <n v="1"/>
    <x v="1"/>
    <x v="1"/>
    <x v="0"/>
  </r>
  <r>
    <x v="804"/>
    <s v="C1281"/>
    <d v="2024-02-03T12:00:00"/>
    <n v="21235.33"/>
    <x v="2"/>
    <x v="1"/>
    <s v="Entertainment"/>
    <x v="4"/>
    <x v="1"/>
    <s v="Tablet"/>
    <n v="0"/>
    <n v="1"/>
    <x v="550"/>
    <n v="0"/>
    <x v="2"/>
    <x v="1"/>
    <x v="1"/>
  </r>
  <r>
    <x v="805"/>
    <s v="C1401"/>
    <d v="2024-02-03T13:00:00"/>
    <n v="36835.39"/>
    <x v="2"/>
    <x v="1"/>
    <s v="Food"/>
    <x v="4"/>
    <x v="4"/>
    <s v="Tablet"/>
    <n v="0"/>
    <n v="2"/>
    <x v="551"/>
    <n v="1"/>
    <x v="0"/>
    <x v="1"/>
    <x v="0"/>
  </r>
  <r>
    <x v="806"/>
    <s v="C1199"/>
    <d v="2024-02-03T14:00:00"/>
    <n v="46721.63"/>
    <x v="2"/>
    <x v="2"/>
    <s v="Entertainment"/>
    <x v="0"/>
    <x v="0"/>
    <s v="Tablet"/>
    <n v="0"/>
    <n v="0"/>
    <x v="552"/>
    <n v="0"/>
    <x v="2"/>
    <x v="1"/>
    <x v="1"/>
  </r>
  <r>
    <x v="807"/>
    <s v="C1426"/>
    <d v="2024-02-03T15:00:00"/>
    <n v="46282.15"/>
    <x v="1"/>
    <x v="0"/>
    <s v="Retail"/>
    <x v="1"/>
    <x v="0"/>
    <s v="Tablet"/>
    <n v="1"/>
    <n v="1"/>
    <x v="262"/>
    <n v="1"/>
    <x v="1"/>
    <x v="1"/>
    <x v="0"/>
  </r>
  <r>
    <x v="808"/>
    <s v="C1226"/>
    <d v="2024-02-03T16:00:00"/>
    <n v="22569.43"/>
    <x v="3"/>
    <x v="1"/>
    <s v="Retail"/>
    <x v="4"/>
    <x v="2"/>
    <s v="Desktop"/>
    <n v="0"/>
    <n v="0"/>
    <x v="138"/>
    <n v="0"/>
    <x v="2"/>
    <x v="1"/>
    <x v="1"/>
  </r>
  <r>
    <x v="809"/>
    <s v="C1400"/>
    <d v="2024-02-03T17:00:00"/>
    <n v="5706.24"/>
    <x v="3"/>
    <x v="3"/>
    <s v="Retail"/>
    <x v="0"/>
    <x v="3"/>
    <s v="Desktop"/>
    <n v="0"/>
    <n v="3"/>
    <x v="553"/>
    <n v="1"/>
    <x v="0"/>
    <x v="1"/>
    <x v="0"/>
  </r>
  <r>
    <x v="810"/>
    <s v="C1121"/>
    <d v="2024-02-03T18:00:00"/>
    <n v="49242.82"/>
    <x v="2"/>
    <x v="3"/>
    <s v="Retail"/>
    <x v="1"/>
    <x v="3"/>
    <s v="Desktop"/>
    <n v="1"/>
    <n v="1"/>
    <x v="554"/>
    <n v="1"/>
    <x v="1"/>
    <x v="1"/>
    <x v="0"/>
  </r>
  <r>
    <x v="811"/>
    <s v="C1269"/>
    <d v="2024-02-03T19:00:00"/>
    <n v="41952.959999999999"/>
    <x v="2"/>
    <x v="3"/>
    <s v="Travel"/>
    <x v="1"/>
    <x v="4"/>
    <s v="Tablet"/>
    <n v="0"/>
    <n v="2"/>
    <x v="213"/>
    <n v="1"/>
    <x v="0"/>
    <x v="1"/>
    <x v="0"/>
  </r>
  <r>
    <x v="812"/>
    <s v="C1288"/>
    <d v="2024-02-03T20:00:00"/>
    <n v="6276.9"/>
    <x v="3"/>
    <x v="1"/>
    <s v="Entertainment"/>
    <x v="3"/>
    <x v="1"/>
    <s v="Tablet"/>
    <n v="0"/>
    <n v="0"/>
    <x v="555"/>
    <n v="0"/>
    <x v="2"/>
    <x v="1"/>
    <x v="1"/>
  </r>
  <r>
    <x v="813"/>
    <s v="C1075"/>
    <d v="2024-02-03T21:00:00"/>
    <n v="46046.05"/>
    <x v="1"/>
    <x v="0"/>
    <s v="Electronics"/>
    <x v="0"/>
    <x v="4"/>
    <s v="Mobile"/>
    <n v="0"/>
    <n v="4"/>
    <x v="556"/>
    <n v="1"/>
    <x v="1"/>
    <x v="1"/>
    <x v="0"/>
  </r>
  <r>
    <x v="814"/>
    <s v="C1366"/>
    <d v="2024-02-03T22:00:00"/>
    <n v="43501.32"/>
    <x v="0"/>
    <x v="0"/>
    <s v="Entertainment"/>
    <x v="1"/>
    <x v="0"/>
    <s v="Desktop"/>
    <n v="0"/>
    <n v="2"/>
    <x v="557"/>
    <n v="1"/>
    <x v="1"/>
    <x v="1"/>
    <x v="0"/>
  </r>
  <r>
    <x v="815"/>
    <s v="C1364"/>
    <d v="2024-02-03T23:00:00"/>
    <n v="25965.96"/>
    <x v="0"/>
    <x v="2"/>
    <s v="Travel"/>
    <x v="3"/>
    <x v="1"/>
    <s v="Tablet"/>
    <n v="0"/>
    <n v="2"/>
    <x v="558"/>
    <n v="1"/>
    <x v="0"/>
    <x v="1"/>
    <x v="0"/>
  </r>
  <r>
    <x v="816"/>
    <s v="C1205"/>
    <d v="2024-02-04T00:00:00"/>
    <n v="29584.21"/>
    <x v="3"/>
    <x v="1"/>
    <s v="Retail"/>
    <x v="2"/>
    <x v="4"/>
    <s v="Tablet"/>
    <n v="0"/>
    <n v="1"/>
    <x v="154"/>
    <n v="1"/>
    <x v="0"/>
    <x v="1"/>
    <x v="0"/>
  </r>
  <r>
    <x v="817"/>
    <s v="C1094"/>
    <d v="2024-02-04T01:00:00"/>
    <n v="19980.189999999999"/>
    <x v="2"/>
    <x v="0"/>
    <s v="Travel"/>
    <x v="0"/>
    <x v="2"/>
    <s v="Tablet"/>
    <n v="1"/>
    <n v="2"/>
    <x v="559"/>
    <n v="1"/>
    <x v="0"/>
    <x v="1"/>
    <x v="0"/>
  </r>
  <r>
    <x v="818"/>
    <s v="C1382"/>
    <d v="2024-02-04T02:00:00"/>
    <n v="2785.34"/>
    <x v="2"/>
    <x v="1"/>
    <s v="Food"/>
    <x v="2"/>
    <x v="0"/>
    <s v="Mobile"/>
    <n v="0"/>
    <n v="0"/>
    <x v="560"/>
    <n v="0"/>
    <x v="2"/>
    <x v="1"/>
    <x v="1"/>
  </r>
  <r>
    <x v="819"/>
    <s v="C1450"/>
    <d v="2024-02-04T03:00:00"/>
    <n v="16793.099999999999"/>
    <x v="1"/>
    <x v="2"/>
    <s v="Food"/>
    <x v="1"/>
    <x v="3"/>
    <s v="Tablet"/>
    <n v="0"/>
    <n v="4"/>
    <x v="527"/>
    <n v="1"/>
    <x v="1"/>
    <x v="1"/>
    <x v="0"/>
  </r>
  <r>
    <x v="820"/>
    <s v="C1268"/>
    <d v="2024-02-04T04:00:00"/>
    <n v="40152.53"/>
    <x v="0"/>
    <x v="2"/>
    <s v="Entertainment"/>
    <x v="0"/>
    <x v="4"/>
    <s v="Mobile"/>
    <n v="0"/>
    <n v="3"/>
    <x v="561"/>
    <n v="1"/>
    <x v="1"/>
    <x v="1"/>
    <x v="0"/>
  </r>
  <r>
    <x v="821"/>
    <s v="C1481"/>
    <d v="2024-02-04T05:00:00"/>
    <n v="281.37"/>
    <x v="1"/>
    <x v="2"/>
    <s v="Entertainment"/>
    <x v="3"/>
    <x v="0"/>
    <s v="Mobile"/>
    <n v="0"/>
    <n v="4"/>
    <x v="524"/>
    <n v="1"/>
    <x v="0"/>
    <x v="1"/>
    <x v="0"/>
  </r>
  <r>
    <x v="822"/>
    <s v="C1453"/>
    <d v="2024-02-04T06:00:00"/>
    <n v="16708.28"/>
    <x v="0"/>
    <x v="3"/>
    <s v="Electronics"/>
    <x v="1"/>
    <x v="0"/>
    <s v="Desktop"/>
    <n v="0"/>
    <n v="0"/>
    <x v="562"/>
    <n v="0"/>
    <x v="2"/>
    <x v="1"/>
    <x v="1"/>
  </r>
  <r>
    <x v="823"/>
    <s v="C1334"/>
    <d v="2024-02-04T07:00:00"/>
    <n v="19938.53"/>
    <x v="3"/>
    <x v="1"/>
    <s v="Electronics"/>
    <x v="0"/>
    <x v="3"/>
    <s v="Tablet"/>
    <n v="1"/>
    <n v="1"/>
    <x v="35"/>
    <n v="1"/>
    <x v="0"/>
    <x v="1"/>
    <x v="0"/>
  </r>
  <r>
    <x v="824"/>
    <s v="C1335"/>
    <d v="2024-02-04T08:00:00"/>
    <n v="26892.91"/>
    <x v="0"/>
    <x v="2"/>
    <s v="Food"/>
    <x v="0"/>
    <x v="3"/>
    <s v="Mobile"/>
    <n v="0"/>
    <n v="0"/>
    <x v="563"/>
    <n v="0"/>
    <x v="2"/>
    <x v="1"/>
    <x v="1"/>
  </r>
  <r>
    <x v="825"/>
    <s v="C1087"/>
    <d v="2024-02-04T09:00:00"/>
    <n v="45996.79"/>
    <x v="1"/>
    <x v="1"/>
    <s v="Retail"/>
    <x v="2"/>
    <x v="3"/>
    <s v="Tablet"/>
    <n v="1"/>
    <n v="2"/>
    <x v="564"/>
    <n v="1"/>
    <x v="1"/>
    <x v="1"/>
    <x v="0"/>
  </r>
  <r>
    <x v="826"/>
    <s v="C1031"/>
    <d v="2024-02-04T10:00:00"/>
    <n v="17349.98"/>
    <x v="1"/>
    <x v="3"/>
    <s v="Travel"/>
    <x v="1"/>
    <x v="4"/>
    <s v="Desktop"/>
    <n v="0"/>
    <n v="1"/>
    <x v="565"/>
    <n v="0"/>
    <x v="2"/>
    <x v="1"/>
    <x v="1"/>
  </r>
  <r>
    <x v="827"/>
    <s v="C1374"/>
    <d v="2024-02-04T11:00:00"/>
    <n v="17380.310000000001"/>
    <x v="1"/>
    <x v="3"/>
    <s v="Electronics"/>
    <x v="3"/>
    <x v="3"/>
    <s v="Desktop"/>
    <n v="0"/>
    <n v="3"/>
    <x v="566"/>
    <n v="1"/>
    <x v="0"/>
    <x v="1"/>
    <x v="0"/>
  </r>
  <r>
    <x v="828"/>
    <s v="C1066"/>
    <d v="2024-02-04T12:00:00"/>
    <n v="36888.19"/>
    <x v="3"/>
    <x v="2"/>
    <s v="Electronics"/>
    <x v="3"/>
    <x v="2"/>
    <s v="Mobile"/>
    <n v="0"/>
    <n v="3"/>
    <x v="83"/>
    <n v="1"/>
    <x v="1"/>
    <x v="1"/>
    <x v="0"/>
  </r>
  <r>
    <x v="829"/>
    <s v="C1404"/>
    <d v="2024-02-04T13:00:00"/>
    <n v="22638.29"/>
    <x v="0"/>
    <x v="2"/>
    <s v="Retail"/>
    <x v="1"/>
    <x v="0"/>
    <s v="Desktop"/>
    <n v="0"/>
    <n v="0"/>
    <x v="138"/>
    <n v="0"/>
    <x v="2"/>
    <x v="1"/>
    <x v="1"/>
  </r>
  <r>
    <x v="830"/>
    <s v="C1071"/>
    <d v="2024-02-04T14:00:00"/>
    <n v="11269.01"/>
    <x v="0"/>
    <x v="0"/>
    <s v="Retail"/>
    <x v="1"/>
    <x v="3"/>
    <s v="Desktop"/>
    <n v="0"/>
    <n v="2"/>
    <x v="567"/>
    <n v="1"/>
    <x v="0"/>
    <x v="1"/>
    <x v="0"/>
  </r>
  <r>
    <x v="831"/>
    <s v="C1110"/>
    <d v="2024-02-04T15:00:00"/>
    <n v="22649.35"/>
    <x v="1"/>
    <x v="1"/>
    <s v="Entertainment"/>
    <x v="4"/>
    <x v="0"/>
    <s v="Desktop"/>
    <n v="0"/>
    <n v="3"/>
    <x v="568"/>
    <n v="1"/>
    <x v="0"/>
    <x v="1"/>
    <x v="0"/>
  </r>
  <r>
    <x v="832"/>
    <s v="C1185"/>
    <d v="2024-02-04T16:00:00"/>
    <n v="7085.81"/>
    <x v="0"/>
    <x v="2"/>
    <s v="Travel"/>
    <x v="2"/>
    <x v="1"/>
    <s v="Tablet"/>
    <n v="0"/>
    <n v="4"/>
    <x v="165"/>
    <n v="1"/>
    <x v="0"/>
    <x v="1"/>
    <x v="0"/>
  </r>
  <r>
    <x v="833"/>
    <s v="C1310"/>
    <d v="2024-02-04T17:00:00"/>
    <n v="8860.5300000000007"/>
    <x v="2"/>
    <x v="0"/>
    <s v="Retail"/>
    <x v="1"/>
    <x v="1"/>
    <s v="Tablet"/>
    <n v="0"/>
    <n v="1"/>
    <x v="569"/>
    <n v="0"/>
    <x v="2"/>
    <x v="1"/>
    <x v="1"/>
  </r>
  <r>
    <x v="834"/>
    <s v="C1390"/>
    <d v="2024-02-04T18:00:00"/>
    <n v="24943.47"/>
    <x v="2"/>
    <x v="1"/>
    <s v="Electronics"/>
    <x v="1"/>
    <x v="3"/>
    <s v="Mobile"/>
    <n v="0"/>
    <n v="4"/>
    <x v="570"/>
    <n v="1"/>
    <x v="1"/>
    <x v="1"/>
    <x v="0"/>
  </r>
  <r>
    <x v="835"/>
    <s v="C1458"/>
    <d v="2024-02-04T19:00:00"/>
    <n v="20975.33"/>
    <x v="2"/>
    <x v="2"/>
    <s v="Electronics"/>
    <x v="4"/>
    <x v="0"/>
    <s v="Mobile"/>
    <n v="0"/>
    <n v="3"/>
    <x v="571"/>
    <n v="1"/>
    <x v="0"/>
    <x v="1"/>
    <x v="0"/>
  </r>
  <r>
    <x v="836"/>
    <s v="C1362"/>
    <d v="2024-02-04T20:00:00"/>
    <n v="45746.55"/>
    <x v="0"/>
    <x v="0"/>
    <s v="Food"/>
    <x v="4"/>
    <x v="1"/>
    <s v="Desktop"/>
    <n v="0"/>
    <n v="3"/>
    <x v="240"/>
    <n v="1"/>
    <x v="1"/>
    <x v="1"/>
    <x v="0"/>
  </r>
  <r>
    <x v="837"/>
    <s v="C1023"/>
    <d v="2024-02-04T21:00:00"/>
    <n v="18151.580000000002"/>
    <x v="3"/>
    <x v="0"/>
    <s v="Retail"/>
    <x v="0"/>
    <x v="3"/>
    <s v="Desktop"/>
    <n v="0"/>
    <n v="0"/>
    <x v="572"/>
    <n v="0"/>
    <x v="2"/>
    <x v="1"/>
    <x v="1"/>
  </r>
  <r>
    <x v="838"/>
    <s v="C1242"/>
    <d v="2024-02-04T22:00:00"/>
    <n v="29050.39"/>
    <x v="3"/>
    <x v="1"/>
    <s v="Entertainment"/>
    <x v="3"/>
    <x v="0"/>
    <s v="Mobile"/>
    <n v="0"/>
    <n v="0"/>
    <x v="62"/>
    <n v="0"/>
    <x v="2"/>
    <x v="1"/>
    <x v="1"/>
  </r>
  <r>
    <x v="839"/>
    <s v="C1384"/>
    <d v="2024-02-04T23:00:00"/>
    <n v="31631.599999999999"/>
    <x v="3"/>
    <x v="0"/>
    <s v="Travel"/>
    <x v="2"/>
    <x v="3"/>
    <s v="Desktop"/>
    <n v="0"/>
    <n v="1"/>
    <x v="94"/>
    <n v="1"/>
    <x v="0"/>
    <x v="1"/>
    <x v="0"/>
  </r>
  <r>
    <x v="840"/>
    <s v="C1460"/>
    <d v="2024-02-05T00:00:00"/>
    <n v="704.07"/>
    <x v="3"/>
    <x v="1"/>
    <s v="Entertainment"/>
    <x v="0"/>
    <x v="0"/>
    <s v="Mobile"/>
    <n v="0"/>
    <n v="0"/>
    <x v="573"/>
    <n v="0"/>
    <x v="2"/>
    <x v="1"/>
    <x v="1"/>
  </r>
  <r>
    <x v="841"/>
    <s v="C1372"/>
    <d v="2024-02-05T01:00:00"/>
    <n v="33193.69"/>
    <x v="2"/>
    <x v="1"/>
    <s v="Electronics"/>
    <x v="1"/>
    <x v="1"/>
    <s v="Tablet"/>
    <n v="0"/>
    <n v="2"/>
    <x v="128"/>
    <n v="1"/>
    <x v="0"/>
    <x v="1"/>
    <x v="0"/>
  </r>
  <r>
    <x v="842"/>
    <s v="C1482"/>
    <d v="2024-02-05T02:00:00"/>
    <n v="8942.9"/>
    <x v="2"/>
    <x v="1"/>
    <s v="Entertainment"/>
    <x v="4"/>
    <x v="3"/>
    <s v="Desktop"/>
    <n v="0"/>
    <n v="1"/>
    <x v="569"/>
    <n v="0"/>
    <x v="2"/>
    <x v="1"/>
    <x v="1"/>
  </r>
  <r>
    <x v="843"/>
    <s v="C1369"/>
    <d v="2024-02-05T03:00:00"/>
    <n v="48055.46"/>
    <x v="1"/>
    <x v="3"/>
    <s v="Electronics"/>
    <x v="3"/>
    <x v="1"/>
    <s v="Desktop"/>
    <n v="0"/>
    <n v="2"/>
    <x v="368"/>
    <n v="1"/>
    <x v="1"/>
    <x v="1"/>
    <x v="0"/>
  </r>
  <r>
    <x v="844"/>
    <s v="C1353"/>
    <d v="2024-02-05T04:00:00"/>
    <n v="7475.7"/>
    <x v="0"/>
    <x v="0"/>
    <s v="Electronics"/>
    <x v="0"/>
    <x v="3"/>
    <s v="Desktop"/>
    <n v="1"/>
    <n v="0"/>
    <x v="574"/>
    <n v="0"/>
    <x v="2"/>
    <x v="1"/>
    <x v="1"/>
  </r>
  <r>
    <x v="845"/>
    <s v="C1088"/>
    <d v="2024-02-05T05:00:00"/>
    <n v="20760.47"/>
    <x v="0"/>
    <x v="1"/>
    <s v="Electronics"/>
    <x v="3"/>
    <x v="4"/>
    <s v="Tablet"/>
    <n v="0"/>
    <n v="1"/>
    <x v="575"/>
    <n v="0"/>
    <x v="2"/>
    <x v="1"/>
    <x v="1"/>
  </r>
  <r>
    <x v="846"/>
    <s v="C1234"/>
    <d v="2024-02-05T06:00:00"/>
    <n v="4313.22"/>
    <x v="3"/>
    <x v="2"/>
    <s v="Electronics"/>
    <x v="4"/>
    <x v="1"/>
    <s v="Tablet"/>
    <n v="0"/>
    <n v="3"/>
    <x v="25"/>
    <n v="0"/>
    <x v="2"/>
    <x v="1"/>
    <x v="1"/>
  </r>
  <r>
    <x v="847"/>
    <s v="C1379"/>
    <d v="2024-02-05T07:00:00"/>
    <n v="49843.87"/>
    <x v="2"/>
    <x v="3"/>
    <s v="Electronics"/>
    <x v="0"/>
    <x v="1"/>
    <s v="Desktop"/>
    <n v="0"/>
    <n v="4"/>
    <x v="576"/>
    <n v="1"/>
    <x v="1"/>
    <x v="1"/>
    <x v="0"/>
  </r>
  <r>
    <x v="848"/>
    <s v="C1355"/>
    <d v="2024-02-05T08:00:00"/>
    <n v="25134.639999999999"/>
    <x v="3"/>
    <x v="3"/>
    <s v="Food"/>
    <x v="0"/>
    <x v="2"/>
    <s v="Mobile"/>
    <n v="0"/>
    <n v="3"/>
    <x v="242"/>
    <n v="1"/>
    <x v="1"/>
    <x v="1"/>
    <x v="0"/>
  </r>
  <r>
    <x v="849"/>
    <s v="C1075"/>
    <d v="2024-02-05T09:00:00"/>
    <n v="29789.48"/>
    <x v="1"/>
    <x v="0"/>
    <s v="Entertainment"/>
    <x v="3"/>
    <x v="1"/>
    <s v="Tablet"/>
    <n v="0"/>
    <n v="2"/>
    <x v="265"/>
    <n v="1"/>
    <x v="0"/>
    <x v="1"/>
    <x v="0"/>
  </r>
  <r>
    <x v="850"/>
    <s v="C1172"/>
    <d v="2024-02-05T10:00:00"/>
    <n v="3400.47"/>
    <x v="0"/>
    <x v="1"/>
    <s v="Food"/>
    <x v="4"/>
    <x v="0"/>
    <s v="Desktop"/>
    <n v="1"/>
    <n v="3"/>
    <x v="491"/>
    <n v="1"/>
    <x v="0"/>
    <x v="1"/>
    <x v="0"/>
  </r>
  <r>
    <x v="851"/>
    <s v="C1095"/>
    <d v="2024-02-05T11:00:00"/>
    <n v="37510.53"/>
    <x v="0"/>
    <x v="0"/>
    <s v="Food"/>
    <x v="1"/>
    <x v="3"/>
    <s v="Desktop"/>
    <n v="0"/>
    <n v="3"/>
    <x v="577"/>
    <n v="1"/>
    <x v="1"/>
    <x v="1"/>
    <x v="0"/>
  </r>
  <r>
    <x v="852"/>
    <s v="C1071"/>
    <d v="2024-02-05T12:00:00"/>
    <n v="10534.78"/>
    <x v="3"/>
    <x v="3"/>
    <s v="Retail"/>
    <x v="0"/>
    <x v="4"/>
    <s v="Tablet"/>
    <n v="0"/>
    <n v="4"/>
    <x v="504"/>
    <n v="1"/>
    <x v="1"/>
    <x v="1"/>
    <x v="0"/>
  </r>
  <r>
    <x v="853"/>
    <s v="C1201"/>
    <d v="2024-02-05T13:00:00"/>
    <n v="44907.81"/>
    <x v="1"/>
    <x v="1"/>
    <s v="Retail"/>
    <x v="1"/>
    <x v="0"/>
    <s v="Mobile"/>
    <n v="0"/>
    <n v="4"/>
    <x v="578"/>
    <n v="1"/>
    <x v="1"/>
    <x v="1"/>
    <x v="0"/>
  </r>
  <r>
    <x v="854"/>
    <s v="C1090"/>
    <d v="2024-02-05T14:00:00"/>
    <n v="10296.73"/>
    <x v="0"/>
    <x v="2"/>
    <s v="Retail"/>
    <x v="4"/>
    <x v="0"/>
    <s v="Desktop"/>
    <n v="0"/>
    <n v="3"/>
    <x v="545"/>
    <n v="1"/>
    <x v="0"/>
    <x v="1"/>
    <x v="0"/>
  </r>
  <r>
    <x v="855"/>
    <s v="C1037"/>
    <d v="2024-02-05T15:00:00"/>
    <n v="9574.85"/>
    <x v="1"/>
    <x v="1"/>
    <s v="Travel"/>
    <x v="0"/>
    <x v="0"/>
    <s v="Mobile"/>
    <n v="1"/>
    <n v="4"/>
    <x v="579"/>
    <n v="1"/>
    <x v="1"/>
    <x v="1"/>
    <x v="0"/>
  </r>
  <r>
    <x v="856"/>
    <s v="C1038"/>
    <d v="2024-02-05T16:00:00"/>
    <n v="1875.66"/>
    <x v="1"/>
    <x v="3"/>
    <s v="Retail"/>
    <x v="0"/>
    <x v="0"/>
    <s v="Mobile"/>
    <n v="0"/>
    <n v="3"/>
    <x v="280"/>
    <n v="0"/>
    <x v="2"/>
    <x v="1"/>
    <x v="1"/>
  </r>
  <r>
    <x v="857"/>
    <s v="C1132"/>
    <d v="2024-02-05T17:00:00"/>
    <n v="23629.74"/>
    <x v="3"/>
    <x v="2"/>
    <s v="Entertainment"/>
    <x v="1"/>
    <x v="4"/>
    <s v="Tablet"/>
    <n v="0"/>
    <n v="1"/>
    <x v="580"/>
    <n v="0"/>
    <x v="2"/>
    <x v="1"/>
    <x v="1"/>
  </r>
  <r>
    <x v="858"/>
    <s v="C1103"/>
    <d v="2024-02-05T18:00:00"/>
    <n v="28263.81"/>
    <x v="2"/>
    <x v="1"/>
    <s v="Food"/>
    <x v="2"/>
    <x v="2"/>
    <s v="Desktop"/>
    <n v="0"/>
    <n v="3"/>
    <x v="219"/>
    <n v="1"/>
    <x v="0"/>
    <x v="1"/>
    <x v="0"/>
  </r>
  <r>
    <x v="859"/>
    <s v="C1363"/>
    <d v="2024-02-05T19:00:00"/>
    <n v="3332.15"/>
    <x v="3"/>
    <x v="2"/>
    <s v="Entertainment"/>
    <x v="1"/>
    <x v="1"/>
    <s v="Desktop"/>
    <n v="0"/>
    <n v="0"/>
    <x v="581"/>
    <n v="0"/>
    <x v="2"/>
    <x v="1"/>
    <x v="1"/>
  </r>
  <r>
    <x v="860"/>
    <s v="C1331"/>
    <d v="2024-02-05T20:00:00"/>
    <n v="38787.599999999999"/>
    <x v="2"/>
    <x v="2"/>
    <s v="Retail"/>
    <x v="1"/>
    <x v="0"/>
    <s v="Mobile"/>
    <n v="0"/>
    <n v="4"/>
    <x v="582"/>
    <n v="1"/>
    <x v="1"/>
    <x v="1"/>
    <x v="0"/>
  </r>
  <r>
    <x v="861"/>
    <s v="C1464"/>
    <d v="2024-02-05T21:00:00"/>
    <n v="22691.78"/>
    <x v="1"/>
    <x v="3"/>
    <s v="Travel"/>
    <x v="2"/>
    <x v="1"/>
    <s v="Tablet"/>
    <n v="1"/>
    <n v="4"/>
    <x v="583"/>
    <n v="1"/>
    <x v="1"/>
    <x v="1"/>
    <x v="0"/>
  </r>
  <r>
    <x v="862"/>
    <s v="C1340"/>
    <d v="2024-02-05T22:00:00"/>
    <n v="26243.29"/>
    <x v="2"/>
    <x v="2"/>
    <s v="Travel"/>
    <x v="4"/>
    <x v="1"/>
    <s v="Tablet"/>
    <n v="0"/>
    <n v="2"/>
    <x v="264"/>
    <n v="1"/>
    <x v="0"/>
    <x v="1"/>
    <x v="0"/>
  </r>
  <r>
    <x v="863"/>
    <s v="C1007"/>
    <d v="2024-02-05T23:00:00"/>
    <n v="22066.1"/>
    <x v="1"/>
    <x v="0"/>
    <s v="Food"/>
    <x v="4"/>
    <x v="0"/>
    <s v="Tablet"/>
    <n v="0"/>
    <n v="2"/>
    <x v="584"/>
    <n v="1"/>
    <x v="0"/>
    <x v="1"/>
    <x v="0"/>
  </r>
  <r>
    <x v="864"/>
    <s v="C1049"/>
    <d v="2024-02-06T00:00:00"/>
    <n v="20068.11"/>
    <x v="0"/>
    <x v="3"/>
    <s v="Entertainment"/>
    <x v="0"/>
    <x v="2"/>
    <s v="Mobile"/>
    <n v="0"/>
    <n v="0"/>
    <x v="585"/>
    <n v="0"/>
    <x v="2"/>
    <x v="1"/>
    <x v="1"/>
  </r>
  <r>
    <x v="865"/>
    <s v="C1060"/>
    <d v="2024-02-06T01:00:00"/>
    <n v="28004.03"/>
    <x v="0"/>
    <x v="0"/>
    <s v="Electronics"/>
    <x v="3"/>
    <x v="1"/>
    <s v="Mobile"/>
    <n v="0"/>
    <n v="4"/>
    <x v="586"/>
    <n v="1"/>
    <x v="1"/>
    <x v="1"/>
    <x v="0"/>
  </r>
  <r>
    <x v="866"/>
    <s v="C1152"/>
    <d v="2024-02-06T02:00:00"/>
    <n v="7804.25"/>
    <x v="0"/>
    <x v="2"/>
    <s v="Entertainment"/>
    <x v="3"/>
    <x v="3"/>
    <s v="Desktop"/>
    <n v="0"/>
    <n v="4"/>
    <x v="587"/>
    <n v="1"/>
    <x v="0"/>
    <x v="1"/>
    <x v="0"/>
  </r>
  <r>
    <x v="867"/>
    <s v="C1280"/>
    <d v="2024-02-06T03:00:00"/>
    <n v="9137.31"/>
    <x v="3"/>
    <x v="0"/>
    <s v="Retail"/>
    <x v="0"/>
    <x v="1"/>
    <s v="Tablet"/>
    <n v="0"/>
    <n v="2"/>
    <x v="483"/>
    <n v="0"/>
    <x v="2"/>
    <x v="1"/>
    <x v="1"/>
  </r>
  <r>
    <x v="868"/>
    <s v="C1330"/>
    <d v="2024-02-06T04:00:00"/>
    <n v="43096.19"/>
    <x v="3"/>
    <x v="1"/>
    <s v="Electronics"/>
    <x v="3"/>
    <x v="0"/>
    <s v="Mobile"/>
    <n v="0"/>
    <n v="2"/>
    <x v="88"/>
    <n v="1"/>
    <x v="1"/>
    <x v="1"/>
    <x v="0"/>
  </r>
  <r>
    <x v="869"/>
    <s v="C1374"/>
    <d v="2024-02-06T05:00:00"/>
    <n v="47308.47"/>
    <x v="1"/>
    <x v="2"/>
    <s v="Travel"/>
    <x v="1"/>
    <x v="4"/>
    <s v="Tablet"/>
    <n v="0"/>
    <n v="3"/>
    <x v="588"/>
    <n v="1"/>
    <x v="1"/>
    <x v="1"/>
    <x v="0"/>
  </r>
  <r>
    <x v="870"/>
    <s v="C1459"/>
    <d v="2024-02-06T06:00:00"/>
    <n v="18696.8"/>
    <x v="0"/>
    <x v="1"/>
    <s v="Food"/>
    <x v="1"/>
    <x v="1"/>
    <s v="Mobile"/>
    <n v="1"/>
    <n v="4"/>
    <x v="589"/>
    <n v="1"/>
    <x v="1"/>
    <x v="1"/>
    <x v="0"/>
  </r>
  <r>
    <x v="871"/>
    <s v="C1291"/>
    <d v="2024-02-06T07:00:00"/>
    <n v="13573.7"/>
    <x v="3"/>
    <x v="0"/>
    <s v="Food"/>
    <x v="2"/>
    <x v="2"/>
    <s v="Desktop"/>
    <n v="0"/>
    <n v="4"/>
    <x v="590"/>
    <n v="1"/>
    <x v="0"/>
    <x v="1"/>
    <x v="0"/>
  </r>
  <r>
    <x v="872"/>
    <s v="C1148"/>
    <d v="2024-02-06T08:00:00"/>
    <n v="32217.78"/>
    <x v="0"/>
    <x v="1"/>
    <s v="Travel"/>
    <x v="2"/>
    <x v="3"/>
    <s v="Tablet"/>
    <n v="0"/>
    <n v="3"/>
    <x v="591"/>
    <n v="1"/>
    <x v="1"/>
    <x v="1"/>
    <x v="0"/>
  </r>
  <r>
    <x v="873"/>
    <s v="C1467"/>
    <d v="2024-02-06T09:00:00"/>
    <n v="20466.27"/>
    <x v="3"/>
    <x v="2"/>
    <s v="Retail"/>
    <x v="0"/>
    <x v="3"/>
    <s v="Mobile"/>
    <n v="0"/>
    <n v="4"/>
    <x v="592"/>
    <n v="1"/>
    <x v="1"/>
    <x v="1"/>
    <x v="0"/>
  </r>
  <r>
    <x v="874"/>
    <s v="C1122"/>
    <d v="2024-02-06T10:00:00"/>
    <n v="1318.05"/>
    <x v="2"/>
    <x v="1"/>
    <s v="Travel"/>
    <x v="0"/>
    <x v="4"/>
    <s v="Tablet"/>
    <n v="0"/>
    <n v="0"/>
    <x v="211"/>
    <n v="0"/>
    <x v="2"/>
    <x v="1"/>
    <x v="1"/>
  </r>
  <r>
    <x v="875"/>
    <s v="C1126"/>
    <d v="2024-02-06T11:00:00"/>
    <n v="7849.82"/>
    <x v="2"/>
    <x v="0"/>
    <s v="Retail"/>
    <x v="0"/>
    <x v="4"/>
    <s v="Mobile"/>
    <n v="0"/>
    <n v="2"/>
    <x v="593"/>
    <n v="0"/>
    <x v="2"/>
    <x v="1"/>
    <x v="1"/>
  </r>
  <r>
    <x v="876"/>
    <s v="C1376"/>
    <d v="2024-02-06T12:00:00"/>
    <n v="35812.81"/>
    <x v="0"/>
    <x v="0"/>
    <s v="Electronics"/>
    <x v="1"/>
    <x v="1"/>
    <s v="Mobile"/>
    <n v="1"/>
    <n v="2"/>
    <x v="594"/>
    <n v="1"/>
    <x v="1"/>
    <x v="1"/>
    <x v="0"/>
  </r>
  <r>
    <x v="877"/>
    <s v="C1459"/>
    <d v="2024-02-06T13:00:00"/>
    <n v="32963.25"/>
    <x v="1"/>
    <x v="0"/>
    <s v="Travel"/>
    <x v="3"/>
    <x v="0"/>
    <s v="Mobile"/>
    <n v="0"/>
    <n v="2"/>
    <x v="595"/>
    <n v="1"/>
    <x v="0"/>
    <x v="1"/>
    <x v="0"/>
  </r>
  <r>
    <x v="878"/>
    <s v="C1116"/>
    <d v="2024-02-06T14:00:00"/>
    <n v="1403.44"/>
    <x v="3"/>
    <x v="2"/>
    <s v="Retail"/>
    <x v="0"/>
    <x v="2"/>
    <s v="Tablet"/>
    <n v="0"/>
    <n v="1"/>
    <x v="302"/>
    <n v="0"/>
    <x v="2"/>
    <x v="1"/>
    <x v="1"/>
  </r>
  <r>
    <x v="879"/>
    <s v="C1205"/>
    <d v="2024-02-06T15:00:00"/>
    <n v="11137.51"/>
    <x v="3"/>
    <x v="0"/>
    <s v="Electronics"/>
    <x v="0"/>
    <x v="3"/>
    <s v="Mobile"/>
    <n v="0"/>
    <n v="0"/>
    <x v="121"/>
    <n v="0"/>
    <x v="2"/>
    <x v="1"/>
    <x v="1"/>
  </r>
  <r>
    <x v="880"/>
    <s v="C1460"/>
    <d v="2024-02-06T16:00:00"/>
    <n v="11592.19"/>
    <x v="2"/>
    <x v="2"/>
    <s v="Travel"/>
    <x v="1"/>
    <x v="4"/>
    <s v="Desktop"/>
    <n v="0"/>
    <n v="0"/>
    <x v="596"/>
    <n v="0"/>
    <x v="2"/>
    <x v="1"/>
    <x v="1"/>
  </r>
  <r>
    <x v="881"/>
    <s v="C1331"/>
    <d v="2024-02-06T17:00:00"/>
    <n v="33611.040000000001"/>
    <x v="2"/>
    <x v="1"/>
    <s v="Food"/>
    <x v="1"/>
    <x v="2"/>
    <s v="Tablet"/>
    <n v="0"/>
    <n v="3"/>
    <x v="129"/>
    <n v="1"/>
    <x v="1"/>
    <x v="1"/>
    <x v="0"/>
  </r>
  <r>
    <x v="882"/>
    <s v="C1396"/>
    <d v="2024-02-06T18:00:00"/>
    <n v="1034.54"/>
    <x v="1"/>
    <x v="0"/>
    <s v="Travel"/>
    <x v="1"/>
    <x v="0"/>
    <s v="Desktop"/>
    <n v="1"/>
    <n v="1"/>
    <x v="430"/>
    <n v="0"/>
    <x v="2"/>
    <x v="1"/>
    <x v="1"/>
  </r>
  <r>
    <x v="883"/>
    <s v="C1052"/>
    <d v="2024-02-06T19:00:00"/>
    <n v="5250.22"/>
    <x v="1"/>
    <x v="1"/>
    <s v="Entertainment"/>
    <x v="3"/>
    <x v="3"/>
    <s v="Desktop"/>
    <n v="0"/>
    <n v="4"/>
    <x v="545"/>
    <n v="1"/>
    <x v="0"/>
    <x v="1"/>
    <x v="0"/>
  </r>
  <r>
    <x v="884"/>
    <s v="C1069"/>
    <d v="2024-02-06T20:00:00"/>
    <n v="40005.81"/>
    <x v="1"/>
    <x v="3"/>
    <s v="Travel"/>
    <x v="0"/>
    <x v="3"/>
    <s v="Tablet"/>
    <n v="0"/>
    <n v="0"/>
    <x v="294"/>
    <n v="0"/>
    <x v="2"/>
    <x v="1"/>
    <x v="1"/>
  </r>
  <r>
    <x v="885"/>
    <s v="C1429"/>
    <d v="2024-02-06T21:00:00"/>
    <n v="8968.31"/>
    <x v="0"/>
    <x v="1"/>
    <s v="Entertainment"/>
    <x v="4"/>
    <x v="0"/>
    <s v="Mobile"/>
    <n v="0"/>
    <n v="1"/>
    <x v="597"/>
    <n v="0"/>
    <x v="2"/>
    <x v="1"/>
    <x v="1"/>
  </r>
  <r>
    <x v="886"/>
    <s v="C1336"/>
    <d v="2024-02-06T22:00:00"/>
    <n v="32654.67"/>
    <x v="2"/>
    <x v="3"/>
    <s v="Electronics"/>
    <x v="4"/>
    <x v="3"/>
    <s v="Desktop"/>
    <n v="0"/>
    <n v="1"/>
    <x v="214"/>
    <n v="1"/>
    <x v="0"/>
    <x v="1"/>
    <x v="0"/>
  </r>
  <r>
    <x v="887"/>
    <s v="C1392"/>
    <d v="2024-02-06T23:00:00"/>
    <n v="11947.23"/>
    <x v="0"/>
    <x v="1"/>
    <s v="Travel"/>
    <x v="0"/>
    <x v="0"/>
    <s v="Tablet"/>
    <n v="0"/>
    <n v="0"/>
    <x v="598"/>
    <n v="0"/>
    <x v="2"/>
    <x v="1"/>
    <x v="1"/>
  </r>
  <r>
    <x v="888"/>
    <s v="C1065"/>
    <d v="2024-02-07T00:00:00"/>
    <n v="5017.1000000000004"/>
    <x v="2"/>
    <x v="2"/>
    <s v="Electronics"/>
    <x v="0"/>
    <x v="3"/>
    <s v="Mobile"/>
    <n v="1"/>
    <n v="3"/>
    <x v="559"/>
    <n v="1"/>
    <x v="0"/>
    <x v="1"/>
    <x v="0"/>
  </r>
  <r>
    <x v="889"/>
    <s v="C1051"/>
    <d v="2024-02-07T01:00:00"/>
    <n v="12196.45"/>
    <x v="2"/>
    <x v="1"/>
    <s v="Electronics"/>
    <x v="0"/>
    <x v="1"/>
    <s v="Tablet"/>
    <n v="0"/>
    <n v="1"/>
    <x v="63"/>
    <n v="0"/>
    <x v="2"/>
    <x v="1"/>
    <x v="1"/>
  </r>
  <r>
    <x v="890"/>
    <s v="C1192"/>
    <d v="2024-02-07T02:00:00"/>
    <n v="36127.230000000003"/>
    <x v="3"/>
    <x v="2"/>
    <s v="Retail"/>
    <x v="0"/>
    <x v="0"/>
    <s v="Tablet"/>
    <n v="1"/>
    <n v="2"/>
    <x v="599"/>
    <n v="1"/>
    <x v="1"/>
    <x v="1"/>
    <x v="0"/>
  </r>
  <r>
    <x v="891"/>
    <s v="C1495"/>
    <d v="2024-02-07T03:00:00"/>
    <n v="42792.04"/>
    <x v="2"/>
    <x v="2"/>
    <s v="Electronics"/>
    <x v="3"/>
    <x v="2"/>
    <s v="Tablet"/>
    <n v="0"/>
    <n v="1"/>
    <x v="587"/>
    <n v="1"/>
    <x v="0"/>
    <x v="1"/>
    <x v="0"/>
  </r>
  <r>
    <x v="892"/>
    <s v="C1418"/>
    <d v="2024-02-07T04:00:00"/>
    <n v="41519.480000000003"/>
    <x v="2"/>
    <x v="0"/>
    <s v="Electronics"/>
    <x v="4"/>
    <x v="1"/>
    <s v="Mobile"/>
    <n v="0"/>
    <n v="4"/>
    <x v="319"/>
    <n v="1"/>
    <x v="1"/>
    <x v="1"/>
    <x v="0"/>
  </r>
  <r>
    <x v="893"/>
    <s v="C1447"/>
    <d v="2024-02-07T05:00:00"/>
    <n v="19889.32"/>
    <x v="0"/>
    <x v="2"/>
    <s v="Travel"/>
    <x v="2"/>
    <x v="2"/>
    <s v="Desktop"/>
    <n v="0"/>
    <n v="0"/>
    <x v="487"/>
    <n v="0"/>
    <x v="2"/>
    <x v="1"/>
    <x v="1"/>
  </r>
  <r>
    <x v="894"/>
    <s v="C1488"/>
    <d v="2024-02-07T06:00:00"/>
    <n v="33420.85"/>
    <x v="2"/>
    <x v="3"/>
    <s v="Travel"/>
    <x v="4"/>
    <x v="3"/>
    <s v="Desktop"/>
    <n v="0"/>
    <n v="4"/>
    <x v="600"/>
    <n v="1"/>
    <x v="1"/>
    <x v="1"/>
    <x v="0"/>
  </r>
  <r>
    <x v="895"/>
    <s v="C1258"/>
    <d v="2024-02-07T07:00:00"/>
    <n v="10288.969999999999"/>
    <x v="0"/>
    <x v="0"/>
    <s v="Food"/>
    <x v="4"/>
    <x v="2"/>
    <s v="Tablet"/>
    <n v="1"/>
    <n v="3"/>
    <x v="601"/>
    <n v="1"/>
    <x v="1"/>
    <x v="1"/>
    <x v="0"/>
  </r>
  <r>
    <x v="896"/>
    <s v="C1418"/>
    <d v="2024-02-07T08:00:00"/>
    <n v="14692.73"/>
    <x v="1"/>
    <x v="0"/>
    <s v="Retail"/>
    <x v="1"/>
    <x v="1"/>
    <s v="Tablet"/>
    <n v="0"/>
    <n v="2"/>
    <x v="602"/>
    <n v="1"/>
    <x v="0"/>
    <x v="1"/>
    <x v="0"/>
  </r>
  <r>
    <x v="897"/>
    <s v="C1323"/>
    <d v="2024-02-07T09:00:00"/>
    <n v="44821.97"/>
    <x v="2"/>
    <x v="1"/>
    <s v="Electronics"/>
    <x v="0"/>
    <x v="0"/>
    <s v="Mobile"/>
    <n v="0"/>
    <n v="0"/>
    <x v="272"/>
    <n v="0"/>
    <x v="2"/>
    <x v="1"/>
    <x v="1"/>
  </r>
  <r>
    <x v="898"/>
    <s v="C1211"/>
    <d v="2024-02-07T10:00:00"/>
    <n v="699.45"/>
    <x v="2"/>
    <x v="2"/>
    <s v="Retail"/>
    <x v="0"/>
    <x v="4"/>
    <s v="Tablet"/>
    <n v="0"/>
    <n v="1"/>
    <x v="603"/>
    <n v="0"/>
    <x v="2"/>
    <x v="1"/>
    <x v="1"/>
  </r>
  <r>
    <x v="899"/>
    <s v="C1311"/>
    <d v="2024-02-07T11:00:00"/>
    <n v="4321.1499999999996"/>
    <x v="0"/>
    <x v="2"/>
    <s v="Entertainment"/>
    <x v="0"/>
    <x v="2"/>
    <s v="Tablet"/>
    <n v="0"/>
    <n v="2"/>
    <x v="604"/>
    <n v="0"/>
    <x v="2"/>
    <x v="1"/>
    <x v="1"/>
  </r>
  <r>
    <x v="900"/>
    <s v="C1038"/>
    <d v="2024-02-07T12:00:00"/>
    <n v="10433.92"/>
    <x v="1"/>
    <x v="3"/>
    <s v="Electronics"/>
    <x v="1"/>
    <x v="4"/>
    <s v="Tablet"/>
    <n v="0"/>
    <n v="1"/>
    <x v="605"/>
    <n v="0"/>
    <x v="2"/>
    <x v="1"/>
    <x v="1"/>
  </r>
  <r>
    <x v="901"/>
    <s v="C1120"/>
    <d v="2024-02-07T13:00:00"/>
    <n v="1375.28"/>
    <x v="3"/>
    <x v="1"/>
    <s v="Retail"/>
    <x v="3"/>
    <x v="2"/>
    <s v="Desktop"/>
    <n v="0"/>
    <n v="3"/>
    <x v="218"/>
    <n v="1"/>
    <x v="0"/>
    <x v="1"/>
    <x v="0"/>
  </r>
  <r>
    <x v="902"/>
    <s v="C1116"/>
    <d v="2024-02-07T14:00:00"/>
    <n v="9112.7000000000007"/>
    <x v="1"/>
    <x v="1"/>
    <s v="Food"/>
    <x v="3"/>
    <x v="2"/>
    <s v="Tablet"/>
    <n v="0"/>
    <n v="0"/>
    <x v="606"/>
    <n v="0"/>
    <x v="2"/>
    <x v="1"/>
    <x v="1"/>
  </r>
  <r>
    <x v="903"/>
    <s v="C1021"/>
    <d v="2024-02-07T15:00:00"/>
    <n v="29172.93"/>
    <x v="0"/>
    <x v="0"/>
    <s v="Food"/>
    <x v="2"/>
    <x v="0"/>
    <s v="Desktop"/>
    <n v="0"/>
    <n v="3"/>
    <x v="367"/>
    <n v="1"/>
    <x v="1"/>
    <x v="1"/>
    <x v="0"/>
  </r>
  <r>
    <x v="904"/>
    <s v="C1214"/>
    <d v="2024-02-07T16:00:00"/>
    <n v="21100.16"/>
    <x v="1"/>
    <x v="0"/>
    <s v="Electronics"/>
    <x v="3"/>
    <x v="3"/>
    <s v="Mobile"/>
    <n v="0"/>
    <n v="3"/>
    <x v="255"/>
    <n v="1"/>
    <x v="0"/>
    <x v="1"/>
    <x v="0"/>
  </r>
  <r>
    <x v="905"/>
    <s v="C1192"/>
    <d v="2024-02-07T17:00:00"/>
    <n v="44638.95"/>
    <x v="0"/>
    <x v="0"/>
    <s v="Entertainment"/>
    <x v="3"/>
    <x v="1"/>
    <s v="Mobile"/>
    <n v="0"/>
    <n v="3"/>
    <x v="607"/>
    <n v="1"/>
    <x v="1"/>
    <x v="1"/>
    <x v="0"/>
  </r>
  <r>
    <x v="906"/>
    <s v="C1102"/>
    <d v="2024-02-07T18:00:00"/>
    <n v="40881.31"/>
    <x v="0"/>
    <x v="3"/>
    <s v="Food"/>
    <x v="0"/>
    <x v="1"/>
    <s v="Desktop"/>
    <n v="1"/>
    <n v="3"/>
    <x v="608"/>
    <n v="1"/>
    <x v="1"/>
    <x v="1"/>
    <x v="0"/>
  </r>
  <r>
    <x v="907"/>
    <s v="C1295"/>
    <d v="2024-02-07T19:00:00"/>
    <n v="17123.78"/>
    <x v="3"/>
    <x v="3"/>
    <s v="Food"/>
    <x v="4"/>
    <x v="1"/>
    <s v="Desktop"/>
    <n v="0"/>
    <n v="1"/>
    <x v="342"/>
    <n v="0"/>
    <x v="2"/>
    <x v="1"/>
    <x v="1"/>
  </r>
  <r>
    <x v="908"/>
    <s v="C1496"/>
    <d v="2024-02-07T20:00:00"/>
    <n v="13008.2"/>
    <x v="2"/>
    <x v="0"/>
    <s v="Entertainment"/>
    <x v="3"/>
    <x v="3"/>
    <s v="Desktop"/>
    <n v="1"/>
    <n v="4"/>
    <x v="609"/>
    <n v="1"/>
    <x v="1"/>
    <x v="1"/>
    <x v="0"/>
  </r>
  <r>
    <x v="909"/>
    <s v="C1391"/>
    <d v="2024-02-07T21:00:00"/>
    <n v="19015.64"/>
    <x v="0"/>
    <x v="1"/>
    <s v="Retail"/>
    <x v="3"/>
    <x v="4"/>
    <s v="Desktop"/>
    <n v="0"/>
    <n v="1"/>
    <x v="446"/>
    <n v="0"/>
    <x v="2"/>
    <x v="1"/>
    <x v="1"/>
  </r>
  <r>
    <x v="910"/>
    <s v="C1238"/>
    <d v="2024-02-07T22:00:00"/>
    <n v="29535.23"/>
    <x v="0"/>
    <x v="3"/>
    <s v="Food"/>
    <x v="1"/>
    <x v="1"/>
    <s v="Tablet"/>
    <n v="0"/>
    <n v="2"/>
    <x v="102"/>
    <n v="1"/>
    <x v="0"/>
    <x v="1"/>
    <x v="0"/>
  </r>
  <r>
    <x v="911"/>
    <s v="C1321"/>
    <d v="2024-02-07T23:00:00"/>
    <n v="13439.78"/>
    <x v="3"/>
    <x v="1"/>
    <s v="Travel"/>
    <x v="2"/>
    <x v="4"/>
    <s v="Desktop"/>
    <n v="0"/>
    <n v="3"/>
    <x v="196"/>
    <n v="1"/>
    <x v="0"/>
    <x v="1"/>
    <x v="0"/>
  </r>
  <r>
    <x v="912"/>
    <s v="C1137"/>
    <d v="2024-02-08T00:00:00"/>
    <n v="31226.240000000002"/>
    <x v="0"/>
    <x v="1"/>
    <s v="Food"/>
    <x v="1"/>
    <x v="3"/>
    <s v="Desktop"/>
    <n v="0"/>
    <n v="2"/>
    <x v="258"/>
    <n v="1"/>
    <x v="0"/>
    <x v="1"/>
    <x v="0"/>
  </r>
  <r>
    <x v="913"/>
    <s v="C1063"/>
    <d v="2024-02-08T01:00:00"/>
    <n v="20500.11"/>
    <x v="2"/>
    <x v="2"/>
    <s v="Retail"/>
    <x v="0"/>
    <x v="3"/>
    <s v="Desktop"/>
    <n v="1"/>
    <n v="1"/>
    <x v="136"/>
    <n v="1"/>
    <x v="0"/>
    <x v="1"/>
    <x v="0"/>
  </r>
  <r>
    <x v="914"/>
    <s v="C1440"/>
    <d v="2024-02-08T02:00:00"/>
    <n v="27624.76"/>
    <x v="3"/>
    <x v="0"/>
    <s v="Retail"/>
    <x v="4"/>
    <x v="0"/>
    <s v="Tablet"/>
    <n v="0"/>
    <n v="3"/>
    <x v="131"/>
    <n v="1"/>
    <x v="1"/>
    <x v="1"/>
    <x v="0"/>
  </r>
  <r>
    <x v="915"/>
    <s v="C1357"/>
    <d v="2024-02-08T03:00:00"/>
    <n v="21834.52"/>
    <x v="2"/>
    <x v="2"/>
    <s v="Electronics"/>
    <x v="2"/>
    <x v="1"/>
    <s v="Tablet"/>
    <n v="0"/>
    <n v="1"/>
    <x v="610"/>
    <n v="0"/>
    <x v="2"/>
    <x v="1"/>
    <x v="1"/>
  </r>
  <r>
    <x v="916"/>
    <s v="C1369"/>
    <d v="2024-02-08T04:00:00"/>
    <n v="14758.56"/>
    <x v="2"/>
    <x v="0"/>
    <s v="Travel"/>
    <x v="1"/>
    <x v="0"/>
    <s v="Tablet"/>
    <n v="0"/>
    <n v="3"/>
    <x v="265"/>
    <n v="1"/>
    <x v="0"/>
    <x v="1"/>
    <x v="0"/>
  </r>
  <r>
    <x v="917"/>
    <s v="C1261"/>
    <d v="2024-02-08T05:00:00"/>
    <n v="47425.24"/>
    <x v="3"/>
    <x v="0"/>
    <s v="Retail"/>
    <x v="3"/>
    <x v="1"/>
    <s v="Mobile"/>
    <n v="0"/>
    <n v="1"/>
    <x v="28"/>
    <n v="1"/>
    <x v="0"/>
    <x v="1"/>
    <x v="0"/>
  </r>
  <r>
    <x v="918"/>
    <s v="C1330"/>
    <d v="2024-02-08T06:00:00"/>
    <n v="38192.11"/>
    <x v="0"/>
    <x v="1"/>
    <s v="Entertainment"/>
    <x v="3"/>
    <x v="3"/>
    <s v="Tablet"/>
    <n v="0"/>
    <n v="0"/>
    <x v="611"/>
    <n v="0"/>
    <x v="2"/>
    <x v="1"/>
    <x v="1"/>
  </r>
  <r>
    <x v="919"/>
    <s v="C1325"/>
    <d v="2024-02-08T07:00:00"/>
    <n v="7048.65"/>
    <x v="2"/>
    <x v="0"/>
    <s v="Travel"/>
    <x v="2"/>
    <x v="3"/>
    <s v="Desktop"/>
    <n v="0"/>
    <n v="4"/>
    <x v="21"/>
    <n v="1"/>
    <x v="0"/>
    <x v="1"/>
    <x v="0"/>
  </r>
  <r>
    <x v="920"/>
    <s v="C1263"/>
    <d v="2024-02-08T08:00:00"/>
    <n v="43429.98"/>
    <x v="2"/>
    <x v="1"/>
    <s v="Travel"/>
    <x v="3"/>
    <x v="2"/>
    <s v="Tablet"/>
    <n v="0"/>
    <n v="4"/>
    <x v="612"/>
    <n v="1"/>
    <x v="1"/>
    <x v="1"/>
    <x v="0"/>
  </r>
  <r>
    <x v="921"/>
    <s v="C1427"/>
    <d v="2024-02-08T09:00:00"/>
    <n v="24397.19"/>
    <x v="2"/>
    <x v="1"/>
    <s v="Entertainment"/>
    <x v="1"/>
    <x v="2"/>
    <s v="Tablet"/>
    <n v="0"/>
    <n v="3"/>
    <x v="162"/>
    <n v="1"/>
    <x v="0"/>
    <x v="1"/>
    <x v="0"/>
  </r>
  <r>
    <x v="922"/>
    <s v="C1441"/>
    <d v="2024-02-08T10:00:00"/>
    <n v="44732.88"/>
    <x v="2"/>
    <x v="0"/>
    <s v="Food"/>
    <x v="1"/>
    <x v="3"/>
    <s v="Desktop"/>
    <n v="0"/>
    <n v="0"/>
    <x v="602"/>
    <n v="1"/>
    <x v="0"/>
    <x v="1"/>
    <x v="0"/>
  </r>
  <r>
    <x v="923"/>
    <s v="C1058"/>
    <d v="2024-02-08T11:00:00"/>
    <n v="40002.769999999997"/>
    <x v="3"/>
    <x v="1"/>
    <s v="Entertainment"/>
    <x v="3"/>
    <x v="3"/>
    <s v="Tablet"/>
    <n v="0"/>
    <n v="2"/>
    <x v="613"/>
    <n v="1"/>
    <x v="0"/>
    <x v="1"/>
    <x v="0"/>
  </r>
  <r>
    <x v="924"/>
    <s v="C1157"/>
    <d v="2024-02-08T12:00:00"/>
    <n v="21289.41"/>
    <x v="3"/>
    <x v="1"/>
    <s v="Entertainment"/>
    <x v="3"/>
    <x v="4"/>
    <s v="Mobile"/>
    <n v="0"/>
    <n v="0"/>
    <x v="614"/>
    <n v="0"/>
    <x v="2"/>
    <x v="1"/>
    <x v="1"/>
  </r>
  <r>
    <x v="925"/>
    <s v="C1411"/>
    <d v="2024-02-08T13:00:00"/>
    <n v="1172.3399999999999"/>
    <x v="1"/>
    <x v="1"/>
    <s v="Food"/>
    <x v="0"/>
    <x v="4"/>
    <s v="Tablet"/>
    <n v="0"/>
    <n v="3"/>
    <x v="264"/>
    <n v="1"/>
    <x v="0"/>
    <x v="1"/>
    <x v="0"/>
  </r>
  <r>
    <x v="926"/>
    <s v="C1024"/>
    <d v="2024-02-08T14:00:00"/>
    <n v="13470.43"/>
    <x v="1"/>
    <x v="3"/>
    <s v="Food"/>
    <x v="4"/>
    <x v="0"/>
    <s v="Mobile"/>
    <n v="0"/>
    <n v="0"/>
    <x v="408"/>
    <n v="0"/>
    <x v="2"/>
    <x v="1"/>
    <x v="1"/>
  </r>
  <r>
    <x v="927"/>
    <s v="C1116"/>
    <d v="2024-02-08T15:00:00"/>
    <n v="27104.63"/>
    <x v="2"/>
    <x v="1"/>
    <s v="Food"/>
    <x v="2"/>
    <x v="2"/>
    <s v="Mobile"/>
    <n v="0"/>
    <n v="2"/>
    <x v="124"/>
    <n v="1"/>
    <x v="0"/>
    <x v="1"/>
    <x v="0"/>
  </r>
  <r>
    <x v="928"/>
    <s v="C1446"/>
    <d v="2024-02-08T16:00:00"/>
    <n v="31692.240000000002"/>
    <x v="0"/>
    <x v="3"/>
    <s v="Food"/>
    <x v="1"/>
    <x v="2"/>
    <s v="Mobile"/>
    <n v="0"/>
    <n v="3"/>
    <x v="173"/>
    <n v="1"/>
    <x v="1"/>
    <x v="1"/>
    <x v="0"/>
  </r>
  <r>
    <x v="929"/>
    <s v="C1055"/>
    <d v="2024-02-08T17:00:00"/>
    <n v="12931.49"/>
    <x v="2"/>
    <x v="3"/>
    <s v="Food"/>
    <x v="2"/>
    <x v="3"/>
    <s v="Desktop"/>
    <n v="0"/>
    <n v="4"/>
    <x v="615"/>
    <n v="1"/>
    <x v="1"/>
    <x v="1"/>
    <x v="0"/>
  </r>
  <r>
    <x v="930"/>
    <s v="C1206"/>
    <d v="2024-02-08T18:00:00"/>
    <n v="7010.84"/>
    <x v="0"/>
    <x v="1"/>
    <s v="Entertainment"/>
    <x v="0"/>
    <x v="3"/>
    <s v="Tablet"/>
    <n v="0"/>
    <n v="0"/>
    <x v="511"/>
    <n v="0"/>
    <x v="2"/>
    <x v="1"/>
    <x v="1"/>
  </r>
  <r>
    <x v="931"/>
    <s v="C1353"/>
    <d v="2024-02-08T19:00:00"/>
    <n v="41754.769999999997"/>
    <x v="2"/>
    <x v="1"/>
    <s v="Electronics"/>
    <x v="1"/>
    <x v="0"/>
    <s v="Mobile"/>
    <n v="0"/>
    <n v="4"/>
    <x v="271"/>
    <n v="1"/>
    <x v="1"/>
    <x v="1"/>
    <x v="0"/>
  </r>
  <r>
    <x v="932"/>
    <s v="C1020"/>
    <d v="2024-02-08T20:00:00"/>
    <n v="49220.89"/>
    <x v="1"/>
    <x v="3"/>
    <s v="Electronics"/>
    <x v="0"/>
    <x v="2"/>
    <s v="Mobile"/>
    <n v="0"/>
    <n v="4"/>
    <x v="616"/>
    <n v="1"/>
    <x v="1"/>
    <x v="1"/>
    <x v="0"/>
  </r>
  <r>
    <x v="933"/>
    <s v="C1335"/>
    <d v="2024-02-08T21:00:00"/>
    <n v="26308.22"/>
    <x v="1"/>
    <x v="3"/>
    <s v="Retail"/>
    <x v="0"/>
    <x v="4"/>
    <s v="Tablet"/>
    <n v="1"/>
    <n v="1"/>
    <x v="92"/>
    <n v="1"/>
    <x v="0"/>
    <x v="1"/>
    <x v="0"/>
  </r>
  <r>
    <x v="934"/>
    <s v="C1231"/>
    <d v="2024-02-08T22:00:00"/>
    <n v="8625.3799999999992"/>
    <x v="0"/>
    <x v="1"/>
    <s v="Electronics"/>
    <x v="3"/>
    <x v="1"/>
    <s v="Desktop"/>
    <n v="1"/>
    <n v="2"/>
    <x v="493"/>
    <n v="1"/>
    <x v="0"/>
    <x v="1"/>
    <x v="0"/>
  </r>
  <r>
    <x v="935"/>
    <s v="C1127"/>
    <d v="2024-02-08T23:00:00"/>
    <n v="13651.75"/>
    <x v="2"/>
    <x v="1"/>
    <s v="Electronics"/>
    <x v="2"/>
    <x v="0"/>
    <s v="Desktop"/>
    <n v="0"/>
    <n v="0"/>
    <x v="617"/>
    <n v="0"/>
    <x v="2"/>
    <x v="1"/>
    <x v="1"/>
  </r>
  <r>
    <x v="936"/>
    <s v="C1492"/>
    <d v="2024-02-09T00:00:00"/>
    <n v="968.61"/>
    <x v="0"/>
    <x v="0"/>
    <s v="Entertainment"/>
    <x v="2"/>
    <x v="1"/>
    <s v="Mobile"/>
    <n v="0"/>
    <n v="4"/>
    <x v="315"/>
    <n v="1"/>
    <x v="0"/>
    <x v="1"/>
    <x v="0"/>
  </r>
  <r>
    <x v="937"/>
    <s v="C1245"/>
    <d v="2024-02-09T01:00:00"/>
    <n v="45719.23"/>
    <x v="1"/>
    <x v="3"/>
    <s v="Food"/>
    <x v="3"/>
    <x v="4"/>
    <s v="Desktop"/>
    <n v="1"/>
    <n v="4"/>
    <x v="618"/>
    <n v="1"/>
    <x v="1"/>
    <x v="1"/>
    <x v="0"/>
  </r>
  <r>
    <x v="938"/>
    <s v="C1080"/>
    <d v="2024-02-09T02:00:00"/>
    <n v="5931.67"/>
    <x v="2"/>
    <x v="3"/>
    <s v="Food"/>
    <x v="2"/>
    <x v="4"/>
    <s v="Tablet"/>
    <n v="0"/>
    <n v="2"/>
    <x v="619"/>
    <n v="0"/>
    <x v="2"/>
    <x v="1"/>
    <x v="1"/>
  </r>
  <r>
    <x v="939"/>
    <s v="C1267"/>
    <d v="2024-02-09T03:00:00"/>
    <n v="28847"/>
    <x v="2"/>
    <x v="0"/>
    <s v="Entertainment"/>
    <x v="3"/>
    <x v="1"/>
    <s v="Desktop"/>
    <n v="0"/>
    <n v="4"/>
    <x v="620"/>
    <n v="1"/>
    <x v="1"/>
    <x v="1"/>
    <x v="0"/>
  </r>
  <r>
    <x v="940"/>
    <s v="C1050"/>
    <d v="2024-02-09T04:00:00"/>
    <n v="13739.06"/>
    <x v="0"/>
    <x v="3"/>
    <s v="Electronics"/>
    <x v="1"/>
    <x v="0"/>
    <s v="Tablet"/>
    <n v="0"/>
    <n v="4"/>
    <x v="456"/>
    <n v="1"/>
    <x v="1"/>
    <x v="1"/>
    <x v="0"/>
  </r>
  <r>
    <x v="941"/>
    <s v="C1169"/>
    <d v="2024-02-09T05:00:00"/>
    <n v="27731.19"/>
    <x v="3"/>
    <x v="2"/>
    <s v="Entertainment"/>
    <x v="0"/>
    <x v="1"/>
    <s v="Mobile"/>
    <n v="0"/>
    <n v="4"/>
    <x v="281"/>
    <n v="1"/>
    <x v="1"/>
    <x v="1"/>
    <x v="0"/>
  </r>
  <r>
    <x v="942"/>
    <s v="C1233"/>
    <d v="2024-02-09T06:00:00"/>
    <n v="32588.45"/>
    <x v="0"/>
    <x v="3"/>
    <s v="Retail"/>
    <x v="0"/>
    <x v="0"/>
    <s v="Tablet"/>
    <n v="0"/>
    <n v="4"/>
    <x v="340"/>
    <n v="1"/>
    <x v="1"/>
    <x v="1"/>
    <x v="0"/>
  </r>
  <r>
    <x v="943"/>
    <s v="C1361"/>
    <d v="2024-02-09T07:00:00"/>
    <n v="41495.599999999999"/>
    <x v="1"/>
    <x v="0"/>
    <s v="Food"/>
    <x v="2"/>
    <x v="0"/>
    <s v="Mobile"/>
    <n v="1"/>
    <n v="1"/>
    <x v="621"/>
    <n v="1"/>
    <x v="1"/>
    <x v="1"/>
    <x v="0"/>
  </r>
  <r>
    <x v="944"/>
    <s v="C1173"/>
    <d v="2024-02-09T08:00:00"/>
    <n v="10360.74"/>
    <x v="1"/>
    <x v="2"/>
    <s v="Travel"/>
    <x v="4"/>
    <x v="3"/>
    <s v="Tablet"/>
    <n v="0"/>
    <n v="1"/>
    <x v="9"/>
    <n v="0"/>
    <x v="2"/>
    <x v="1"/>
    <x v="1"/>
  </r>
  <r>
    <x v="945"/>
    <s v="C1437"/>
    <d v="2024-02-09T09:00:00"/>
    <n v="599.24"/>
    <x v="1"/>
    <x v="1"/>
    <s v="Retail"/>
    <x v="0"/>
    <x v="2"/>
    <s v="Tablet"/>
    <n v="0"/>
    <n v="3"/>
    <x v="241"/>
    <n v="1"/>
    <x v="0"/>
    <x v="1"/>
    <x v="0"/>
  </r>
  <r>
    <x v="946"/>
    <s v="C1238"/>
    <d v="2024-02-09T10:00:00"/>
    <n v="6887.44"/>
    <x v="1"/>
    <x v="0"/>
    <s v="Retail"/>
    <x v="3"/>
    <x v="2"/>
    <s v="Desktop"/>
    <n v="0"/>
    <n v="0"/>
    <x v="247"/>
    <n v="0"/>
    <x v="2"/>
    <x v="1"/>
    <x v="1"/>
  </r>
  <r>
    <x v="947"/>
    <s v="C1100"/>
    <d v="2024-02-09T11:00:00"/>
    <n v="45005.93"/>
    <x v="1"/>
    <x v="0"/>
    <s v="Entertainment"/>
    <x v="4"/>
    <x v="4"/>
    <s v="Tablet"/>
    <n v="0"/>
    <n v="2"/>
    <x v="622"/>
    <n v="1"/>
    <x v="1"/>
    <x v="1"/>
    <x v="0"/>
  </r>
  <r>
    <x v="948"/>
    <s v="C1028"/>
    <d v="2024-02-09T12:00:00"/>
    <n v="43700.81"/>
    <x v="3"/>
    <x v="1"/>
    <s v="Electronics"/>
    <x v="4"/>
    <x v="3"/>
    <s v="Mobile"/>
    <n v="0"/>
    <n v="3"/>
    <x v="623"/>
    <n v="1"/>
    <x v="1"/>
    <x v="1"/>
    <x v="0"/>
  </r>
  <r>
    <x v="949"/>
    <s v="C1299"/>
    <d v="2024-02-09T13:00:00"/>
    <n v="29890.78"/>
    <x v="2"/>
    <x v="0"/>
    <s v="Food"/>
    <x v="0"/>
    <x v="2"/>
    <s v="Tablet"/>
    <n v="0"/>
    <n v="1"/>
    <x v="132"/>
    <n v="1"/>
    <x v="0"/>
    <x v="1"/>
    <x v="0"/>
  </r>
  <r>
    <x v="950"/>
    <s v="C1421"/>
    <d v="2024-02-09T14:00:00"/>
    <n v="30045.82"/>
    <x v="0"/>
    <x v="3"/>
    <s v="Travel"/>
    <x v="0"/>
    <x v="0"/>
    <s v="Mobile"/>
    <n v="0"/>
    <n v="1"/>
    <x v="624"/>
    <n v="0"/>
    <x v="2"/>
    <x v="1"/>
    <x v="1"/>
  </r>
  <r>
    <x v="951"/>
    <s v="C1031"/>
    <d v="2024-02-09T15:00:00"/>
    <n v="33268.58"/>
    <x v="0"/>
    <x v="1"/>
    <s v="Retail"/>
    <x v="0"/>
    <x v="0"/>
    <s v="Mobile"/>
    <n v="1"/>
    <n v="1"/>
    <x v="625"/>
    <n v="1"/>
    <x v="0"/>
    <x v="1"/>
    <x v="0"/>
  </r>
  <r>
    <x v="952"/>
    <s v="C1240"/>
    <d v="2024-02-09T16:00:00"/>
    <n v="8809.7999999999993"/>
    <x v="1"/>
    <x v="0"/>
    <s v="Travel"/>
    <x v="3"/>
    <x v="1"/>
    <s v="Tablet"/>
    <n v="0"/>
    <n v="3"/>
    <x v="297"/>
    <n v="1"/>
    <x v="0"/>
    <x v="1"/>
    <x v="0"/>
  </r>
  <r>
    <x v="953"/>
    <s v="C1473"/>
    <d v="2024-02-09T17:00:00"/>
    <n v="45724.88"/>
    <x v="0"/>
    <x v="1"/>
    <s v="Electronics"/>
    <x v="4"/>
    <x v="1"/>
    <s v="Desktop"/>
    <n v="0"/>
    <n v="1"/>
    <x v="553"/>
    <n v="1"/>
    <x v="0"/>
    <x v="1"/>
    <x v="0"/>
  </r>
  <r>
    <x v="954"/>
    <s v="C1010"/>
    <d v="2024-02-09T18:00:00"/>
    <n v="20967.59"/>
    <x v="1"/>
    <x v="1"/>
    <s v="Electronics"/>
    <x v="2"/>
    <x v="0"/>
    <s v="Tablet"/>
    <n v="0"/>
    <n v="3"/>
    <x v="571"/>
    <n v="1"/>
    <x v="0"/>
    <x v="1"/>
    <x v="0"/>
  </r>
  <r>
    <x v="955"/>
    <s v="C1108"/>
    <d v="2024-02-09T19:00:00"/>
    <n v="19187.77"/>
    <x v="3"/>
    <x v="1"/>
    <s v="Travel"/>
    <x v="3"/>
    <x v="0"/>
    <s v="Tablet"/>
    <n v="0"/>
    <n v="1"/>
    <x v="523"/>
    <n v="0"/>
    <x v="2"/>
    <x v="1"/>
    <x v="1"/>
  </r>
  <r>
    <x v="956"/>
    <s v="C1254"/>
    <d v="2024-02-09T20:00:00"/>
    <n v="25969.94"/>
    <x v="3"/>
    <x v="2"/>
    <s v="Food"/>
    <x v="1"/>
    <x v="1"/>
    <s v="Desktop"/>
    <n v="0"/>
    <n v="4"/>
    <x v="626"/>
    <n v="1"/>
    <x v="1"/>
    <x v="1"/>
    <x v="0"/>
  </r>
  <r>
    <x v="957"/>
    <s v="C1018"/>
    <d v="2024-02-09T21:00:00"/>
    <n v="2395.9499999999998"/>
    <x v="2"/>
    <x v="0"/>
    <s v="Electronics"/>
    <x v="0"/>
    <x v="2"/>
    <s v="Mobile"/>
    <n v="1"/>
    <n v="4"/>
    <x v="460"/>
    <n v="1"/>
    <x v="1"/>
    <x v="1"/>
    <x v="0"/>
  </r>
  <r>
    <x v="958"/>
    <s v="C1355"/>
    <d v="2024-02-09T22:00:00"/>
    <n v="8355.85"/>
    <x v="3"/>
    <x v="2"/>
    <s v="Travel"/>
    <x v="4"/>
    <x v="4"/>
    <s v="Tablet"/>
    <n v="1"/>
    <n v="0"/>
    <x v="627"/>
    <n v="0"/>
    <x v="2"/>
    <x v="1"/>
    <x v="1"/>
  </r>
  <r>
    <x v="959"/>
    <s v="C1128"/>
    <d v="2024-02-09T23:00:00"/>
    <n v="36914.78"/>
    <x v="3"/>
    <x v="0"/>
    <s v="Retail"/>
    <x v="3"/>
    <x v="1"/>
    <s v="Desktop"/>
    <n v="0"/>
    <n v="1"/>
    <x v="628"/>
    <n v="1"/>
    <x v="0"/>
    <x v="1"/>
    <x v="0"/>
  </r>
  <r>
    <x v="960"/>
    <s v="C1243"/>
    <d v="2024-02-10T00:00:00"/>
    <n v="4185.79"/>
    <x v="2"/>
    <x v="3"/>
    <s v="Travel"/>
    <x v="1"/>
    <x v="2"/>
    <s v="Desktop"/>
    <n v="0"/>
    <n v="0"/>
    <x v="358"/>
    <n v="0"/>
    <x v="2"/>
    <x v="1"/>
    <x v="1"/>
  </r>
  <r>
    <x v="961"/>
    <s v="C1064"/>
    <d v="2024-02-10T01:00:00"/>
    <n v="30177.45"/>
    <x v="0"/>
    <x v="3"/>
    <s v="Travel"/>
    <x v="3"/>
    <x v="2"/>
    <s v="Mobile"/>
    <n v="0"/>
    <n v="3"/>
    <x v="320"/>
    <n v="1"/>
    <x v="1"/>
    <x v="1"/>
    <x v="0"/>
  </r>
  <r>
    <x v="962"/>
    <s v="C1221"/>
    <d v="2024-02-10T02:00:00"/>
    <n v="12305.19"/>
    <x v="1"/>
    <x v="3"/>
    <s v="Entertainment"/>
    <x v="3"/>
    <x v="2"/>
    <s v="Desktop"/>
    <n v="0"/>
    <n v="0"/>
    <x v="629"/>
    <n v="0"/>
    <x v="2"/>
    <x v="1"/>
    <x v="1"/>
  </r>
  <r>
    <x v="963"/>
    <s v="C1037"/>
    <d v="2024-02-10T03:00:00"/>
    <n v="19495.32"/>
    <x v="1"/>
    <x v="0"/>
    <s v="Electronics"/>
    <x v="2"/>
    <x v="3"/>
    <s v="Mobile"/>
    <n v="0"/>
    <n v="1"/>
    <x v="246"/>
    <n v="0"/>
    <x v="2"/>
    <x v="1"/>
    <x v="1"/>
  </r>
  <r>
    <x v="964"/>
    <s v="C1317"/>
    <d v="2024-02-10T04:00:00"/>
    <n v="14470.25"/>
    <x v="0"/>
    <x v="1"/>
    <s v="Food"/>
    <x v="2"/>
    <x v="3"/>
    <s v="Tablet"/>
    <n v="1"/>
    <n v="3"/>
    <x v="432"/>
    <n v="1"/>
    <x v="1"/>
    <x v="1"/>
    <x v="0"/>
  </r>
  <r>
    <x v="965"/>
    <s v="C1171"/>
    <d v="2024-02-10T05:00:00"/>
    <n v="17815.849999999999"/>
    <x v="2"/>
    <x v="1"/>
    <s v="Food"/>
    <x v="3"/>
    <x v="2"/>
    <s v="Desktop"/>
    <n v="0"/>
    <n v="3"/>
    <x v="298"/>
    <n v="1"/>
    <x v="0"/>
    <x v="1"/>
    <x v="0"/>
  </r>
  <r>
    <x v="966"/>
    <s v="C1369"/>
    <d v="2024-02-10T06:00:00"/>
    <n v="35966.339999999997"/>
    <x v="0"/>
    <x v="2"/>
    <s v="Entertainment"/>
    <x v="1"/>
    <x v="0"/>
    <s v="Tablet"/>
    <n v="0"/>
    <n v="4"/>
    <x v="564"/>
    <n v="1"/>
    <x v="1"/>
    <x v="1"/>
    <x v="0"/>
  </r>
  <r>
    <x v="967"/>
    <s v="C1453"/>
    <d v="2024-02-10T07:00:00"/>
    <n v="14891.23"/>
    <x v="3"/>
    <x v="2"/>
    <s v="Food"/>
    <x v="4"/>
    <x v="3"/>
    <s v="Desktop"/>
    <n v="0"/>
    <n v="3"/>
    <x v="630"/>
    <n v="1"/>
    <x v="0"/>
    <x v="1"/>
    <x v="0"/>
  </r>
  <r>
    <x v="968"/>
    <s v="C1386"/>
    <d v="2024-02-10T08:00:00"/>
    <n v="28341.91"/>
    <x v="2"/>
    <x v="3"/>
    <s v="Travel"/>
    <x v="4"/>
    <x v="1"/>
    <s v="Desktop"/>
    <n v="0"/>
    <n v="3"/>
    <x v="219"/>
    <n v="1"/>
    <x v="0"/>
    <x v="1"/>
    <x v="0"/>
  </r>
  <r>
    <x v="969"/>
    <s v="C1314"/>
    <d v="2024-02-10T09:00:00"/>
    <n v="23828.720000000001"/>
    <x v="2"/>
    <x v="2"/>
    <s v="Entertainment"/>
    <x v="0"/>
    <x v="3"/>
    <s v="Tablet"/>
    <n v="0"/>
    <n v="0"/>
    <x v="631"/>
    <n v="0"/>
    <x v="2"/>
    <x v="1"/>
    <x v="1"/>
  </r>
  <r>
    <x v="970"/>
    <s v="C1487"/>
    <d v="2024-02-10T10:00:00"/>
    <n v="33200.370000000003"/>
    <x v="2"/>
    <x v="0"/>
    <s v="Retail"/>
    <x v="0"/>
    <x v="0"/>
    <s v="Desktop"/>
    <n v="0"/>
    <n v="3"/>
    <x v="299"/>
    <n v="1"/>
    <x v="0"/>
    <x v="1"/>
    <x v="0"/>
  </r>
  <r>
    <x v="971"/>
    <s v="C1076"/>
    <d v="2024-02-10T11:00:00"/>
    <n v="46844.65"/>
    <x v="1"/>
    <x v="0"/>
    <s v="Electronics"/>
    <x v="4"/>
    <x v="4"/>
    <s v="Tablet"/>
    <n v="0"/>
    <n v="2"/>
    <x v="527"/>
    <n v="1"/>
    <x v="1"/>
    <x v="1"/>
    <x v="0"/>
  </r>
  <r>
    <x v="972"/>
    <s v="C1485"/>
    <d v="2024-02-10T12:00:00"/>
    <n v="36641.980000000003"/>
    <x v="0"/>
    <x v="2"/>
    <s v="Electronics"/>
    <x v="3"/>
    <x v="3"/>
    <s v="Tablet"/>
    <n v="0"/>
    <n v="4"/>
    <x v="632"/>
    <n v="1"/>
    <x v="1"/>
    <x v="1"/>
    <x v="0"/>
  </r>
  <r>
    <x v="973"/>
    <s v="C1183"/>
    <d v="2024-02-10T13:00:00"/>
    <n v="10786.27"/>
    <x v="2"/>
    <x v="2"/>
    <s v="Electronics"/>
    <x v="3"/>
    <x v="2"/>
    <s v="Mobile"/>
    <n v="0"/>
    <n v="4"/>
    <x v="70"/>
    <n v="1"/>
    <x v="1"/>
    <x v="1"/>
    <x v="0"/>
  </r>
  <r>
    <x v="974"/>
    <s v="C1181"/>
    <d v="2024-02-10T14:00:00"/>
    <n v="1607.6"/>
    <x v="2"/>
    <x v="2"/>
    <s v="Travel"/>
    <x v="2"/>
    <x v="2"/>
    <s v="Tablet"/>
    <n v="0"/>
    <n v="3"/>
    <x v="461"/>
    <n v="0"/>
    <x v="2"/>
    <x v="1"/>
    <x v="1"/>
  </r>
  <r>
    <x v="975"/>
    <s v="C1198"/>
    <d v="2024-02-10T15:00:00"/>
    <n v="13150.09"/>
    <x v="2"/>
    <x v="2"/>
    <s v="Retail"/>
    <x v="2"/>
    <x v="2"/>
    <s v="Mobile"/>
    <n v="0"/>
    <n v="0"/>
    <x v="80"/>
    <n v="0"/>
    <x v="2"/>
    <x v="1"/>
    <x v="1"/>
  </r>
  <r>
    <x v="976"/>
    <s v="C1084"/>
    <d v="2024-02-10T16:00:00"/>
    <n v="29774.14"/>
    <x v="0"/>
    <x v="3"/>
    <s v="Entertainment"/>
    <x v="0"/>
    <x v="4"/>
    <s v="Tablet"/>
    <n v="1"/>
    <n v="4"/>
    <x v="576"/>
    <n v="1"/>
    <x v="1"/>
    <x v="1"/>
    <x v="0"/>
  </r>
  <r>
    <x v="977"/>
    <s v="C1349"/>
    <d v="2024-02-10T17:00:00"/>
    <n v="2618.7199999999998"/>
    <x v="1"/>
    <x v="3"/>
    <s v="Entertainment"/>
    <x v="4"/>
    <x v="0"/>
    <s v="Desktop"/>
    <n v="0"/>
    <n v="4"/>
    <x v="539"/>
    <n v="1"/>
    <x v="0"/>
    <x v="1"/>
    <x v="0"/>
  </r>
  <r>
    <x v="978"/>
    <s v="C1421"/>
    <d v="2024-02-10T18:00:00"/>
    <n v="24843.49"/>
    <x v="3"/>
    <x v="2"/>
    <s v="Electronics"/>
    <x v="3"/>
    <x v="1"/>
    <s v="Tablet"/>
    <n v="0"/>
    <n v="2"/>
    <x v="512"/>
    <n v="1"/>
    <x v="0"/>
    <x v="1"/>
    <x v="0"/>
  </r>
  <r>
    <x v="979"/>
    <s v="C1079"/>
    <d v="2024-02-10T19:00:00"/>
    <n v="29862.3"/>
    <x v="1"/>
    <x v="0"/>
    <s v="Retail"/>
    <x v="4"/>
    <x v="0"/>
    <s v="Desktop"/>
    <n v="0"/>
    <n v="3"/>
    <x v="182"/>
    <n v="1"/>
    <x v="1"/>
    <x v="1"/>
    <x v="0"/>
  </r>
  <r>
    <x v="980"/>
    <s v="C1093"/>
    <d v="2024-02-10T20:00:00"/>
    <n v="16745.48"/>
    <x v="2"/>
    <x v="3"/>
    <s v="Retail"/>
    <x v="1"/>
    <x v="4"/>
    <s v="Mobile"/>
    <n v="0"/>
    <n v="4"/>
    <x v="633"/>
    <n v="1"/>
    <x v="0"/>
    <x v="1"/>
    <x v="0"/>
  </r>
  <r>
    <x v="981"/>
    <s v="C1031"/>
    <d v="2024-02-10T21:00:00"/>
    <n v="38557.06"/>
    <x v="1"/>
    <x v="0"/>
    <s v="Retail"/>
    <x v="4"/>
    <x v="2"/>
    <s v="Desktop"/>
    <n v="0"/>
    <n v="4"/>
    <x v="422"/>
    <n v="1"/>
    <x v="1"/>
    <x v="1"/>
    <x v="0"/>
  </r>
  <r>
    <x v="982"/>
    <s v="C1055"/>
    <d v="2024-02-10T22:00:00"/>
    <n v="5374.58"/>
    <x v="1"/>
    <x v="1"/>
    <s v="Food"/>
    <x v="1"/>
    <x v="0"/>
    <s v="Tablet"/>
    <n v="0"/>
    <n v="4"/>
    <x v="634"/>
    <n v="1"/>
    <x v="0"/>
    <x v="1"/>
    <x v="0"/>
  </r>
  <r>
    <x v="983"/>
    <s v="C1208"/>
    <d v="2024-02-10T23:00:00"/>
    <n v="3803.13"/>
    <x v="3"/>
    <x v="0"/>
    <s v="Food"/>
    <x v="2"/>
    <x v="1"/>
    <s v="Desktop"/>
    <n v="0"/>
    <n v="4"/>
    <x v="426"/>
    <n v="1"/>
    <x v="0"/>
    <x v="1"/>
    <x v="0"/>
  </r>
  <r>
    <x v="984"/>
    <s v="C1322"/>
    <d v="2024-02-11T00:00:00"/>
    <n v="36423.03"/>
    <x v="0"/>
    <x v="2"/>
    <s v="Electronics"/>
    <x v="2"/>
    <x v="2"/>
    <s v="Mobile"/>
    <n v="0"/>
    <n v="0"/>
    <x v="158"/>
    <n v="0"/>
    <x v="2"/>
    <x v="1"/>
    <x v="1"/>
  </r>
  <r>
    <x v="985"/>
    <s v="C1001"/>
    <d v="2024-02-11T01:00:00"/>
    <n v="24799.79"/>
    <x v="0"/>
    <x v="1"/>
    <s v="Retail"/>
    <x v="0"/>
    <x v="1"/>
    <s v="Desktop"/>
    <n v="0"/>
    <n v="1"/>
    <x v="55"/>
    <n v="0"/>
    <x v="2"/>
    <x v="1"/>
    <x v="1"/>
  </r>
  <r>
    <x v="986"/>
    <s v="C1050"/>
    <d v="2024-02-11T02:00:00"/>
    <n v="34435.699999999997"/>
    <x v="1"/>
    <x v="3"/>
    <s v="Retail"/>
    <x v="4"/>
    <x v="3"/>
    <s v="Desktop"/>
    <n v="0"/>
    <n v="2"/>
    <x v="84"/>
    <n v="1"/>
    <x v="0"/>
    <x v="1"/>
    <x v="0"/>
  </r>
  <r>
    <x v="987"/>
    <s v="C1152"/>
    <d v="2024-02-11T03:00:00"/>
    <n v="21769.63"/>
    <x v="1"/>
    <x v="3"/>
    <s v="Entertainment"/>
    <x v="4"/>
    <x v="1"/>
    <s v="Tablet"/>
    <n v="0"/>
    <n v="0"/>
    <x v="635"/>
    <n v="0"/>
    <x v="2"/>
    <x v="1"/>
    <x v="1"/>
  </r>
  <r>
    <x v="988"/>
    <s v="C1349"/>
    <d v="2024-02-11T04:00:00"/>
    <n v="12357.78"/>
    <x v="0"/>
    <x v="1"/>
    <s v="Entertainment"/>
    <x v="1"/>
    <x v="2"/>
    <s v="Tablet"/>
    <n v="0"/>
    <n v="2"/>
    <x v="636"/>
    <n v="1"/>
    <x v="0"/>
    <x v="1"/>
    <x v="0"/>
  </r>
  <r>
    <x v="989"/>
    <s v="C1369"/>
    <d v="2024-02-11T05:00:00"/>
    <n v="40964.160000000003"/>
    <x v="0"/>
    <x v="0"/>
    <s v="Electronics"/>
    <x v="2"/>
    <x v="3"/>
    <s v="Desktop"/>
    <n v="0"/>
    <n v="4"/>
    <x v="637"/>
    <n v="1"/>
    <x v="1"/>
    <x v="1"/>
    <x v="0"/>
  </r>
  <r>
    <x v="990"/>
    <s v="C1411"/>
    <d v="2024-02-11T06:00:00"/>
    <n v="39980.82"/>
    <x v="3"/>
    <x v="3"/>
    <s v="Retail"/>
    <x v="1"/>
    <x v="2"/>
    <s v="Mobile"/>
    <n v="0"/>
    <n v="2"/>
    <x v="559"/>
    <n v="1"/>
    <x v="0"/>
    <x v="1"/>
    <x v="0"/>
  </r>
  <r>
    <x v="991"/>
    <s v="C1351"/>
    <d v="2024-02-11T07:00:00"/>
    <n v="34750.089999999997"/>
    <x v="2"/>
    <x v="2"/>
    <s v="Electronics"/>
    <x v="2"/>
    <x v="2"/>
    <s v="Desktop"/>
    <n v="0"/>
    <n v="3"/>
    <x v="39"/>
    <n v="1"/>
    <x v="0"/>
    <x v="1"/>
    <x v="0"/>
  </r>
  <r>
    <x v="992"/>
    <s v="C1169"/>
    <d v="2024-02-11T08:00:00"/>
    <n v="13643.65"/>
    <x v="1"/>
    <x v="1"/>
    <s v="Entertainment"/>
    <x v="1"/>
    <x v="3"/>
    <s v="Mobile"/>
    <n v="0"/>
    <n v="3"/>
    <x v="493"/>
    <n v="1"/>
    <x v="0"/>
    <x v="1"/>
    <x v="0"/>
  </r>
  <r>
    <x v="993"/>
    <s v="C1365"/>
    <d v="2024-02-11T09:00:00"/>
    <n v="29532.02"/>
    <x v="0"/>
    <x v="2"/>
    <s v="Entertainment"/>
    <x v="2"/>
    <x v="1"/>
    <s v="Mobile"/>
    <n v="1"/>
    <n v="1"/>
    <x v="322"/>
    <n v="1"/>
    <x v="0"/>
    <x v="1"/>
    <x v="0"/>
  </r>
  <r>
    <x v="994"/>
    <s v="C1418"/>
    <d v="2024-02-11T10:00:00"/>
    <n v="18080.650000000001"/>
    <x v="1"/>
    <x v="1"/>
    <s v="Food"/>
    <x v="1"/>
    <x v="4"/>
    <s v="Mobile"/>
    <n v="1"/>
    <n v="1"/>
    <x v="638"/>
    <n v="1"/>
    <x v="0"/>
    <x v="1"/>
    <x v="0"/>
  </r>
  <r>
    <x v="995"/>
    <s v="C1371"/>
    <d v="2024-02-11T11:00:00"/>
    <n v="4624.5200000000004"/>
    <x v="1"/>
    <x v="3"/>
    <s v="Electronics"/>
    <x v="2"/>
    <x v="4"/>
    <s v="Desktop"/>
    <n v="0"/>
    <n v="2"/>
    <x v="639"/>
    <n v="0"/>
    <x v="2"/>
    <x v="1"/>
    <x v="1"/>
  </r>
  <r>
    <x v="996"/>
    <s v="C1133"/>
    <d v="2024-02-11T12:00:00"/>
    <n v="45869.81"/>
    <x v="0"/>
    <x v="0"/>
    <s v="Electronics"/>
    <x v="1"/>
    <x v="4"/>
    <s v="Mobile"/>
    <n v="0"/>
    <n v="0"/>
    <x v="619"/>
    <n v="0"/>
    <x v="2"/>
    <x v="1"/>
    <x v="1"/>
  </r>
  <r>
    <x v="997"/>
    <s v="C1311"/>
    <d v="2024-02-11T13:00:00"/>
    <n v="6884.09"/>
    <x v="3"/>
    <x v="1"/>
    <s v="Retail"/>
    <x v="4"/>
    <x v="4"/>
    <s v="Desktop"/>
    <n v="0"/>
    <n v="0"/>
    <x v="247"/>
    <n v="0"/>
    <x v="2"/>
    <x v="1"/>
    <x v="1"/>
  </r>
  <r>
    <x v="998"/>
    <s v="C1012"/>
    <d v="2024-02-11T14:00:00"/>
    <n v="47514.36"/>
    <x v="1"/>
    <x v="1"/>
    <s v="Retail"/>
    <x v="0"/>
    <x v="0"/>
    <s v="Mobile"/>
    <n v="0"/>
    <n v="4"/>
    <x v="640"/>
    <n v="1"/>
    <x v="1"/>
    <x v="1"/>
    <x v="0"/>
  </r>
  <r>
    <x v="999"/>
    <s v="C1376"/>
    <d v="2024-02-11T15:00:00"/>
    <n v="22327.99"/>
    <x v="3"/>
    <x v="2"/>
    <s v="Food"/>
    <x v="1"/>
    <x v="4"/>
    <s v="Mobile"/>
    <n v="0"/>
    <n v="0"/>
    <x v="629"/>
    <n v="0"/>
    <x v="2"/>
    <x v="1"/>
    <x v="1"/>
  </r>
  <r>
    <x v="1000"/>
    <s v="C1057"/>
    <d v="2024-02-11T16:00:00"/>
    <n v="9297.39"/>
    <x v="0"/>
    <x v="3"/>
    <s v="Travel"/>
    <x v="0"/>
    <x v="3"/>
    <s v="Desktop"/>
    <n v="0"/>
    <n v="1"/>
    <x v="47"/>
    <n v="0"/>
    <x v="2"/>
    <x v="1"/>
    <x v="1"/>
  </r>
  <r>
    <x v="1001"/>
    <s v="C1102"/>
    <d v="2024-02-11T17:00:00"/>
    <n v="27117.95"/>
    <x v="2"/>
    <x v="2"/>
    <s v="Travel"/>
    <x v="4"/>
    <x v="4"/>
    <s v="Tablet"/>
    <n v="0"/>
    <n v="0"/>
    <x v="261"/>
    <n v="0"/>
    <x v="2"/>
    <x v="1"/>
    <x v="1"/>
  </r>
  <r>
    <x v="1002"/>
    <s v="C1026"/>
    <d v="2024-02-11T18:00:00"/>
    <n v="43653.64"/>
    <x v="2"/>
    <x v="3"/>
    <s v="Travel"/>
    <x v="4"/>
    <x v="2"/>
    <s v="Tablet"/>
    <n v="0"/>
    <n v="4"/>
    <x v="641"/>
    <n v="1"/>
    <x v="1"/>
    <x v="1"/>
    <x v="0"/>
  </r>
  <r>
    <x v="1003"/>
    <s v="C1029"/>
    <d v="2024-02-11T19:00:00"/>
    <n v="36624.629999999997"/>
    <x v="1"/>
    <x v="2"/>
    <s v="Electronics"/>
    <x v="2"/>
    <x v="4"/>
    <s v="Desktop"/>
    <n v="0"/>
    <n v="3"/>
    <x v="398"/>
    <n v="1"/>
    <x v="1"/>
    <x v="1"/>
    <x v="0"/>
  </r>
  <r>
    <x v="1004"/>
    <s v="C1304"/>
    <d v="2024-02-11T20:00:00"/>
    <n v="40337.730000000003"/>
    <x v="0"/>
    <x v="1"/>
    <s v="Electronics"/>
    <x v="0"/>
    <x v="1"/>
    <s v="Desktop"/>
    <n v="0"/>
    <n v="0"/>
    <x v="642"/>
    <n v="1"/>
    <x v="0"/>
    <x v="1"/>
    <x v="0"/>
  </r>
  <r>
    <x v="1005"/>
    <s v="C1116"/>
    <d v="2024-02-11T21:00:00"/>
    <n v="32956.230000000003"/>
    <x v="3"/>
    <x v="2"/>
    <s v="Entertainment"/>
    <x v="3"/>
    <x v="3"/>
    <s v="Tablet"/>
    <n v="0"/>
    <n v="0"/>
    <x v="643"/>
    <n v="0"/>
    <x v="2"/>
    <x v="1"/>
    <x v="1"/>
  </r>
  <r>
    <x v="1006"/>
    <s v="C1280"/>
    <d v="2024-02-11T22:00:00"/>
    <n v="34629.21"/>
    <x v="1"/>
    <x v="0"/>
    <s v="Electronics"/>
    <x v="2"/>
    <x v="3"/>
    <s v="Tablet"/>
    <n v="0"/>
    <n v="1"/>
    <x v="161"/>
    <n v="1"/>
    <x v="0"/>
    <x v="1"/>
    <x v="0"/>
  </r>
  <r>
    <x v="1007"/>
    <s v="C1263"/>
    <d v="2024-02-11T23:00:00"/>
    <n v="42467.32"/>
    <x v="0"/>
    <x v="3"/>
    <s v="Electronics"/>
    <x v="0"/>
    <x v="0"/>
    <s v="Tablet"/>
    <n v="0"/>
    <n v="2"/>
    <x v="337"/>
    <n v="1"/>
    <x v="0"/>
    <x v="1"/>
    <x v="0"/>
  </r>
  <r>
    <x v="1008"/>
    <s v="C1016"/>
    <d v="2024-02-12T00:00:00"/>
    <n v="12520.92"/>
    <x v="0"/>
    <x v="3"/>
    <s v="Electronics"/>
    <x v="1"/>
    <x v="2"/>
    <s v="Desktop"/>
    <n v="0"/>
    <n v="3"/>
    <x v="98"/>
    <n v="1"/>
    <x v="0"/>
    <x v="1"/>
    <x v="0"/>
  </r>
  <r>
    <x v="1009"/>
    <s v="C1198"/>
    <d v="2024-02-12T01:00:00"/>
    <n v="24496.78"/>
    <x v="3"/>
    <x v="1"/>
    <s v="Food"/>
    <x v="1"/>
    <x v="3"/>
    <s v="Mobile"/>
    <n v="0"/>
    <n v="2"/>
    <x v="644"/>
    <n v="1"/>
    <x v="0"/>
    <x v="1"/>
    <x v="0"/>
  </r>
  <r>
    <x v="1010"/>
    <s v="C1218"/>
    <d v="2024-02-12T02:00:00"/>
    <n v="11099.41"/>
    <x v="1"/>
    <x v="3"/>
    <s v="Electronics"/>
    <x v="4"/>
    <x v="1"/>
    <s v="Desktop"/>
    <n v="0"/>
    <n v="4"/>
    <x v="151"/>
    <n v="1"/>
    <x v="0"/>
    <x v="1"/>
    <x v="0"/>
  </r>
  <r>
    <x v="1011"/>
    <s v="C1293"/>
    <d v="2024-02-12T03:00:00"/>
    <n v="49384.02"/>
    <x v="0"/>
    <x v="0"/>
    <s v="Retail"/>
    <x v="3"/>
    <x v="4"/>
    <s v="Tablet"/>
    <n v="0"/>
    <n v="4"/>
    <x v="404"/>
    <n v="1"/>
    <x v="1"/>
    <x v="1"/>
    <x v="0"/>
  </r>
  <r>
    <x v="1012"/>
    <s v="C1416"/>
    <d v="2024-02-12T04:00:00"/>
    <n v="47205.760000000002"/>
    <x v="0"/>
    <x v="2"/>
    <s v="Retail"/>
    <x v="1"/>
    <x v="3"/>
    <s v="Mobile"/>
    <n v="0"/>
    <n v="2"/>
    <x v="591"/>
    <n v="1"/>
    <x v="1"/>
    <x v="1"/>
    <x v="0"/>
  </r>
  <r>
    <x v="1013"/>
    <s v="C1215"/>
    <d v="2024-02-12T05:00:00"/>
    <n v="2019.37"/>
    <x v="0"/>
    <x v="1"/>
    <s v="Entertainment"/>
    <x v="0"/>
    <x v="1"/>
    <s v="Desktop"/>
    <n v="0"/>
    <n v="1"/>
    <x v="141"/>
    <n v="0"/>
    <x v="2"/>
    <x v="1"/>
    <x v="1"/>
  </r>
  <r>
    <x v="1014"/>
    <s v="C1471"/>
    <d v="2024-02-12T06:00:00"/>
    <n v="35293.480000000003"/>
    <x v="3"/>
    <x v="0"/>
    <s v="Food"/>
    <x v="0"/>
    <x v="4"/>
    <s v="Tablet"/>
    <n v="0"/>
    <n v="1"/>
    <x v="645"/>
    <n v="1"/>
    <x v="0"/>
    <x v="1"/>
    <x v="0"/>
  </r>
  <r>
    <x v="1015"/>
    <s v="C1251"/>
    <d v="2024-02-12T07:00:00"/>
    <n v="46266.15"/>
    <x v="1"/>
    <x v="3"/>
    <s v="Retail"/>
    <x v="1"/>
    <x v="0"/>
    <s v="Desktop"/>
    <n v="0"/>
    <n v="1"/>
    <x v="92"/>
    <n v="1"/>
    <x v="0"/>
    <x v="1"/>
    <x v="0"/>
  </r>
  <r>
    <x v="1016"/>
    <s v="C1412"/>
    <d v="2024-02-12T08:00:00"/>
    <n v="9069.74"/>
    <x v="1"/>
    <x v="3"/>
    <s v="Food"/>
    <x v="0"/>
    <x v="3"/>
    <s v="Mobile"/>
    <n v="0"/>
    <n v="3"/>
    <x v="455"/>
    <n v="1"/>
    <x v="0"/>
    <x v="1"/>
    <x v="0"/>
  </r>
  <r>
    <x v="1017"/>
    <s v="C1084"/>
    <d v="2024-02-12T09:00:00"/>
    <n v="28418.86"/>
    <x v="1"/>
    <x v="0"/>
    <s v="Food"/>
    <x v="0"/>
    <x v="3"/>
    <s v="Tablet"/>
    <n v="0"/>
    <n v="4"/>
    <x v="646"/>
    <n v="1"/>
    <x v="1"/>
    <x v="1"/>
    <x v="0"/>
  </r>
  <r>
    <x v="1018"/>
    <s v="C1419"/>
    <d v="2024-02-12T10:00:00"/>
    <n v="45778.64"/>
    <x v="1"/>
    <x v="2"/>
    <s v="Entertainment"/>
    <x v="4"/>
    <x v="1"/>
    <s v="Desktop"/>
    <n v="0"/>
    <n v="4"/>
    <x v="647"/>
    <n v="1"/>
    <x v="1"/>
    <x v="1"/>
    <x v="0"/>
  </r>
  <r>
    <x v="1019"/>
    <s v="C1421"/>
    <d v="2024-02-12T11:00:00"/>
    <n v="1745.6"/>
    <x v="2"/>
    <x v="2"/>
    <s v="Food"/>
    <x v="3"/>
    <x v="2"/>
    <s v="Mobile"/>
    <n v="0"/>
    <n v="4"/>
    <x v="106"/>
    <n v="1"/>
    <x v="0"/>
    <x v="1"/>
    <x v="0"/>
  </r>
  <r>
    <x v="1020"/>
    <s v="C1306"/>
    <d v="2024-02-12T12:00:00"/>
    <n v="34886.14"/>
    <x v="2"/>
    <x v="1"/>
    <s v="Electronics"/>
    <x v="4"/>
    <x v="0"/>
    <s v="Mobile"/>
    <n v="1"/>
    <n v="3"/>
    <x v="648"/>
    <n v="1"/>
    <x v="1"/>
    <x v="1"/>
    <x v="0"/>
  </r>
  <r>
    <x v="1021"/>
    <s v="C1331"/>
    <d v="2024-02-12T13:00:00"/>
    <n v="14902.58"/>
    <x v="1"/>
    <x v="3"/>
    <s v="Food"/>
    <x v="3"/>
    <x v="2"/>
    <s v="Desktop"/>
    <n v="0"/>
    <n v="4"/>
    <x v="182"/>
    <n v="1"/>
    <x v="1"/>
    <x v="1"/>
    <x v="0"/>
  </r>
  <r>
    <x v="1022"/>
    <s v="C1103"/>
    <d v="2024-02-12T14:00:00"/>
    <n v="46223.59"/>
    <x v="3"/>
    <x v="0"/>
    <s v="Entertainment"/>
    <x v="0"/>
    <x v="3"/>
    <s v="Mobile"/>
    <n v="0"/>
    <n v="2"/>
    <x v="78"/>
    <n v="1"/>
    <x v="1"/>
    <x v="1"/>
    <x v="0"/>
  </r>
  <r>
    <x v="1023"/>
    <s v="C1467"/>
    <d v="2024-02-12T15:00:00"/>
    <n v="48554.36"/>
    <x v="2"/>
    <x v="2"/>
    <s v="Entertainment"/>
    <x v="3"/>
    <x v="2"/>
    <s v="Tablet"/>
    <n v="0"/>
    <n v="0"/>
    <x v="300"/>
    <n v="1"/>
    <x v="0"/>
    <x v="1"/>
    <x v="0"/>
  </r>
  <r>
    <x v="1024"/>
    <s v="C1050"/>
    <d v="2024-02-12T16:00:00"/>
    <n v="47216.11"/>
    <x v="0"/>
    <x v="1"/>
    <s v="Entertainment"/>
    <x v="0"/>
    <x v="4"/>
    <s v="Mobile"/>
    <n v="0"/>
    <n v="3"/>
    <x v="649"/>
    <n v="1"/>
    <x v="1"/>
    <x v="1"/>
    <x v="0"/>
  </r>
  <r>
    <x v="1025"/>
    <s v="C1343"/>
    <d v="2024-02-12T17:00:00"/>
    <n v="23737"/>
    <x v="2"/>
    <x v="3"/>
    <s v="Retail"/>
    <x v="0"/>
    <x v="0"/>
    <s v="Desktop"/>
    <n v="0"/>
    <n v="0"/>
    <x v="617"/>
    <n v="0"/>
    <x v="2"/>
    <x v="1"/>
    <x v="1"/>
  </r>
  <r>
    <x v="1026"/>
    <s v="C1011"/>
    <d v="2024-02-12T18:00:00"/>
    <n v="43109.03"/>
    <x v="0"/>
    <x v="3"/>
    <s v="Electronics"/>
    <x v="4"/>
    <x v="2"/>
    <s v="Tablet"/>
    <n v="0"/>
    <n v="2"/>
    <x v="88"/>
    <n v="1"/>
    <x v="1"/>
    <x v="1"/>
    <x v="0"/>
  </r>
  <r>
    <x v="1027"/>
    <s v="C1495"/>
    <d v="2024-02-12T19:00:00"/>
    <n v="42235.24"/>
    <x v="1"/>
    <x v="1"/>
    <s v="Retail"/>
    <x v="4"/>
    <x v="4"/>
    <s v="Mobile"/>
    <n v="0"/>
    <n v="1"/>
    <x v="650"/>
    <n v="1"/>
    <x v="0"/>
    <x v="1"/>
    <x v="0"/>
  </r>
  <r>
    <x v="1028"/>
    <s v="C1310"/>
    <d v="2024-02-12T20:00:00"/>
    <n v="15989.07"/>
    <x v="2"/>
    <x v="1"/>
    <s v="Travel"/>
    <x v="2"/>
    <x v="1"/>
    <s v="Mobile"/>
    <n v="0"/>
    <n v="1"/>
    <x v="651"/>
    <n v="0"/>
    <x v="2"/>
    <x v="1"/>
    <x v="1"/>
  </r>
  <r>
    <x v="1029"/>
    <s v="C1344"/>
    <d v="2024-02-12T21:00:00"/>
    <n v="41454.33"/>
    <x v="3"/>
    <x v="2"/>
    <s v="Electronics"/>
    <x v="1"/>
    <x v="2"/>
    <s v="Tablet"/>
    <n v="0"/>
    <n v="1"/>
    <x v="421"/>
    <n v="1"/>
    <x v="0"/>
    <x v="1"/>
    <x v="0"/>
  </r>
  <r>
    <x v="1030"/>
    <s v="C1137"/>
    <d v="2024-02-12T22:00:00"/>
    <n v="1898.53"/>
    <x v="2"/>
    <x v="0"/>
    <s v="Food"/>
    <x v="2"/>
    <x v="0"/>
    <s v="Tablet"/>
    <n v="1"/>
    <n v="3"/>
    <x v="652"/>
    <n v="1"/>
    <x v="0"/>
    <x v="1"/>
    <x v="0"/>
  </r>
  <r>
    <x v="1031"/>
    <s v="C1349"/>
    <d v="2024-02-12T23:00:00"/>
    <n v="29833.68"/>
    <x v="2"/>
    <x v="3"/>
    <s v="Entertainment"/>
    <x v="2"/>
    <x v="4"/>
    <s v="Mobile"/>
    <n v="0"/>
    <n v="1"/>
    <x v="506"/>
    <n v="1"/>
    <x v="0"/>
    <x v="1"/>
    <x v="0"/>
  </r>
  <r>
    <x v="1032"/>
    <s v="C1253"/>
    <d v="2024-02-13T00:00:00"/>
    <n v="11538.94"/>
    <x v="2"/>
    <x v="0"/>
    <s v="Travel"/>
    <x v="3"/>
    <x v="2"/>
    <s v="Tablet"/>
    <n v="0"/>
    <n v="3"/>
    <x v="421"/>
    <n v="1"/>
    <x v="0"/>
    <x v="1"/>
    <x v="0"/>
  </r>
  <r>
    <x v="1033"/>
    <s v="C1023"/>
    <d v="2024-02-13T01:00:00"/>
    <n v="6072.32"/>
    <x v="1"/>
    <x v="3"/>
    <s v="Electronics"/>
    <x v="0"/>
    <x v="1"/>
    <s v="Desktop"/>
    <n v="1"/>
    <n v="3"/>
    <x v="449"/>
    <n v="1"/>
    <x v="1"/>
    <x v="1"/>
    <x v="0"/>
  </r>
  <r>
    <x v="1034"/>
    <s v="C1265"/>
    <d v="2024-02-13T02:00:00"/>
    <n v="3893.81"/>
    <x v="3"/>
    <x v="3"/>
    <s v="Retail"/>
    <x v="0"/>
    <x v="2"/>
    <s v="Mobile"/>
    <n v="1"/>
    <n v="0"/>
    <x v="569"/>
    <n v="0"/>
    <x v="2"/>
    <x v="1"/>
    <x v="1"/>
  </r>
  <r>
    <x v="1035"/>
    <s v="C1135"/>
    <d v="2024-02-13T03:00:00"/>
    <n v="34829.620000000003"/>
    <x v="2"/>
    <x v="0"/>
    <s v="Entertainment"/>
    <x v="0"/>
    <x v="4"/>
    <s v="Desktop"/>
    <n v="0"/>
    <n v="1"/>
    <x v="334"/>
    <n v="1"/>
    <x v="0"/>
    <x v="1"/>
    <x v="0"/>
  </r>
  <r>
    <x v="1036"/>
    <s v="C1036"/>
    <d v="2024-02-13T04:00:00"/>
    <n v="17026.75"/>
    <x v="3"/>
    <x v="1"/>
    <s v="Retail"/>
    <x v="1"/>
    <x v="2"/>
    <s v="Mobile"/>
    <n v="0"/>
    <n v="4"/>
    <x v="653"/>
    <n v="1"/>
    <x v="1"/>
    <x v="1"/>
    <x v="0"/>
  </r>
  <r>
    <x v="1037"/>
    <s v="C1270"/>
    <d v="2024-02-13T05:00:00"/>
    <n v="36252.1"/>
    <x v="1"/>
    <x v="2"/>
    <s v="Electronics"/>
    <x v="3"/>
    <x v="0"/>
    <s v="Desktop"/>
    <n v="0"/>
    <n v="1"/>
    <x v="175"/>
    <n v="1"/>
    <x v="0"/>
    <x v="1"/>
    <x v="0"/>
  </r>
  <r>
    <x v="1038"/>
    <s v="C1429"/>
    <d v="2024-02-13T06:00:00"/>
    <n v="3314.55"/>
    <x v="0"/>
    <x v="3"/>
    <s v="Electronics"/>
    <x v="3"/>
    <x v="3"/>
    <s v="Desktop"/>
    <n v="0"/>
    <n v="1"/>
    <x v="654"/>
    <n v="0"/>
    <x v="2"/>
    <x v="1"/>
    <x v="1"/>
  </r>
  <r>
    <x v="1039"/>
    <s v="C1025"/>
    <d v="2024-02-13T07:00:00"/>
    <n v="15798.75"/>
    <x v="2"/>
    <x v="1"/>
    <s v="Travel"/>
    <x v="0"/>
    <x v="4"/>
    <s v="Tablet"/>
    <n v="1"/>
    <n v="1"/>
    <x v="230"/>
    <n v="1"/>
    <x v="0"/>
    <x v="1"/>
    <x v="0"/>
  </r>
  <r>
    <x v="1040"/>
    <s v="C1430"/>
    <d v="2024-02-13T08:00:00"/>
    <n v="26997.59"/>
    <x v="3"/>
    <x v="3"/>
    <s v="Food"/>
    <x v="2"/>
    <x v="4"/>
    <s v="Mobile"/>
    <n v="0"/>
    <n v="4"/>
    <x v="655"/>
    <n v="1"/>
    <x v="1"/>
    <x v="1"/>
    <x v="0"/>
  </r>
  <r>
    <x v="1041"/>
    <s v="C1284"/>
    <d v="2024-02-13T09:00:00"/>
    <n v="39546.620000000003"/>
    <x v="3"/>
    <x v="2"/>
    <s v="Retail"/>
    <x v="1"/>
    <x v="4"/>
    <s v="Tablet"/>
    <n v="0"/>
    <n v="4"/>
    <x v="383"/>
    <n v="1"/>
    <x v="1"/>
    <x v="1"/>
    <x v="0"/>
  </r>
  <r>
    <x v="1042"/>
    <s v="C1064"/>
    <d v="2024-02-13T10:00:00"/>
    <n v="15971.69"/>
    <x v="1"/>
    <x v="3"/>
    <s v="Travel"/>
    <x v="2"/>
    <x v="4"/>
    <s v="Tablet"/>
    <n v="1"/>
    <n v="3"/>
    <x v="529"/>
    <n v="1"/>
    <x v="1"/>
    <x v="1"/>
    <x v="0"/>
  </r>
  <r>
    <x v="1043"/>
    <s v="C1295"/>
    <d v="2024-02-13T11:00:00"/>
    <n v="31313.27"/>
    <x v="2"/>
    <x v="2"/>
    <s v="Entertainment"/>
    <x v="4"/>
    <x v="2"/>
    <s v="Mobile"/>
    <n v="0"/>
    <n v="4"/>
    <x v="656"/>
    <n v="1"/>
    <x v="1"/>
    <x v="1"/>
    <x v="0"/>
  </r>
  <r>
    <x v="1044"/>
    <s v="C1167"/>
    <d v="2024-02-13T12:00:00"/>
    <n v="44304.59"/>
    <x v="0"/>
    <x v="2"/>
    <s v="Food"/>
    <x v="3"/>
    <x v="0"/>
    <s v="Desktop"/>
    <n v="0"/>
    <n v="3"/>
    <x v="657"/>
    <n v="1"/>
    <x v="1"/>
    <x v="1"/>
    <x v="0"/>
  </r>
  <r>
    <x v="1045"/>
    <s v="C1486"/>
    <d v="2024-02-13T13:00:00"/>
    <n v="30812.37"/>
    <x v="3"/>
    <x v="3"/>
    <s v="Travel"/>
    <x v="3"/>
    <x v="1"/>
    <s v="Mobile"/>
    <n v="1"/>
    <n v="0"/>
    <x v="230"/>
    <n v="1"/>
    <x v="0"/>
    <x v="1"/>
    <x v="0"/>
  </r>
  <r>
    <x v="1046"/>
    <s v="C1406"/>
    <d v="2024-02-13T14:00:00"/>
    <n v="11686.33"/>
    <x v="2"/>
    <x v="3"/>
    <s v="Retail"/>
    <x v="2"/>
    <x v="0"/>
    <s v="Mobile"/>
    <n v="0"/>
    <n v="3"/>
    <x v="499"/>
    <n v="1"/>
    <x v="0"/>
    <x v="1"/>
    <x v="0"/>
  </r>
  <r>
    <x v="1047"/>
    <s v="C1473"/>
    <d v="2024-02-13T15:00:00"/>
    <n v="1268.82"/>
    <x v="0"/>
    <x v="2"/>
    <s v="Electronics"/>
    <x v="1"/>
    <x v="4"/>
    <s v="Mobile"/>
    <n v="0"/>
    <n v="1"/>
    <x v="555"/>
    <n v="0"/>
    <x v="2"/>
    <x v="1"/>
    <x v="1"/>
  </r>
  <r>
    <x v="1048"/>
    <s v="C1063"/>
    <d v="2024-02-13T16:00:00"/>
    <n v="43511.44"/>
    <x v="3"/>
    <x v="1"/>
    <s v="Entertainment"/>
    <x v="3"/>
    <x v="2"/>
    <s v="Tablet"/>
    <n v="0"/>
    <n v="2"/>
    <x v="557"/>
    <n v="1"/>
    <x v="1"/>
    <x v="1"/>
    <x v="0"/>
  </r>
  <r>
    <x v="1049"/>
    <s v="C1420"/>
    <d v="2024-02-13T17:00:00"/>
    <n v="1112.4100000000001"/>
    <x v="3"/>
    <x v="0"/>
    <s v="Retail"/>
    <x v="2"/>
    <x v="2"/>
    <s v="Mobile"/>
    <n v="0"/>
    <n v="2"/>
    <x v="658"/>
    <n v="0"/>
    <x v="2"/>
    <x v="1"/>
    <x v="1"/>
  </r>
  <r>
    <x v="1050"/>
    <s v="C1108"/>
    <d v="2024-02-13T18:00:00"/>
    <n v="43741.35"/>
    <x v="0"/>
    <x v="2"/>
    <s v="Food"/>
    <x v="1"/>
    <x v="4"/>
    <s v="Mobile"/>
    <n v="0"/>
    <n v="1"/>
    <x v="659"/>
    <n v="1"/>
    <x v="0"/>
    <x v="1"/>
    <x v="0"/>
  </r>
  <r>
    <x v="1051"/>
    <s v="C1113"/>
    <d v="2024-02-13T19:00:00"/>
    <n v="26470.41"/>
    <x v="0"/>
    <x v="3"/>
    <s v="Food"/>
    <x v="2"/>
    <x v="2"/>
    <s v="Mobile"/>
    <n v="0"/>
    <n v="3"/>
    <x v="327"/>
    <n v="1"/>
    <x v="0"/>
    <x v="1"/>
    <x v="0"/>
  </r>
  <r>
    <x v="1052"/>
    <s v="C1078"/>
    <d v="2024-02-13T20:00:00"/>
    <n v="46956.43"/>
    <x v="1"/>
    <x v="3"/>
    <s v="Electronics"/>
    <x v="1"/>
    <x v="4"/>
    <s v="Desktop"/>
    <n v="1"/>
    <n v="1"/>
    <x v="111"/>
    <n v="1"/>
    <x v="1"/>
    <x v="1"/>
    <x v="0"/>
  </r>
  <r>
    <x v="1053"/>
    <s v="C1119"/>
    <d v="2024-02-13T21:00:00"/>
    <n v="39949.22"/>
    <x v="2"/>
    <x v="1"/>
    <s v="Electronics"/>
    <x v="0"/>
    <x v="0"/>
    <s v="Desktop"/>
    <n v="0"/>
    <n v="4"/>
    <x v="660"/>
    <n v="1"/>
    <x v="1"/>
    <x v="1"/>
    <x v="0"/>
  </r>
  <r>
    <x v="1054"/>
    <s v="C1301"/>
    <d v="2024-02-13T22:00:00"/>
    <n v="49896.81"/>
    <x v="2"/>
    <x v="0"/>
    <s v="Entertainment"/>
    <x v="1"/>
    <x v="3"/>
    <s v="Desktop"/>
    <n v="0"/>
    <n v="3"/>
    <x v="661"/>
    <n v="1"/>
    <x v="1"/>
    <x v="1"/>
    <x v="0"/>
  </r>
  <r>
    <x v="1055"/>
    <s v="C1211"/>
    <d v="2024-02-13T23:00:00"/>
    <n v="17568.060000000001"/>
    <x v="1"/>
    <x v="2"/>
    <s v="Entertainment"/>
    <x v="4"/>
    <x v="2"/>
    <s v="Desktop"/>
    <n v="0"/>
    <n v="1"/>
    <x v="224"/>
    <n v="0"/>
    <x v="2"/>
    <x v="1"/>
    <x v="1"/>
  </r>
  <r>
    <x v="1056"/>
    <s v="C1169"/>
    <d v="2024-02-14T00:00:00"/>
    <n v="38371.06"/>
    <x v="3"/>
    <x v="2"/>
    <s v="Electronics"/>
    <x v="0"/>
    <x v="4"/>
    <s v="Tablet"/>
    <n v="0"/>
    <n v="4"/>
    <x v="662"/>
    <n v="1"/>
    <x v="1"/>
    <x v="1"/>
    <x v="0"/>
  </r>
  <r>
    <x v="1057"/>
    <s v="C1457"/>
    <d v="2024-02-14T01:00:00"/>
    <n v="20126.45"/>
    <x v="0"/>
    <x v="0"/>
    <s v="Electronics"/>
    <x v="2"/>
    <x v="4"/>
    <s v="Tablet"/>
    <n v="0"/>
    <n v="4"/>
    <x v="244"/>
    <n v="1"/>
    <x v="1"/>
    <x v="1"/>
    <x v="0"/>
  </r>
  <r>
    <x v="1058"/>
    <s v="C1372"/>
    <d v="2024-02-14T02:00:00"/>
    <n v="24019.79"/>
    <x v="0"/>
    <x v="2"/>
    <s v="Food"/>
    <x v="0"/>
    <x v="2"/>
    <s v="Mobile"/>
    <n v="0"/>
    <n v="3"/>
    <x v="663"/>
    <n v="1"/>
    <x v="0"/>
    <x v="1"/>
    <x v="0"/>
  </r>
  <r>
    <x v="1059"/>
    <s v="C1268"/>
    <d v="2024-02-14T03:00:00"/>
    <n v="31393.9"/>
    <x v="0"/>
    <x v="0"/>
    <s v="Electronics"/>
    <x v="0"/>
    <x v="1"/>
    <s v="Tablet"/>
    <n v="0"/>
    <n v="0"/>
    <x v="467"/>
    <n v="0"/>
    <x v="2"/>
    <x v="1"/>
    <x v="1"/>
  </r>
  <r>
    <x v="1060"/>
    <s v="C1145"/>
    <d v="2024-02-14T04:00:00"/>
    <n v="43690.17"/>
    <x v="3"/>
    <x v="3"/>
    <s v="Travel"/>
    <x v="2"/>
    <x v="4"/>
    <s v="Desktop"/>
    <n v="0"/>
    <n v="0"/>
    <x v="664"/>
    <n v="1"/>
    <x v="0"/>
    <x v="1"/>
    <x v="0"/>
  </r>
  <r>
    <x v="1061"/>
    <s v="C1137"/>
    <d v="2024-02-14T05:00:00"/>
    <n v="49204.97"/>
    <x v="0"/>
    <x v="0"/>
    <s v="Retail"/>
    <x v="2"/>
    <x v="2"/>
    <s v="Mobile"/>
    <n v="1"/>
    <n v="4"/>
    <x v="665"/>
    <n v="1"/>
    <x v="1"/>
    <x v="1"/>
    <x v="0"/>
  </r>
  <r>
    <x v="1062"/>
    <s v="C1244"/>
    <d v="2024-02-14T06:00:00"/>
    <n v="38425.26"/>
    <x v="0"/>
    <x v="2"/>
    <s v="Electronics"/>
    <x v="4"/>
    <x v="4"/>
    <s v="Mobile"/>
    <n v="0"/>
    <n v="0"/>
    <x v="666"/>
    <n v="0"/>
    <x v="2"/>
    <x v="1"/>
    <x v="1"/>
  </r>
  <r>
    <x v="1063"/>
    <s v="C1486"/>
    <d v="2024-02-14T07:00:00"/>
    <n v="20917.45"/>
    <x v="1"/>
    <x v="0"/>
    <s v="Entertainment"/>
    <x v="2"/>
    <x v="1"/>
    <s v="Desktop"/>
    <n v="0"/>
    <n v="4"/>
    <x v="667"/>
    <n v="1"/>
    <x v="1"/>
    <x v="1"/>
    <x v="0"/>
  </r>
  <r>
    <x v="1064"/>
    <s v="C1452"/>
    <d v="2024-02-14T08:00:00"/>
    <n v="21096.78"/>
    <x v="3"/>
    <x v="1"/>
    <s v="Travel"/>
    <x v="3"/>
    <x v="3"/>
    <s v="Desktop"/>
    <n v="0"/>
    <n v="0"/>
    <x v="121"/>
    <n v="0"/>
    <x v="2"/>
    <x v="1"/>
    <x v="1"/>
  </r>
  <r>
    <x v="1065"/>
    <s v="C1455"/>
    <d v="2024-02-14T09:00:00"/>
    <n v="36892.239999999998"/>
    <x v="2"/>
    <x v="3"/>
    <s v="Entertainment"/>
    <x v="3"/>
    <x v="1"/>
    <s v="Desktop"/>
    <n v="1"/>
    <n v="4"/>
    <x v="668"/>
    <n v="1"/>
    <x v="1"/>
    <x v="1"/>
    <x v="0"/>
  </r>
  <r>
    <x v="1066"/>
    <s v="C1350"/>
    <d v="2024-02-14T10:00:00"/>
    <n v="11976.92"/>
    <x v="1"/>
    <x v="3"/>
    <s v="Travel"/>
    <x v="4"/>
    <x v="0"/>
    <s v="Tablet"/>
    <n v="0"/>
    <n v="4"/>
    <x v="111"/>
    <n v="1"/>
    <x v="1"/>
    <x v="1"/>
    <x v="0"/>
  </r>
  <r>
    <x v="1067"/>
    <s v="C1081"/>
    <d v="2024-02-14T11:00:00"/>
    <n v="5568.18"/>
    <x v="1"/>
    <x v="0"/>
    <s v="Electronics"/>
    <x v="1"/>
    <x v="2"/>
    <s v="Mobile"/>
    <n v="0"/>
    <n v="4"/>
    <x v="360"/>
    <n v="1"/>
    <x v="0"/>
    <x v="1"/>
    <x v="0"/>
  </r>
  <r>
    <x v="1068"/>
    <s v="C1372"/>
    <d v="2024-02-14T12:00:00"/>
    <n v="17763.38"/>
    <x v="2"/>
    <x v="2"/>
    <s v="Retail"/>
    <x v="1"/>
    <x v="1"/>
    <s v="Desktop"/>
    <n v="0"/>
    <n v="4"/>
    <x v="669"/>
    <n v="1"/>
    <x v="1"/>
    <x v="1"/>
    <x v="0"/>
  </r>
  <r>
    <x v="1069"/>
    <s v="C1152"/>
    <d v="2024-02-14T13:00:00"/>
    <n v="14397.59"/>
    <x v="1"/>
    <x v="1"/>
    <s v="Entertainment"/>
    <x v="3"/>
    <x v="3"/>
    <s v="Mobile"/>
    <n v="0"/>
    <n v="2"/>
    <x v="670"/>
    <n v="0"/>
    <x v="2"/>
    <x v="1"/>
    <x v="1"/>
  </r>
  <r>
    <x v="1070"/>
    <s v="C1130"/>
    <d v="2024-02-14T14:00:00"/>
    <n v="14850.59"/>
    <x v="3"/>
    <x v="3"/>
    <s v="Travel"/>
    <x v="2"/>
    <x v="4"/>
    <s v="Mobile"/>
    <n v="0"/>
    <n v="0"/>
    <x v="671"/>
    <n v="0"/>
    <x v="2"/>
    <x v="1"/>
    <x v="1"/>
  </r>
  <r>
    <x v="1071"/>
    <s v="C1343"/>
    <d v="2024-02-14T15:00:00"/>
    <n v="11718.71"/>
    <x v="0"/>
    <x v="3"/>
    <s v="Food"/>
    <x v="4"/>
    <x v="2"/>
    <s v="Tablet"/>
    <n v="0"/>
    <n v="4"/>
    <x v="672"/>
    <n v="1"/>
    <x v="1"/>
    <x v="1"/>
    <x v="0"/>
  </r>
  <r>
    <x v="1072"/>
    <s v="C1268"/>
    <d v="2024-02-14T16:00:00"/>
    <n v="2152.5500000000002"/>
    <x v="3"/>
    <x v="2"/>
    <s v="Electronics"/>
    <x v="1"/>
    <x v="1"/>
    <s v="Mobile"/>
    <n v="0"/>
    <n v="1"/>
    <x v="673"/>
    <n v="0"/>
    <x v="2"/>
    <x v="1"/>
    <x v="1"/>
  </r>
  <r>
    <x v="1073"/>
    <s v="C1457"/>
    <d v="2024-02-14T17:00:00"/>
    <n v="942.8"/>
    <x v="2"/>
    <x v="2"/>
    <s v="Retail"/>
    <x v="1"/>
    <x v="3"/>
    <s v="Desktop"/>
    <n v="1"/>
    <n v="3"/>
    <x v="674"/>
    <n v="1"/>
    <x v="0"/>
    <x v="1"/>
    <x v="0"/>
  </r>
  <r>
    <x v="1074"/>
    <s v="C1359"/>
    <d v="2024-02-14T18:00:00"/>
    <n v="49386.73"/>
    <x v="2"/>
    <x v="1"/>
    <s v="Electronics"/>
    <x v="0"/>
    <x v="1"/>
    <s v="Desktop"/>
    <n v="0"/>
    <n v="1"/>
    <x v="84"/>
    <n v="1"/>
    <x v="0"/>
    <x v="1"/>
    <x v="0"/>
  </r>
  <r>
    <x v="1075"/>
    <s v="C1243"/>
    <d v="2024-02-14T19:00:00"/>
    <n v="21417.27"/>
    <x v="1"/>
    <x v="0"/>
    <s v="Food"/>
    <x v="3"/>
    <x v="0"/>
    <s v="Mobile"/>
    <n v="0"/>
    <n v="1"/>
    <x v="91"/>
    <n v="0"/>
    <x v="2"/>
    <x v="1"/>
    <x v="1"/>
  </r>
  <r>
    <x v="1076"/>
    <s v="C1469"/>
    <d v="2024-02-14T20:00:00"/>
    <n v="19247.12"/>
    <x v="3"/>
    <x v="2"/>
    <s v="Retail"/>
    <x v="2"/>
    <x v="2"/>
    <s v="Mobile"/>
    <n v="0"/>
    <n v="2"/>
    <x v="434"/>
    <n v="0"/>
    <x v="2"/>
    <x v="1"/>
    <x v="1"/>
  </r>
  <r>
    <x v="1077"/>
    <s v="C1463"/>
    <d v="2024-02-14T21:00:00"/>
    <n v="33998.379999999997"/>
    <x v="3"/>
    <x v="0"/>
    <s v="Food"/>
    <x v="4"/>
    <x v="4"/>
    <s v="Tablet"/>
    <n v="0"/>
    <n v="0"/>
    <x v="446"/>
    <n v="0"/>
    <x v="2"/>
    <x v="1"/>
    <x v="1"/>
  </r>
  <r>
    <x v="1078"/>
    <s v="C1152"/>
    <d v="2024-02-14T22:00:00"/>
    <n v="10951.78"/>
    <x v="2"/>
    <x v="1"/>
    <s v="Electronics"/>
    <x v="1"/>
    <x v="3"/>
    <s v="Desktop"/>
    <n v="0"/>
    <n v="2"/>
    <x v="423"/>
    <n v="1"/>
    <x v="0"/>
    <x v="1"/>
    <x v="0"/>
  </r>
  <r>
    <x v="1079"/>
    <s v="C1238"/>
    <d v="2024-02-14T23:00:00"/>
    <n v="47500.56"/>
    <x v="3"/>
    <x v="0"/>
    <s v="Travel"/>
    <x v="0"/>
    <x v="1"/>
    <s v="Desktop"/>
    <n v="0"/>
    <n v="0"/>
    <x v="174"/>
    <n v="1"/>
    <x v="0"/>
    <x v="1"/>
    <x v="0"/>
  </r>
  <r>
    <x v="1080"/>
    <s v="C1178"/>
    <d v="2024-02-15T00:00:00"/>
    <n v="39327.93"/>
    <x v="2"/>
    <x v="3"/>
    <s v="Electronics"/>
    <x v="3"/>
    <x v="2"/>
    <s v="Mobile"/>
    <n v="0"/>
    <n v="4"/>
    <x v="144"/>
    <n v="1"/>
    <x v="1"/>
    <x v="1"/>
    <x v="0"/>
  </r>
  <r>
    <x v="1081"/>
    <s v="C1186"/>
    <d v="2024-02-15T01:00:00"/>
    <n v="4516.08"/>
    <x v="3"/>
    <x v="0"/>
    <s v="Electronics"/>
    <x v="3"/>
    <x v="1"/>
    <s v="Mobile"/>
    <n v="0"/>
    <n v="2"/>
    <x v="246"/>
    <n v="0"/>
    <x v="2"/>
    <x v="1"/>
    <x v="1"/>
  </r>
  <r>
    <x v="1082"/>
    <s v="C1244"/>
    <d v="2024-02-15T02:00:00"/>
    <n v="20908.16"/>
    <x v="3"/>
    <x v="1"/>
    <s v="Electronics"/>
    <x v="4"/>
    <x v="2"/>
    <s v="Mobile"/>
    <n v="0"/>
    <n v="3"/>
    <x v="674"/>
    <n v="1"/>
    <x v="0"/>
    <x v="1"/>
    <x v="0"/>
  </r>
  <r>
    <x v="1083"/>
    <s v="C1027"/>
    <d v="2024-02-15T03:00:00"/>
    <n v="43961.96"/>
    <x v="3"/>
    <x v="1"/>
    <s v="Entertainment"/>
    <x v="1"/>
    <x v="0"/>
    <s v="Desktop"/>
    <n v="0"/>
    <n v="0"/>
    <x v="278"/>
    <n v="1"/>
    <x v="0"/>
    <x v="1"/>
    <x v="0"/>
  </r>
  <r>
    <x v="1084"/>
    <s v="C1314"/>
    <d v="2024-02-15T04:00:00"/>
    <n v="47239.360000000001"/>
    <x v="2"/>
    <x v="1"/>
    <s v="Food"/>
    <x v="4"/>
    <x v="1"/>
    <s v="Mobile"/>
    <n v="0"/>
    <n v="2"/>
    <x v="307"/>
    <n v="1"/>
    <x v="0"/>
    <x v="1"/>
    <x v="0"/>
  </r>
  <r>
    <x v="1085"/>
    <s v="C1445"/>
    <d v="2024-02-15T05:00:00"/>
    <n v="23396.71"/>
    <x v="1"/>
    <x v="0"/>
    <s v="Food"/>
    <x v="4"/>
    <x v="0"/>
    <s v="Tablet"/>
    <n v="0"/>
    <n v="3"/>
    <x v="491"/>
    <n v="1"/>
    <x v="0"/>
    <x v="1"/>
    <x v="0"/>
  </r>
  <r>
    <x v="1086"/>
    <s v="C1442"/>
    <d v="2024-02-15T06:00:00"/>
    <n v="30689.9"/>
    <x v="3"/>
    <x v="3"/>
    <s v="Food"/>
    <x v="0"/>
    <x v="3"/>
    <s v="Tablet"/>
    <n v="0"/>
    <n v="1"/>
    <x v="396"/>
    <n v="1"/>
    <x v="0"/>
    <x v="1"/>
    <x v="0"/>
  </r>
  <r>
    <x v="1087"/>
    <s v="C1028"/>
    <d v="2024-02-15T07:00:00"/>
    <n v="8393.35"/>
    <x v="2"/>
    <x v="2"/>
    <s v="Entertainment"/>
    <x v="3"/>
    <x v="0"/>
    <s v="Mobile"/>
    <n v="0"/>
    <n v="4"/>
    <x v="491"/>
    <n v="1"/>
    <x v="0"/>
    <x v="1"/>
    <x v="0"/>
  </r>
  <r>
    <x v="1088"/>
    <s v="C1195"/>
    <d v="2024-02-15T08:00:00"/>
    <n v="49558.87"/>
    <x v="2"/>
    <x v="3"/>
    <s v="Travel"/>
    <x v="2"/>
    <x v="2"/>
    <s v="Tablet"/>
    <n v="0"/>
    <n v="4"/>
    <x v="188"/>
    <n v="1"/>
    <x v="1"/>
    <x v="1"/>
    <x v="0"/>
  </r>
  <r>
    <x v="1089"/>
    <s v="C1028"/>
    <d v="2024-02-15T09:00:00"/>
    <n v="11622"/>
    <x v="3"/>
    <x v="0"/>
    <s v="Electronics"/>
    <x v="3"/>
    <x v="3"/>
    <s v="Tablet"/>
    <n v="1"/>
    <n v="1"/>
    <x v="461"/>
    <n v="0"/>
    <x v="2"/>
    <x v="1"/>
    <x v="1"/>
  </r>
  <r>
    <x v="1090"/>
    <s v="C1022"/>
    <d v="2024-02-15T10:00:00"/>
    <n v="47139.45"/>
    <x v="3"/>
    <x v="0"/>
    <s v="Travel"/>
    <x v="3"/>
    <x v="1"/>
    <s v="Tablet"/>
    <n v="1"/>
    <n v="2"/>
    <x v="675"/>
    <n v="1"/>
    <x v="1"/>
    <x v="1"/>
    <x v="0"/>
  </r>
  <r>
    <x v="1091"/>
    <s v="C1041"/>
    <d v="2024-02-15T11:00:00"/>
    <n v="32499.85"/>
    <x v="1"/>
    <x v="2"/>
    <s v="Entertainment"/>
    <x v="0"/>
    <x v="1"/>
    <s v="Tablet"/>
    <n v="1"/>
    <n v="1"/>
    <x v="676"/>
    <n v="1"/>
    <x v="0"/>
    <x v="1"/>
    <x v="0"/>
  </r>
  <r>
    <x v="1092"/>
    <s v="C1310"/>
    <d v="2024-02-15T12:00:00"/>
    <n v="30406.45"/>
    <x v="2"/>
    <x v="0"/>
    <s v="Food"/>
    <x v="2"/>
    <x v="2"/>
    <s v="Tablet"/>
    <n v="0"/>
    <n v="3"/>
    <x v="634"/>
    <n v="1"/>
    <x v="0"/>
    <x v="1"/>
    <x v="0"/>
  </r>
  <r>
    <x v="1093"/>
    <s v="C1422"/>
    <d v="2024-02-15T13:00:00"/>
    <n v="25658.79"/>
    <x v="2"/>
    <x v="1"/>
    <s v="Electronics"/>
    <x v="1"/>
    <x v="4"/>
    <s v="Desktop"/>
    <n v="0"/>
    <n v="0"/>
    <x v="603"/>
    <n v="0"/>
    <x v="2"/>
    <x v="1"/>
    <x v="1"/>
  </r>
  <r>
    <x v="1094"/>
    <s v="C1433"/>
    <d v="2024-02-15T14:00:00"/>
    <n v="11571.96"/>
    <x v="0"/>
    <x v="1"/>
    <s v="Retail"/>
    <x v="2"/>
    <x v="4"/>
    <s v="Mobile"/>
    <n v="0"/>
    <n v="2"/>
    <x v="12"/>
    <n v="1"/>
    <x v="0"/>
    <x v="1"/>
    <x v="0"/>
  </r>
  <r>
    <x v="1095"/>
    <s v="C1274"/>
    <d v="2024-02-15T15:00:00"/>
    <n v="8867.58"/>
    <x v="2"/>
    <x v="1"/>
    <s v="Retail"/>
    <x v="1"/>
    <x v="1"/>
    <s v="Tablet"/>
    <n v="0"/>
    <n v="0"/>
    <x v="447"/>
    <n v="0"/>
    <x v="2"/>
    <x v="1"/>
    <x v="1"/>
  </r>
  <r>
    <x v="1096"/>
    <s v="C1494"/>
    <d v="2024-02-15T16:00:00"/>
    <n v="11063.29"/>
    <x v="1"/>
    <x v="1"/>
    <s v="Travel"/>
    <x v="2"/>
    <x v="2"/>
    <s v="Mobile"/>
    <n v="0"/>
    <n v="1"/>
    <x v="677"/>
    <n v="0"/>
    <x v="2"/>
    <x v="1"/>
    <x v="1"/>
  </r>
  <r>
    <x v="1097"/>
    <s v="C1436"/>
    <d v="2024-02-15T17:00:00"/>
    <n v="9362.59"/>
    <x v="0"/>
    <x v="1"/>
    <s v="Food"/>
    <x v="4"/>
    <x v="4"/>
    <s v="Tablet"/>
    <n v="1"/>
    <n v="4"/>
    <x v="678"/>
    <n v="1"/>
    <x v="1"/>
    <x v="1"/>
    <x v="0"/>
  </r>
  <r>
    <x v="1098"/>
    <s v="C1298"/>
    <d v="2024-02-15T18:00:00"/>
    <n v="38990.239999999998"/>
    <x v="0"/>
    <x v="0"/>
    <s v="Retail"/>
    <x v="2"/>
    <x v="0"/>
    <s v="Desktop"/>
    <n v="0"/>
    <n v="0"/>
    <x v="679"/>
    <n v="0"/>
    <x v="2"/>
    <x v="1"/>
    <x v="1"/>
  </r>
  <r>
    <x v="1099"/>
    <s v="C1036"/>
    <d v="2024-02-15T19:00:00"/>
    <n v="17538.759999999998"/>
    <x v="0"/>
    <x v="2"/>
    <s v="Travel"/>
    <x v="0"/>
    <x v="1"/>
    <s v="Desktop"/>
    <n v="0"/>
    <n v="0"/>
    <x v="187"/>
    <n v="0"/>
    <x v="2"/>
    <x v="1"/>
    <x v="1"/>
  </r>
  <r>
    <x v="1100"/>
    <s v="C1141"/>
    <d v="2024-02-15T20:00:00"/>
    <n v="2939.24"/>
    <x v="3"/>
    <x v="2"/>
    <s v="Entertainment"/>
    <x v="1"/>
    <x v="0"/>
    <s v="Tablet"/>
    <n v="0"/>
    <n v="4"/>
    <x v="680"/>
    <n v="1"/>
    <x v="0"/>
    <x v="1"/>
    <x v="0"/>
  </r>
  <r>
    <x v="1101"/>
    <s v="C1492"/>
    <d v="2024-02-15T21:00:00"/>
    <n v="48456.68"/>
    <x v="3"/>
    <x v="1"/>
    <s v="Travel"/>
    <x v="3"/>
    <x v="2"/>
    <s v="Tablet"/>
    <n v="1"/>
    <n v="0"/>
    <x v="416"/>
    <n v="1"/>
    <x v="0"/>
    <x v="1"/>
    <x v="0"/>
  </r>
  <r>
    <x v="1102"/>
    <s v="C1120"/>
    <d v="2024-02-15T22:00:00"/>
    <n v="44195.1"/>
    <x v="2"/>
    <x v="0"/>
    <s v="Travel"/>
    <x v="0"/>
    <x v="0"/>
    <s v="Tablet"/>
    <n v="0"/>
    <n v="0"/>
    <x v="523"/>
    <n v="0"/>
    <x v="2"/>
    <x v="1"/>
    <x v="1"/>
  </r>
  <r>
    <x v="1103"/>
    <s v="C1064"/>
    <d v="2024-02-15T23:00:00"/>
    <n v="46391.23"/>
    <x v="0"/>
    <x v="3"/>
    <s v="Travel"/>
    <x v="1"/>
    <x v="4"/>
    <s v="Desktop"/>
    <n v="0"/>
    <n v="4"/>
    <x v="681"/>
    <n v="1"/>
    <x v="1"/>
    <x v="1"/>
    <x v="0"/>
  </r>
  <r>
    <x v="1104"/>
    <s v="C1489"/>
    <d v="2024-02-16T00:00:00"/>
    <n v="49745.65"/>
    <x v="1"/>
    <x v="3"/>
    <s v="Electronics"/>
    <x v="1"/>
    <x v="4"/>
    <s v="Desktop"/>
    <n v="1"/>
    <n v="4"/>
    <x v="682"/>
    <n v="1"/>
    <x v="1"/>
    <x v="1"/>
    <x v="0"/>
  </r>
  <r>
    <x v="1105"/>
    <s v="C1283"/>
    <d v="2024-02-16T01:00:00"/>
    <n v="8736.07"/>
    <x v="3"/>
    <x v="0"/>
    <s v="Travel"/>
    <x v="3"/>
    <x v="3"/>
    <s v="Mobile"/>
    <n v="0"/>
    <n v="1"/>
    <x v="617"/>
    <n v="0"/>
    <x v="2"/>
    <x v="1"/>
    <x v="1"/>
  </r>
  <r>
    <x v="1106"/>
    <s v="C1417"/>
    <d v="2024-02-16T02:00:00"/>
    <n v="19842.29"/>
    <x v="1"/>
    <x v="1"/>
    <s v="Travel"/>
    <x v="4"/>
    <x v="1"/>
    <s v="Desktop"/>
    <n v="0"/>
    <n v="1"/>
    <x v="683"/>
    <n v="0"/>
    <x v="2"/>
    <x v="1"/>
    <x v="1"/>
  </r>
  <r>
    <x v="1107"/>
    <s v="C1447"/>
    <d v="2024-02-16T03:00:00"/>
    <n v="37924.01"/>
    <x v="1"/>
    <x v="2"/>
    <s v="Electronics"/>
    <x v="0"/>
    <x v="2"/>
    <s v="Tablet"/>
    <n v="0"/>
    <n v="0"/>
    <x v="411"/>
    <n v="0"/>
    <x v="2"/>
    <x v="1"/>
    <x v="1"/>
  </r>
  <r>
    <x v="1108"/>
    <s v="C1053"/>
    <d v="2024-02-16T04:00:00"/>
    <n v="34816.230000000003"/>
    <x v="3"/>
    <x v="0"/>
    <s v="Electronics"/>
    <x v="3"/>
    <x v="1"/>
    <s v="Mobile"/>
    <n v="0"/>
    <n v="2"/>
    <x v="112"/>
    <n v="1"/>
    <x v="0"/>
    <x v="1"/>
    <x v="0"/>
  </r>
  <r>
    <x v="1109"/>
    <s v="C1165"/>
    <d v="2024-02-16T05:00:00"/>
    <n v="7737.1"/>
    <x v="3"/>
    <x v="3"/>
    <s v="Entertainment"/>
    <x v="3"/>
    <x v="0"/>
    <s v="Desktop"/>
    <n v="0"/>
    <n v="1"/>
    <x v="684"/>
    <n v="0"/>
    <x v="2"/>
    <x v="1"/>
    <x v="1"/>
  </r>
  <r>
    <x v="1110"/>
    <s v="C1374"/>
    <d v="2024-02-16T06:00:00"/>
    <n v="40800.86"/>
    <x v="3"/>
    <x v="3"/>
    <s v="Food"/>
    <x v="4"/>
    <x v="2"/>
    <s v="Desktop"/>
    <n v="0"/>
    <n v="1"/>
    <x v="409"/>
    <n v="1"/>
    <x v="0"/>
    <x v="1"/>
    <x v="0"/>
  </r>
  <r>
    <x v="1111"/>
    <s v="C1208"/>
    <d v="2024-02-16T07:00:00"/>
    <n v="11260.81"/>
    <x v="3"/>
    <x v="3"/>
    <s v="Retail"/>
    <x v="0"/>
    <x v="2"/>
    <s v="Tablet"/>
    <n v="1"/>
    <n v="2"/>
    <x v="92"/>
    <n v="1"/>
    <x v="0"/>
    <x v="1"/>
    <x v="0"/>
  </r>
  <r>
    <x v="1112"/>
    <s v="C1439"/>
    <d v="2024-02-16T08:00:00"/>
    <n v="11229.69"/>
    <x v="0"/>
    <x v="1"/>
    <s v="Retail"/>
    <x v="3"/>
    <x v="4"/>
    <s v="Mobile"/>
    <n v="0"/>
    <n v="2"/>
    <x v="685"/>
    <n v="1"/>
    <x v="0"/>
    <x v="1"/>
    <x v="0"/>
  </r>
  <r>
    <x v="1113"/>
    <s v="C1261"/>
    <d v="2024-02-16T09:00:00"/>
    <n v="26871.87"/>
    <x v="0"/>
    <x v="3"/>
    <s v="Travel"/>
    <x v="4"/>
    <x v="0"/>
    <s v="Desktop"/>
    <n v="0"/>
    <n v="4"/>
    <x v="686"/>
    <n v="1"/>
    <x v="1"/>
    <x v="1"/>
    <x v="0"/>
  </r>
  <r>
    <x v="1114"/>
    <s v="C1240"/>
    <d v="2024-02-16T10:00:00"/>
    <n v="29667.35"/>
    <x v="0"/>
    <x v="0"/>
    <s v="Entertainment"/>
    <x v="0"/>
    <x v="4"/>
    <s v="Desktop"/>
    <n v="0"/>
    <n v="1"/>
    <x v="602"/>
    <n v="1"/>
    <x v="0"/>
    <x v="1"/>
    <x v="0"/>
  </r>
  <r>
    <x v="1115"/>
    <s v="C1409"/>
    <d v="2024-02-16T11:00:00"/>
    <n v="29025.31"/>
    <x v="0"/>
    <x v="0"/>
    <s v="Travel"/>
    <x v="2"/>
    <x v="4"/>
    <s v="Tablet"/>
    <n v="0"/>
    <n v="3"/>
    <x v="687"/>
    <n v="1"/>
    <x v="1"/>
    <x v="1"/>
    <x v="0"/>
  </r>
  <r>
    <x v="1116"/>
    <s v="C1003"/>
    <d v="2024-02-16T12:00:00"/>
    <n v="4619.7700000000004"/>
    <x v="2"/>
    <x v="3"/>
    <s v="Retail"/>
    <x v="1"/>
    <x v="3"/>
    <s v="Mobile"/>
    <n v="0"/>
    <n v="3"/>
    <x v="161"/>
    <n v="1"/>
    <x v="0"/>
    <x v="1"/>
    <x v="0"/>
  </r>
  <r>
    <x v="1117"/>
    <s v="C1281"/>
    <d v="2024-02-16T13:00:00"/>
    <n v="43879.17"/>
    <x v="0"/>
    <x v="0"/>
    <s v="Electronics"/>
    <x v="4"/>
    <x v="4"/>
    <s v="Mobile"/>
    <n v="0"/>
    <n v="0"/>
    <x v="248"/>
    <n v="1"/>
    <x v="0"/>
    <x v="1"/>
    <x v="0"/>
  </r>
  <r>
    <x v="1118"/>
    <s v="C1429"/>
    <d v="2024-02-16T14:00:00"/>
    <n v="13316.72"/>
    <x v="3"/>
    <x v="3"/>
    <s v="Food"/>
    <x v="1"/>
    <x v="1"/>
    <s v="Mobile"/>
    <n v="0"/>
    <n v="1"/>
    <x v="688"/>
    <n v="0"/>
    <x v="2"/>
    <x v="1"/>
    <x v="1"/>
  </r>
  <r>
    <x v="1119"/>
    <s v="C1102"/>
    <d v="2024-02-16T15:00:00"/>
    <n v="6519.27"/>
    <x v="1"/>
    <x v="3"/>
    <s v="Entertainment"/>
    <x v="2"/>
    <x v="2"/>
    <s v="Mobile"/>
    <n v="0"/>
    <n v="3"/>
    <x v="536"/>
    <n v="1"/>
    <x v="0"/>
    <x v="1"/>
    <x v="0"/>
  </r>
  <r>
    <x v="1120"/>
    <s v="C1146"/>
    <d v="2024-02-16T16:00:00"/>
    <n v="44442.97"/>
    <x v="0"/>
    <x v="2"/>
    <s v="Electronics"/>
    <x v="3"/>
    <x v="4"/>
    <s v="Tablet"/>
    <n v="0"/>
    <n v="1"/>
    <x v="343"/>
    <n v="1"/>
    <x v="0"/>
    <x v="1"/>
    <x v="0"/>
  </r>
  <r>
    <x v="1121"/>
    <s v="C1175"/>
    <d v="2024-02-16T17:00:00"/>
    <n v="47784.79"/>
    <x v="2"/>
    <x v="1"/>
    <s v="Food"/>
    <x v="3"/>
    <x v="1"/>
    <s v="Desktop"/>
    <n v="0"/>
    <n v="1"/>
    <x v="298"/>
    <n v="1"/>
    <x v="0"/>
    <x v="1"/>
    <x v="0"/>
  </r>
  <r>
    <x v="1122"/>
    <s v="C1386"/>
    <d v="2024-02-16T18:00:00"/>
    <n v="43113.27"/>
    <x v="3"/>
    <x v="1"/>
    <s v="Entertainment"/>
    <x v="0"/>
    <x v="0"/>
    <s v="Desktop"/>
    <n v="0"/>
    <n v="3"/>
    <x v="368"/>
    <n v="1"/>
    <x v="1"/>
    <x v="1"/>
    <x v="0"/>
  </r>
  <r>
    <x v="1123"/>
    <s v="C1221"/>
    <d v="2024-02-16T19:00:00"/>
    <n v="40485.33"/>
    <x v="1"/>
    <x v="2"/>
    <s v="Entertainment"/>
    <x v="4"/>
    <x v="2"/>
    <s v="Mobile"/>
    <n v="0"/>
    <n v="1"/>
    <x v="136"/>
    <n v="1"/>
    <x v="0"/>
    <x v="1"/>
    <x v="0"/>
  </r>
  <r>
    <x v="1124"/>
    <s v="C1093"/>
    <d v="2024-02-16T20:00:00"/>
    <n v="32779.339999999997"/>
    <x v="1"/>
    <x v="2"/>
    <s v="Retail"/>
    <x v="4"/>
    <x v="0"/>
    <s v="Mobile"/>
    <n v="0"/>
    <n v="2"/>
    <x v="298"/>
    <n v="1"/>
    <x v="0"/>
    <x v="1"/>
    <x v="0"/>
  </r>
  <r>
    <x v="1125"/>
    <s v="C1431"/>
    <d v="2024-02-16T21:00:00"/>
    <n v="27565.33"/>
    <x v="0"/>
    <x v="1"/>
    <s v="Electronics"/>
    <x v="0"/>
    <x v="1"/>
    <s v="Mobile"/>
    <n v="0"/>
    <n v="0"/>
    <x v="689"/>
    <n v="0"/>
    <x v="2"/>
    <x v="1"/>
    <x v="1"/>
  </r>
  <r>
    <x v="1126"/>
    <s v="C1112"/>
    <d v="2024-02-16T22:00:00"/>
    <n v="4394.99"/>
    <x v="1"/>
    <x v="3"/>
    <s v="Entertainment"/>
    <x v="1"/>
    <x v="0"/>
    <s v="Desktop"/>
    <n v="0"/>
    <n v="4"/>
    <x v="84"/>
    <n v="1"/>
    <x v="0"/>
    <x v="1"/>
    <x v="0"/>
  </r>
  <r>
    <x v="1127"/>
    <s v="C1459"/>
    <d v="2024-02-16T23:00:00"/>
    <n v="20452.240000000002"/>
    <x v="0"/>
    <x v="3"/>
    <s v="Entertainment"/>
    <x v="3"/>
    <x v="0"/>
    <s v="Desktop"/>
    <n v="0"/>
    <n v="3"/>
    <x v="114"/>
    <n v="1"/>
    <x v="0"/>
    <x v="1"/>
    <x v="0"/>
  </r>
  <r>
    <x v="1128"/>
    <s v="C1481"/>
    <d v="2024-02-17T00:00:00"/>
    <n v="18665.79"/>
    <x v="0"/>
    <x v="1"/>
    <s v="Food"/>
    <x v="3"/>
    <x v="0"/>
    <s v="Mobile"/>
    <n v="1"/>
    <n v="4"/>
    <x v="589"/>
    <n v="1"/>
    <x v="1"/>
    <x v="1"/>
    <x v="0"/>
  </r>
  <r>
    <x v="1129"/>
    <s v="C1148"/>
    <d v="2024-02-17T01:00:00"/>
    <n v="13024.7"/>
    <x v="3"/>
    <x v="3"/>
    <s v="Retail"/>
    <x v="4"/>
    <x v="4"/>
    <s v="Tablet"/>
    <n v="0"/>
    <n v="0"/>
    <x v="42"/>
    <n v="0"/>
    <x v="2"/>
    <x v="1"/>
    <x v="1"/>
  </r>
  <r>
    <x v="1130"/>
    <s v="C1445"/>
    <d v="2024-02-17T02:00:00"/>
    <n v="36184.83"/>
    <x v="3"/>
    <x v="2"/>
    <s v="Travel"/>
    <x v="4"/>
    <x v="4"/>
    <s v="Desktop"/>
    <n v="0"/>
    <n v="2"/>
    <x v="484"/>
    <n v="1"/>
    <x v="0"/>
    <x v="1"/>
    <x v="0"/>
  </r>
  <r>
    <x v="1131"/>
    <s v="C1125"/>
    <d v="2024-02-17T03:00:00"/>
    <n v="24818.99"/>
    <x v="2"/>
    <x v="3"/>
    <s v="Retail"/>
    <x v="0"/>
    <x v="4"/>
    <s v="Desktop"/>
    <n v="0"/>
    <n v="2"/>
    <x v="512"/>
    <n v="1"/>
    <x v="0"/>
    <x v="1"/>
    <x v="0"/>
  </r>
  <r>
    <x v="1132"/>
    <s v="C1499"/>
    <d v="2024-02-17T04:00:00"/>
    <n v="4098.26"/>
    <x v="3"/>
    <x v="3"/>
    <s v="Travel"/>
    <x v="2"/>
    <x v="2"/>
    <s v="Mobile"/>
    <n v="0"/>
    <n v="2"/>
    <x v="350"/>
    <n v="0"/>
    <x v="2"/>
    <x v="1"/>
    <x v="1"/>
  </r>
  <r>
    <x v="1133"/>
    <s v="C1256"/>
    <d v="2024-02-17T05:00:00"/>
    <n v="11048.15"/>
    <x v="3"/>
    <x v="0"/>
    <s v="Electronics"/>
    <x v="1"/>
    <x v="1"/>
    <s v="Tablet"/>
    <n v="0"/>
    <n v="2"/>
    <x v="423"/>
    <n v="1"/>
    <x v="0"/>
    <x v="1"/>
    <x v="0"/>
  </r>
  <r>
    <x v="1134"/>
    <s v="C1032"/>
    <d v="2024-02-17T06:00:00"/>
    <n v="34178.78"/>
    <x v="0"/>
    <x v="0"/>
    <s v="Electronics"/>
    <x v="2"/>
    <x v="4"/>
    <s v="Mobile"/>
    <n v="0"/>
    <n v="3"/>
    <x v="690"/>
    <n v="1"/>
    <x v="1"/>
    <x v="1"/>
    <x v="0"/>
  </r>
  <r>
    <x v="1135"/>
    <s v="C1104"/>
    <d v="2024-02-17T07:00:00"/>
    <n v="3852.74"/>
    <x v="3"/>
    <x v="0"/>
    <s v="Entertainment"/>
    <x v="2"/>
    <x v="0"/>
    <s v="Mobile"/>
    <n v="0"/>
    <n v="3"/>
    <x v="691"/>
    <n v="1"/>
    <x v="0"/>
    <x v="1"/>
    <x v="0"/>
  </r>
  <r>
    <x v="1136"/>
    <s v="C1068"/>
    <d v="2024-02-17T08:00:00"/>
    <n v="42567.79"/>
    <x v="0"/>
    <x v="3"/>
    <s v="Electronics"/>
    <x v="4"/>
    <x v="0"/>
    <s v="Tablet"/>
    <n v="0"/>
    <n v="1"/>
    <x v="692"/>
    <n v="1"/>
    <x v="0"/>
    <x v="1"/>
    <x v="0"/>
  </r>
  <r>
    <x v="1137"/>
    <s v="C1366"/>
    <d v="2024-02-17T09:00:00"/>
    <n v="24782.57"/>
    <x v="0"/>
    <x v="1"/>
    <s v="Entertainment"/>
    <x v="4"/>
    <x v="0"/>
    <s v="Tablet"/>
    <n v="0"/>
    <n v="1"/>
    <x v="55"/>
    <n v="0"/>
    <x v="2"/>
    <x v="1"/>
    <x v="1"/>
  </r>
  <r>
    <x v="1138"/>
    <s v="C1047"/>
    <d v="2024-02-17T10:00:00"/>
    <n v="24055.3"/>
    <x v="3"/>
    <x v="2"/>
    <s v="Retail"/>
    <x v="4"/>
    <x v="0"/>
    <s v="Tablet"/>
    <n v="0"/>
    <n v="0"/>
    <x v="350"/>
    <n v="0"/>
    <x v="2"/>
    <x v="1"/>
    <x v="1"/>
  </r>
  <r>
    <x v="1139"/>
    <s v="C1294"/>
    <d v="2024-02-17T11:00:00"/>
    <n v="29640.77"/>
    <x v="2"/>
    <x v="3"/>
    <s v="Electronics"/>
    <x v="2"/>
    <x v="3"/>
    <s v="Desktop"/>
    <n v="1"/>
    <n v="1"/>
    <x v="110"/>
    <n v="1"/>
    <x v="0"/>
    <x v="1"/>
    <x v="0"/>
  </r>
  <r>
    <x v="1140"/>
    <s v="C1114"/>
    <d v="2024-02-17T12:00:00"/>
    <n v="41242.81"/>
    <x v="2"/>
    <x v="1"/>
    <s v="Retail"/>
    <x v="1"/>
    <x v="2"/>
    <s v="Mobile"/>
    <n v="1"/>
    <n v="0"/>
    <x v="258"/>
    <n v="1"/>
    <x v="0"/>
    <x v="1"/>
    <x v="0"/>
  </r>
  <r>
    <x v="1141"/>
    <s v="C1083"/>
    <d v="2024-02-17T13:00:00"/>
    <n v="17423.07"/>
    <x v="1"/>
    <x v="3"/>
    <s v="Retail"/>
    <x v="4"/>
    <x v="1"/>
    <s v="Desktop"/>
    <n v="0"/>
    <n v="0"/>
    <x v="693"/>
    <n v="0"/>
    <x v="2"/>
    <x v="1"/>
    <x v="1"/>
  </r>
  <r>
    <x v="1142"/>
    <s v="C1403"/>
    <d v="2024-02-17T14:00:00"/>
    <n v="33916.910000000003"/>
    <x v="1"/>
    <x v="2"/>
    <s v="Electronics"/>
    <x v="3"/>
    <x v="1"/>
    <s v="Tablet"/>
    <n v="0"/>
    <n v="0"/>
    <x v="155"/>
    <n v="0"/>
    <x v="2"/>
    <x v="1"/>
    <x v="1"/>
  </r>
  <r>
    <x v="1143"/>
    <s v="C1298"/>
    <d v="2024-02-17T15:00:00"/>
    <n v="28308.31"/>
    <x v="3"/>
    <x v="3"/>
    <s v="Retail"/>
    <x v="1"/>
    <x v="4"/>
    <s v="Desktop"/>
    <n v="0"/>
    <n v="2"/>
    <x v="23"/>
    <n v="1"/>
    <x v="0"/>
    <x v="1"/>
    <x v="0"/>
  </r>
  <r>
    <x v="1144"/>
    <s v="C1324"/>
    <d v="2024-02-17T16:00:00"/>
    <n v="13388.06"/>
    <x v="2"/>
    <x v="2"/>
    <s v="Electronics"/>
    <x v="3"/>
    <x v="3"/>
    <s v="Tablet"/>
    <n v="0"/>
    <n v="4"/>
    <x v="443"/>
    <n v="1"/>
    <x v="0"/>
    <x v="1"/>
    <x v="0"/>
  </r>
  <r>
    <x v="1145"/>
    <s v="C1108"/>
    <d v="2024-02-17T17:00:00"/>
    <n v="43937.57"/>
    <x v="0"/>
    <x v="3"/>
    <s v="Electronics"/>
    <x v="1"/>
    <x v="1"/>
    <s v="Tablet"/>
    <n v="1"/>
    <n v="4"/>
    <x v="694"/>
    <n v="1"/>
    <x v="1"/>
    <x v="1"/>
    <x v="0"/>
  </r>
  <r>
    <x v="1146"/>
    <s v="C1043"/>
    <d v="2024-02-17T18:00:00"/>
    <n v="39881.43"/>
    <x v="1"/>
    <x v="2"/>
    <s v="Electronics"/>
    <x v="4"/>
    <x v="2"/>
    <s v="Mobile"/>
    <n v="0"/>
    <n v="3"/>
    <x v="570"/>
    <n v="1"/>
    <x v="1"/>
    <x v="1"/>
    <x v="0"/>
  </r>
  <r>
    <x v="1147"/>
    <s v="C1381"/>
    <d v="2024-02-17T19:00:00"/>
    <n v="32939.67"/>
    <x v="0"/>
    <x v="3"/>
    <s v="Travel"/>
    <x v="0"/>
    <x v="0"/>
    <s v="Mobile"/>
    <n v="0"/>
    <n v="0"/>
    <x v="195"/>
    <n v="0"/>
    <x v="2"/>
    <x v="1"/>
    <x v="1"/>
  </r>
  <r>
    <x v="1148"/>
    <s v="C1448"/>
    <d v="2024-02-17T20:00:00"/>
    <n v="42536.56"/>
    <x v="1"/>
    <x v="2"/>
    <s v="Retail"/>
    <x v="4"/>
    <x v="4"/>
    <s v="Mobile"/>
    <n v="0"/>
    <n v="2"/>
    <x v="695"/>
    <n v="1"/>
    <x v="1"/>
    <x v="1"/>
    <x v="0"/>
  </r>
  <r>
    <x v="1149"/>
    <s v="C1295"/>
    <d v="2024-02-17T21:00:00"/>
    <n v="43371.35"/>
    <x v="3"/>
    <x v="0"/>
    <s v="Food"/>
    <x v="2"/>
    <x v="2"/>
    <s v="Desktop"/>
    <n v="0"/>
    <n v="1"/>
    <x v="239"/>
    <n v="1"/>
    <x v="0"/>
    <x v="1"/>
    <x v="0"/>
  </r>
  <r>
    <x v="1150"/>
    <s v="C1275"/>
    <d v="2024-02-17T22:00:00"/>
    <n v="35432.730000000003"/>
    <x v="2"/>
    <x v="3"/>
    <s v="Electronics"/>
    <x v="2"/>
    <x v="1"/>
    <s v="Mobile"/>
    <n v="0"/>
    <n v="1"/>
    <x v="696"/>
    <n v="1"/>
    <x v="0"/>
    <x v="1"/>
    <x v="0"/>
  </r>
  <r>
    <x v="1151"/>
    <s v="C1290"/>
    <d v="2024-02-17T23:00:00"/>
    <n v="41858.82"/>
    <x v="1"/>
    <x v="3"/>
    <s v="Retail"/>
    <x v="1"/>
    <x v="3"/>
    <s v="Tablet"/>
    <n v="0"/>
    <n v="3"/>
    <x v="686"/>
    <n v="1"/>
    <x v="1"/>
    <x v="1"/>
    <x v="0"/>
  </r>
  <r>
    <x v="1152"/>
    <s v="C1279"/>
    <d v="2024-02-18T00:00:00"/>
    <n v="34888.699999999997"/>
    <x v="2"/>
    <x v="1"/>
    <s v="Entertainment"/>
    <x v="2"/>
    <x v="4"/>
    <s v="Mobile"/>
    <n v="0"/>
    <n v="3"/>
    <x v="176"/>
    <n v="1"/>
    <x v="1"/>
    <x v="1"/>
    <x v="0"/>
  </r>
  <r>
    <x v="1153"/>
    <s v="C1295"/>
    <d v="2024-02-18T01:00:00"/>
    <n v="34023.03"/>
    <x v="0"/>
    <x v="1"/>
    <s v="Electronics"/>
    <x v="4"/>
    <x v="1"/>
    <s v="Desktop"/>
    <n v="0"/>
    <n v="0"/>
    <x v="597"/>
    <n v="0"/>
    <x v="2"/>
    <x v="1"/>
    <x v="1"/>
  </r>
  <r>
    <x v="1154"/>
    <s v="C1201"/>
    <d v="2024-02-18T02:00:00"/>
    <n v="30949.64"/>
    <x v="3"/>
    <x v="2"/>
    <s v="Electronics"/>
    <x v="3"/>
    <x v="4"/>
    <s v="Mobile"/>
    <n v="0"/>
    <n v="0"/>
    <x v="347"/>
    <n v="0"/>
    <x v="2"/>
    <x v="1"/>
    <x v="1"/>
  </r>
  <r>
    <x v="1155"/>
    <s v="C1037"/>
    <d v="2024-02-18T03:00:00"/>
    <n v="37648.199999999997"/>
    <x v="2"/>
    <x v="3"/>
    <s v="Food"/>
    <x v="4"/>
    <x v="1"/>
    <s v="Mobile"/>
    <n v="0"/>
    <n v="1"/>
    <x v="405"/>
    <n v="1"/>
    <x v="0"/>
    <x v="1"/>
    <x v="0"/>
  </r>
  <r>
    <x v="1156"/>
    <s v="C1165"/>
    <d v="2024-02-18T04:00:00"/>
    <n v="7972.33"/>
    <x v="3"/>
    <x v="2"/>
    <s v="Travel"/>
    <x v="1"/>
    <x v="0"/>
    <s v="Mobile"/>
    <n v="0"/>
    <n v="1"/>
    <x v="643"/>
    <n v="0"/>
    <x v="2"/>
    <x v="1"/>
    <x v="1"/>
  </r>
  <r>
    <x v="1157"/>
    <s v="C1384"/>
    <d v="2024-02-18T05:00:00"/>
    <n v="44049.49"/>
    <x v="2"/>
    <x v="0"/>
    <s v="Travel"/>
    <x v="2"/>
    <x v="3"/>
    <s v="Desktop"/>
    <n v="0"/>
    <n v="1"/>
    <x v="697"/>
    <n v="1"/>
    <x v="0"/>
    <x v="1"/>
    <x v="0"/>
  </r>
  <r>
    <x v="1158"/>
    <s v="C1168"/>
    <d v="2024-02-18T06:00:00"/>
    <n v="43598.58"/>
    <x v="0"/>
    <x v="1"/>
    <s v="Electronics"/>
    <x v="3"/>
    <x v="0"/>
    <s v="Tablet"/>
    <n v="0"/>
    <n v="1"/>
    <x v="493"/>
    <n v="1"/>
    <x v="0"/>
    <x v="1"/>
    <x v="0"/>
  </r>
  <r>
    <x v="1159"/>
    <s v="C1136"/>
    <d v="2024-02-18T07:00:00"/>
    <n v="1510.9"/>
    <x v="0"/>
    <x v="2"/>
    <s v="Retail"/>
    <x v="0"/>
    <x v="1"/>
    <s v="Tablet"/>
    <n v="1"/>
    <n v="4"/>
    <x v="72"/>
    <n v="1"/>
    <x v="1"/>
    <x v="1"/>
    <x v="0"/>
  </r>
  <r>
    <x v="1160"/>
    <s v="C1231"/>
    <d v="2024-02-18T08:00:00"/>
    <n v="41299.550000000003"/>
    <x v="3"/>
    <x v="2"/>
    <s v="Entertainment"/>
    <x v="3"/>
    <x v="2"/>
    <s v="Tablet"/>
    <n v="1"/>
    <n v="0"/>
    <x v="92"/>
    <n v="1"/>
    <x v="0"/>
    <x v="1"/>
    <x v="0"/>
  </r>
  <r>
    <x v="1161"/>
    <s v="C1118"/>
    <d v="2024-02-18T09:00:00"/>
    <n v="6487.05"/>
    <x v="0"/>
    <x v="1"/>
    <s v="Entertainment"/>
    <x v="3"/>
    <x v="0"/>
    <s v="Mobile"/>
    <n v="1"/>
    <n v="0"/>
    <x v="100"/>
    <n v="0"/>
    <x v="2"/>
    <x v="1"/>
    <x v="1"/>
  </r>
  <r>
    <x v="1162"/>
    <s v="C1074"/>
    <d v="2024-02-18T10:00:00"/>
    <n v="16789.189999999999"/>
    <x v="1"/>
    <x v="3"/>
    <s v="Retail"/>
    <x v="4"/>
    <x v="2"/>
    <s v="Mobile"/>
    <n v="0"/>
    <n v="1"/>
    <x v="295"/>
    <n v="0"/>
    <x v="2"/>
    <x v="1"/>
    <x v="1"/>
  </r>
  <r>
    <x v="1163"/>
    <s v="C1009"/>
    <d v="2024-02-18T11:00:00"/>
    <n v="37188.239999999998"/>
    <x v="2"/>
    <x v="2"/>
    <s v="Electronics"/>
    <x v="0"/>
    <x v="1"/>
    <s v="Desktop"/>
    <n v="1"/>
    <n v="2"/>
    <x v="698"/>
    <n v="1"/>
    <x v="1"/>
    <x v="1"/>
    <x v="0"/>
  </r>
  <r>
    <x v="1164"/>
    <s v="C1450"/>
    <d v="2024-02-18T12:00:00"/>
    <n v="8079.96"/>
    <x v="0"/>
    <x v="1"/>
    <s v="Entertainment"/>
    <x v="1"/>
    <x v="3"/>
    <s v="Tablet"/>
    <n v="0"/>
    <n v="1"/>
    <x v="699"/>
    <n v="0"/>
    <x v="2"/>
    <x v="1"/>
    <x v="1"/>
  </r>
  <r>
    <x v="1165"/>
    <s v="C1087"/>
    <d v="2024-02-18T13:00:00"/>
    <n v="40907.449999999997"/>
    <x v="1"/>
    <x v="3"/>
    <s v="Travel"/>
    <x v="1"/>
    <x v="2"/>
    <s v="Mobile"/>
    <n v="1"/>
    <n v="3"/>
    <x v="608"/>
    <n v="1"/>
    <x v="1"/>
    <x v="1"/>
    <x v="0"/>
  </r>
  <r>
    <x v="1166"/>
    <s v="C1130"/>
    <d v="2024-02-18T14:00:00"/>
    <n v="41615.1"/>
    <x v="3"/>
    <x v="0"/>
    <s v="Retail"/>
    <x v="3"/>
    <x v="1"/>
    <s v="Mobile"/>
    <n v="0"/>
    <n v="2"/>
    <x v="700"/>
    <n v="1"/>
    <x v="1"/>
    <x v="1"/>
    <x v="0"/>
  </r>
  <r>
    <x v="1167"/>
    <s v="C1262"/>
    <d v="2024-02-18T15:00:00"/>
    <n v="25398.01"/>
    <x v="1"/>
    <x v="1"/>
    <s v="Food"/>
    <x v="3"/>
    <x v="2"/>
    <s v="Mobile"/>
    <n v="1"/>
    <n v="3"/>
    <x v="701"/>
    <n v="1"/>
    <x v="1"/>
    <x v="1"/>
    <x v="0"/>
  </r>
  <r>
    <x v="1168"/>
    <s v="C1479"/>
    <d v="2024-02-18T16:00:00"/>
    <n v="368.97"/>
    <x v="3"/>
    <x v="2"/>
    <s v="Electronics"/>
    <x v="2"/>
    <x v="0"/>
    <s v="Desktop"/>
    <n v="0"/>
    <n v="2"/>
    <x v="119"/>
    <n v="0"/>
    <x v="2"/>
    <x v="1"/>
    <x v="1"/>
  </r>
  <r>
    <x v="1169"/>
    <s v="C1480"/>
    <d v="2024-02-18T17:00:00"/>
    <n v="14387.55"/>
    <x v="3"/>
    <x v="0"/>
    <s v="Retail"/>
    <x v="0"/>
    <x v="1"/>
    <s v="Tablet"/>
    <n v="0"/>
    <n v="3"/>
    <x v="343"/>
    <n v="1"/>
    <x v="0"/>
    <x v="1"/>
    <x v="0"/>
  </r>
  <r>
    <x v="1170"/>
    <s v="C1163"/>
    <d v="2024-02-18T18:00:00"/>
    <n v="30865.5"/>
    <x v="2"/>
    <x v="3"/>
    <s v="Entertainment"/>
    <x v="3"/>
    <x v="0"/>
    <s v="Desktop"/>
    <n v="0"/>
    <n v="1"/>
    <x v="702"/>
    <n v="1"/>
    <x v="0"/>
    <x v="1"/>
    <x v="0"/>
  </r>
  <r>
    <x v="1171"/>
    <s v="C1208"/>
    <d v="2024-02-18T19:00:00"/>
    <n v="49060.25"/>
    <x v="2"/>
    <x v="3"/>
    <s v="Electronics"/>
    <x v="2"/>
    <x v="4"/>
    <s v="Tablet"/>
    <n v="0"/>
    <n v="1"/>
    <x v="14"/>
    <n v="1"/>
    <x v="0"/>
    <x v="1"/>
    <x v="0"/>
  </r>
  <r>
    <x v="1172"/>
    <s v="C1418"/>
    <d v="2024-02-18T20:00:00"/>
    <n v="31609.09"/>
    <x v="1"/>
    <x v="1"/>
    <s v="Travel"/>
    <x v="0"/>
    <x v="1"/>
    <s v="Tablet"/>
    <n v="0"/>
    <n v="2"/>
    <x v="703"/>
    <n v="1"/>
    <x v="0"/>
    <x v="1"/>
    <x v="0"/>
  </r>
  <r>
    <x v="1173"/>
    <s v="C1285"/>
    <d v="2024-02-18T21:00:00"/>
    <n v="13027.19"/>
    <x v="2"/>
    <x v="1"/>
    <s v="Electronics"/>
    <x v="1"/>
    <x v="2"/>
    <s v="Mobile"/>
    <n v="0"/>
    <n v="3"/>
    <x v="704"/>
    <n v="1"/>
    <x v="0"/>
    <x v="1"/>
    <x v="0"/>
  </r>
  <r>
    <x v="1174"/>
    <s v="C1361"/>
    <d v="2024-02-18T22:00:00"/>
    <n v="31718.58"/>
    <x v="2"/>
    <x v="1"/>
    <s v="Electronics"/>
    <x v="2"/>
    <x v="4"/>
    <s v="Mobile"/>
    <n v="0"/>
    <n v="4"/>
    <x v="439"/>
    <n v="1"/>
    <x v="1"/>
    <x v="1"/>
    <x v="0"/>
  </r>
  <r>
    <x v="1175"/>
    <s v="C1225"/>
    <d v="2024-02-18T23:00:00"/>
    <n v="27022.27"/>
    <x v="2"/>
    <x v="3"/>
    <s v="Travel"/>
    <x v="0"/>
    <x v="0"/>
    <s v="Mobile"/>
    <n v="0"/>
    <n v="2"/>
    <x v="705"/>
    <n v="1"/>
    <x v="0"/>
    <x v="1"/>
    <x v="0"/>
  </r>
  <r>
    <x v="1176"/>
    <s v="C1048"/>
    <d v="2024-02-19T00:00:00"/>
    <n v="39003.279999999999"/>
    <x v="1"/>
    <x v="0"/>
    <s v="Travel"/>
    <x v="2"/>
    <x v="0"/>
    <s v="Mobile"/>
    <n v="0"/>
    <n v="2"/>
    <x v="663"/>
    <n v="1"/>
    <x v="0"/>
    <x v="1"/>
    <x v="0"/>
  </r>
  <r>
    <x v="1177"/>
    <s v="C1132"/>
    <d v="2024-02-19T01:00:00"/>
    <n v="5393.68"/>
    <x v="0"/>
    <x v="3"/>
    <s v="Electronics"/>
    <x v="3"/>
    <x v="2"/>
    <s v="Mobile"/>
    <n v="0"/>
    <n v="0"/>
    <x v="706"/>
    <n v="0"/>
    <x v="2"/>
    <x v="1"/>
    <x v="1"/>
  </r>
  <r>
    <x v="1178"/>
    <s v="C1075"/>
    <d v="2024-02-19T02:00:00"/>
    <n v="38063.339999999997"/>
    <x v="2"/>
    <x v="2"/>
    <s v="Travel"/>
    <x v="4"/>
    <x v="4"/>
    <s v="Tablet"/>
    <n v="0"/>
    <n v="2"/>
    <x v="87"/>
    <n v="1"/>
    <x v="0"/>
    <x v="1"/>
    <x v="0"/>
  </r>
  <r>
    <x v="1179"/>
    <s v="C1448"/>
    <d v="2024-02-19T03:00:00"/>
    <n v="27086.27"/>
    <x v="2"/>
    <x v="3"/>
    <s v="Retail"/>
    <x v="1"/>
    <x v="3"/>
    <s v="Mobile"/>
    <n v="0"/>
    <n v="4"/>
    <x v="301"/>
    <n v="1"/>
    <x v="1"/>
    <x v="1"/>
    <x v="0"/>
  </r>
  <r>
    <x v="1180"/>
    <s v="C1351"/>
    <d v="2024-02-19T04:00:00"/>
    <n v="48151.45"/>
    <x v="1"/>
    <x v="2"/>
    <s v="Travel"/>
    <x v="3"/>
    <x v="2"/>
    <s v="Mobile"/>
    <n v="0"/>
    <n v="1"/>
    <x v="128"/>
    <n v="1"/>
    <x v="0"/>
    <x v="1"/>
    <x v="0"/>
  </r>
  <r>
    <x v="1181"/>
    <s v="C1041"/>
    <d v="2024-02-19T05:00:00"/>
    <n v="17126.509999999998"/>
    <x v="0"/>
    <x v="0"/>
    <s v="Travel"/>
    <x v="3"/>
    <x v="0"/>
    <s v="Desktop"/>
    <n v="0"/>
    <n v="3"/>
    <x v="235"/>
    <n v="1"/>
    <x v="0"/>
    <x v="1"/>
    <x v="0"/>
  </r>
  <r>
    <x v="1182"/>
    <s v="C1279"/>
    <d v="2024-02-19T06:00:00"/>
    <n v="31649.46"/>
    <x v="2"/>
    <x v="1"/>
    <s v="Electronics"/>
    <x v="0"/>
    <x v="1"/>
    <s v="Desktop"/>
    <n v="0"/>
    <n v="0"/>
    <x v="148"/>
    <n v="0"/>
    <x v="2"/>
    <x v="1"/>
    <x v="1"/>
  </r>
  <r>
    <x v="1183"/>
    <s v="C1297"/>
    <d v="2024-02-19T07:00:00"/>
    <n v="46604.800000000003"/>
    <x v="3"/>
    <x v="1"/>
    <s v="Retail"/>
    <x v="2"/>
    <x v="4"/>
    <s v="Tablet"/>
    <n v="0"/>
    <n v="3"/>
    <x v="707"/>
    <n v="1"/>
    <x v="1"/>
    <x v="1"/>
    <x v="0"/>
  </r>
  <r>
    <x v="1184"/>
    <s v="C1215"/>
    <d v="2024-02-19T08:00:00"/>
    <n v="5170.3599999999997"/>
    <x v="1"/>
    <x v="3"/>
    <s v="Food"/>
    <x v="1"/>
    <x v="3"/>
    <s v="Tablet"/>
    <n v="0"/>
    <n v="1"/>
    <x v="708"/>
    <n v="0"/>
    <x v="2"/>
    <x v="1"/>
    <x v="1"/>
  </r>
  <r>
    <x v="1185"/>
    <s v="C1362"/>
    <d v="2024-02-19T09:00:00"/>
    <n v="46864.56"/>
    <x v="2"/>
    <x v="1"/>
    <s v="Food"/>
    <x v="3"/>
    <x v="1"/>
    <s v="Desktop"/>
    <n v="0"/>
    <n v="2"/>
    <x v="709"/>
    <n v="1"/>
    <x v="1"/>
    <x v="1"/>
    <x v="0"/>
  </r>
  <r>
    <x v="1186"/>
    <s v="C1210"/>
    <d v="2024-02-19T10:00:00"/>
    <n v="34409.89"/>
    <x v="2"/>
    <x v="0"/>
    <s v="Entertainment"/>
    <x v="0"/>
    <x v="4"/>
    <s v="Desktop"/>
    <n v="0"/>
    <n v="4"/>
    <x v="250"/>
    <n v="1"/>
    <x v="1"/>
    <x v="1"/>
    <x v="0"/>
  </r>
  <r>
    <x v="1187"/>
    <s v="C1153"/>
    <d v="2024-02-19T11:00:00"/>
    <n v="3438.46"/>
    <x v="3"/>
    <x v="1"/>
    <s v="Travel"/>
    <x v="1"/>
    <x v="2"/>
    <s v="Mobile"/>
    <n v="1"/>
    <n v="0"/>
    <x v="710"/>
    <n v="0"/>
    <x v="2"/>
    <x v="1"/>
    <x v="1"/>
  </r>
  <r>
    <x v="1188"/>
    <s v="C1475"/>
    <d v="2024-02-19T12:00:00"/>
    <n v="15083.13"/>
    <x v="3"/>
    <x v="3"/>
    <s v="Travel"/>
    <x v="2"/>
    <x v="2"/>
    <s v="Mobile"/>
    <n v="0"/>
    <n v="4"/>
    <x v="133"/>
    <n v="1"/>
    <x v="0"/>
    <x v="1"/>
    <x v="0"/>
  </r>
  <r>
    <x v="1189"/>
    <s v="C1229"/>
    <d v="2024-02-19T13:00:00"/>
    <n v="35423.199999999997"/>
    <x v="1"/>
    <x v="0"/>
    <s v="Retail"/>
    <x v="3"/>
    <x v="4"/>
    <s v="Tablet"/>
    <n v="0"/>
    <n v="4"/>
    <x v="71"/>
    <n v="1"/>
    <x v="1"/>
    <x v="1"/>
    <x v="0"/>
  </r>
  <r>
    <x v="1190"/>
    <s v="C1062"/>
    <d v="2024-02-19T14:00:00"/>
    <n v="3414.16"/>
    <x v="1"/>
    <x v="2"/>
    <s v="Food"/>
    <x v="3"/>
    <x v="3"/>
    <s v="Desktop"/>
    <n v="0"/>
    <n v="4"/>
    <x v="711"/>
    <n v="1"/>
    <x v="0"/>
    <x v="1"/>
    <x v="0"/>
  </r>
  <r>
    <x v="1191"/>
    <s v="C1185"/>
    <d v="2024-02-19T15:00:00"/>
    <n v="29129.41"/>
    <x v="3"/>
    <x v="3"/>
    <s v="Entertainment"/>
    <x v="3"/>
    <x v="4"/>
    <s v="Tablet"/>
    <n v="0"/>
    <n v="4"/>
    <x v="712"/>
    <n v="1"/>
    <x v="1"/>
    <x v="1"/>
    <x v="0"/>
  </r>
  <r>
    <x v="1192"/>
    <s v="C1193"/>
    <d v="2024-02-19T16:00:00"/>
    <n v="17326.86"/>
    <x v="1"/>
    <x v="2"/>
    <s v="Retail"/>
    <x v="1"/>
    <x v="1"/>
    <s v="Mobile"/>
    <n v="0"/>
    <n v="1"/>
    <x v="400"/>
    <n v="0"/>
    <x v="2"/>
    <x v="1"/>
    <x v="1"/>
  </r>
  <r>
    <x v="1193"/>
    <s v="C1388"/>
    <d v="2024-02-19T17:00:00"/>
    <n v="31064.73"/>
    <x v="3"/>
    <x v="0"/>
    <s v="Travel"/>
    <x v="1"/>
    <x v="1"/>
    <s v="Tablet"/>
    <n v="0"/>
    <n v="4"/>
    <x v="713"/>
    <n v="1"/>
    <x v="1"/>
    <x v="1"/>
    <x v="0"/>
  </r>
  <r>
    <x v="1194"/>
    <s v="C1006"/>
    <d v="2024-02-19T18:00:00"/>
    <n v="2334.81"/>
    <x v="2"/>
    <x v="3"/>
    <s v="Food"/>
    <x v="1"/>
    <x v="2"/>
    <s v="Tablet"/>
    <n v="0"/>
    <n v="4"/>
    <x v="714"/>
    <n v="1"/>
    <x v="0"/>
    <x v="1"/>
    <x v="0"/>
  </r>
  <r>
    <x v="1195"/>
    <s v="C1394"/>
    <d v="2024-02-19T19:00:00"/>
    <n v="43583.26"/>
    <x v="3"/>
    <x v="3"/>
    <s v="Entertainment"/>
    <x v="1"/>
    <x v="4"/>
    <s v="Tablet"/>
    <n v="0"/>
    <n v="1"/>
    <x v="300"/>
    <n v="1"/>
    <x v="0"/>
    <x v="1"/>
    <x v="0"/>
  </r>
  <r>
    <x v="1196"/>
    <s v="C1188"/>
    <d v="2024-02-19T20:00:00"/>
    <n v="48675.77"/>
    <x v="3"/>
    <x v="0"/>
    <s v="Electronics"/>
    <x v="0"/>
    <x v="2"/>
    <s v="Mobile"/>
    <n v="0"/>
    <n v="3"/>
    <x v="338"/>
    <n v="1"/>
    <x v="1"/>
    <x v="1"/>
    <x v="0"/>
  </r>
  <r>
    <x v="1197"/>
    <s v="C1085"/>
    <d v="2024-02-19T21:00:00"/>
    <n v="48445.45"/>
    <x v="0"/>
    <x v="1"/>
    <s v="Food"/>
    <x v="4"/>
    <x v="3"/>
    <s v="Tablet"/>
    <n v="0"/>
    <n v="1"/>
    <x v="443"/>
    <n v="1"/>
    <x v="0"/>
    <x v="1"/>
    <x v="0"/>
  </r>
  <r>
    <x v="1198"/>
    <s v="C1066"/>
    <d v="2024-02-19T22:00:00"/>
    <n v="37495.11"/>
    <x v="3"/>
    <x v="3"/>
    <s v="Entertainment"/>
    <x v="0"/>
    <x v="1"/>
    <s v="Mobile"/>
    <n v="1"/>
    <n v="2"/>
    <x v="715"/>
    <n v="1"/>
    <x v="1"/>
    <x v="1"/>
    <x v="0"/>
  </r>
  <r>
    <x v="1199"/>
    <s v="C1297"/>
    <d v="2024-02-19T23:00:00"/>
    <n v="6547.81"/>
    <x v="3"/>
    <x v="3"/>
    <s v="Retail"/>
    <x v="3"/>
    <x v="0"/>
    <s v="Desktop"/>
    <n v="0"/>
    <n v="1"/>
    <x v="716"/>
    <n v="0"/>
    <x v="2"/>
    <x v="1"/>
    <x v="1"/>
  </r>
  <r>
    <x v="1200"/>
    <s v="C1435"/>
    <d v="2024-02-20T00:00:00"/>
    <n v="37925.25"/>
    <x v="0"/>
    <x v="2"/>
    <s v="Electronics"/>
    <x v="0"/>
    <x v="0"/>
    <s v="Tablet"/>
    <n v="0"/>
    <n v="3"/>
    <x v="615"/>
    <n v="1"/>
    <x v="1"/>
    <x v="1"/>
    <x v="0"/>
  </r>
  <r>
    <x v="1201"/>
    <s v="C1239"/>
    <d v="2024-02-20T01:00:00"/>
    <n v="1278.1199999999999"/>
    <x v="1"/>
    <x v="1"/>
    <s v="Entertainment"/>
    <x v="2"/>
    <x v="4"/>
    <s v="Tablet"/>
    <n v="1"/>
    <n v="2"/>
    <x v="175"/>
    <n v="1"/>
    <x v="0"/>
    <x v="1"/>
    <x v="0"/>
  </r>
  <r>
    <x v="1202"/>
    <s v="C1039"/>
    <d v="2024-02-20T02:00:00"/>
    <n v="1155.07"/>
    <x v="0"/>
    <x v="2"/>
    <s v="Entertainment"/>
    <x v="1"/>
    <x v="4"/>
    <s v="Mobile"/>
    <n v="0"/>
    <n v="2"/>
    <x v="717"/>
    <n v="0"/>
    <x v="2"/>
    <x v="1"/>
    <x v="1"/>
  </r>
  <r>
    <x v="1203"/>
    <s v="C1296"/>
    <d v="2024-02-20T03:00:00"/>
    <n v="16214.33"/>
    <x v="2"/>
    <x v="2"/>
    <s v="Travel"/>
    <x v="2"/>
    <x v="0"/>
    <s v="Tablet"/>
    <n v="0"/>
    <n v="0"/>
    <x v="718"/>
    <n v="0"/>
    <x v="2"/>
    <x v="1"/>
    <x v="1"/>
  </r>
  <r>
    <x v="1204"/>
    <s v="C1336"/>
    <d v="2024-02-20T04:00:00"/>
    <n v="24457.73"/>
    <x v="0"/>
    <x v="1"/>
    <s v="Food"/>
    <x v="2"/>
    <x v="4"/>
    <s v="Mobile"/>
    <n v="0"/>
    <n v="4"/>
    <x v="231"/>
    <n v="1"/>
    <x v="1"/>
    <x v="1"/>
    <x v="0"/>
  </r>
  <r>
    <x v="1205"/>
    <s v="C1336"/>
    <d v="2024-02-20T05:00:00"/>
    <n v="38531.85"/>
    <x v="2"/>
    <x v="1"/>
    <s v="Travel"/>
    <x v="3"/>
    <x v="1"/>
    <s v="Tablet"/>
    <n v="0"/>
    <n v="2"/>
    <x v="416"/>
    <n v="1"/>
    <x v="0"/>
    <x v="1"/>
    <x v="0"/>
  </r>
  <r>
    <x v="1206"/>
    <s v="C1399"/>
    <d v="2024-02-20T06:00:00"/>
    <n v="34180.6"/>
    <x v="1"/>
    <x v="0"/>
    <s v="Electronics"/>
    <x v="1"/>
    <x v="3"/>
    <s v="Desktop"/>
    <n v="0"/>
    <n v="2"/>
    <x v="36"/>
    <n v="1"/>
    <x v="0"/>
    <x v="1"/>
    <x v="0"/>
  </r>
  <r>
    <x v="1207"/>
    <s v="C1316"/>
    <d v="2024-02-20T07:00:00"/>
    <n v="22322.84"/>
    <x v="0"/>
    <x v="1"/>
    <s v="Entertainment"/>
    <x v="2"/>
    <x v="3"/>
    <s v="Desktop"/>
    <n v="0"/>
    <n v="3"/>
    <x v="719"/>
    <n v="1"/>
    <x v="0"/>
    <x v="1"/>
    <x v="0"/>
  </r>
  <r>
    <x v="1208"/>
    <s v="C1435"/>
    <d v="2024-02-20T08:00:00"/>
    <n v="13717.65"/>
    <x v="0"/>
    <x v="3"/>
    <s v="Travel"/>
    <x v="3"/>
    <x v="2"/>
    <s v="Desktop"/>
    <n v="0"/>
    <n v="2"/>
    <x v="664"/>
    <n v="1"/>
    <x v="0"/>
    <x v="1"/>
    <x v="0"/>
  </r>
  <r>
    <x v="1209"/>
    <s v="C1015"/>
    <d v="2024-02-20T09:00:00"/>
    <n v="49856.37"/>
    <x v="1"/>
    <x v="1"/>
    <s v="Food"/>
    <x v="1"/>
    <x v="1"/>
    <s v="Tablet"/>
    <n v="0"/>
    <n v="3"/>
    <x v="661"/>
    <n v="1"/>
    <x v="1"/>
    <x v="1"/>
    <x v="0"/>
  </r>
  <r>
    <x v="1210"/>
    <s v="C1115"/>
    <d v="2024-02-20T10:00:00"/>
    <n v="21337.759999999998"/>
    <x v="2"/>
    <x v="0"/>
    <s v="Electronics"/>
    <x v="4"/>
    <x v="4"/>
    <s v="Tablet"/>
    <n v="0"/>
    <n v="4"/>
    <x v="262"/>
    <n v="1"/>
    <x v="1"/>
    <x v="1"/>
    <x v="0"/>
  </r>
  <r>
    <x v="1211"/>
    <s v="C1011"/>
    <d v="2024-02-20T11:00:00"/>
    <n v="22596.78"/>
    <x v="0"/>
    <x v="0"/>
    <s v="Retail"/>
    <x v="3"/>
    <x v="4"/>
    <s v="Desktop"/>
    <n v="0"/>
    <n v="0"/>
    <x v="138"/>
    <n v="0"/>
    <x v="2"/>
    <x v="1"/>
    <x v="1"/>
  </r>
  <r>
    <x v="1212"/>
    <s v="C1335"/>
    <d v="2024-02-20T12:00:00"/>
    <n v="8223.01"/>
    <x v="2"/>
    <x v="0"/>
    <s v="Travel"/>
    <x v="0"/>
    <x v="2"/>
    <s v="Desktop"/>
    <n v="0"/>
    <n v="0"/>
    <x v="720"/>
    <n v="0"/>
    <x v="2"/>
    <x v="1"/>
    <x v="1"/>
  </r>
  <r>
    <x v="1213"/>
    <s v="C1432"/>
    <d v="2024-02-20T13:00:00"/>
    <n v="39750.74"/>
    <x v="0"/>
    <x v="1"/>
    <s v="Electronics"/>
    <x v="1"/>
    <x v="2"/>
    <s v="Mobile"/>
    <n v="0"/>
    <n v="4"/>
    <x v="414"/>
    <n v="1"/>
    <x v="1"/>
    <x v="1"/>
    <x v="0"/>
  </r>
  <r>
    <x v="1214"/>
    <s v="C1475"/>
    <d v="2024-02-20T14:00:00"/>
    <n v="34699.43"/>
    <x v="3"/>
    <x v="1"/>
    <s v="Retail"/>
    <x v="2"/>
    <x v="4"/>
    <s v="Mobile"/>
    <n v="0"/>
    <n v="4"/>
    <x v="721"/>
    <n v="1"/>
    <x v="1"/>
    <x v="1"/>
    <x v="0"/>
  </r>
  <r>
    <x v="1215"/>
    <s v="C1129"/>
    <d v="2024-02-20T15:00:00"/>
    <n v="11077.44"/>
    <x v="0"/>
    <x v="2"/>
    <s v="Travel"/>
    <x v="2"/>
    <x v="4"/>
    <s v="Desktop"/>
    <n v="0"/>
    <n v="1"/>
    <x v="722"/>
    <n v="0"/>
    <x v="2"/>
    <x v="1"/>
    <x v="1"/>
  </r>
  <r>
    <x v="1216"/>
    <s v="C1486"/>
    <d v="2024-02-20T16:00:00"/>
    <n v="4164.93"/>
    <x v="1"/>
    <x v="2"/>
    <s v="Electronics"/>
    <x v="0"/>
    <x v="1"/>
    <s v="Desktop"/>
    <n v="0"/>
    <n v="2"/>
    <x v="523"/>
    <n v="0"/>
    <x v="2"/>
    <x v="1"/>
    <x v="1"/>
  </r>
  <r>
    <x v="1217"/>
    <s v="C1301"/>
    <d v="2024-02-20T17:00:00"/>
    <n v="34040.94"/>
    <x v="1"/>
    <x v="3"/>
    <s v="Electronics"/>
    <x v="0"/>
    <x v="2"/>
    <s v="Tablet"/>
    <n v="1"/>
    <n v="2"/>
    <x v="723"/>
    <n v="1"/>
    <x v="1"/>
    <x v="1"/>
    <x v="0"/>
  </r>
  <r>
    <x v="1218"/>
    <s v="C1233"/>
    <d v="2024-02-20T18:00:00"/>
    <n v="32742.84"/>
    <x v="2"/>
    <x v="2"/>
    <s v="Travel"/>
    <x v="2"/>
    <x v="1"/>
    <s v="Desktop"/>
    <n v="0"/>
    <n v="2"/>
    <x v="724"/>
    <n v="1"/>
    <x v="0"/>
    <x v="1"/>
    <x v="0"/>
  </r>
  <r>
    <x v="1219"/>
    <s v="C1065"/>
    <d v="2024-02-20T19:00:00"/>
    <n v="13699.31"/>
    <x v="0"/>
    <x v="3"/>
    <s v="Electronics"/>
    <x v="1"/>
    <x v="4"/>
    <s v="Mobile"/>
    <n v="0"/>
    <n v="3"/>
    <x v="659"/>
    <n v="1"/>
    <x v="0"/>
    <x v="1"/>
    <x v="0"/>
  </r>
  <r>
    <x v="1220"/>
    <s v="C1192"/>
    <d v="2024-02-20T20:00:00"/>
    <n v="47545.63"/>
    <x v="2"/>
    <x v="0"/>
    <s v="Entertainment"/>
    <x v="3"/>
    <x v="0"/>
    <s v="Mobile"/>
    <n v="1"/>
    <n v="1"/>
    <x v="577"/>
    <n v="1"/>
    <x v="1"/>
    <x v="1"/>
    <x v="0"/>
  </r>
  <r>
    <x v="1221"/>
    <s v="C1439"/>
    <d v="2024-02-20T21:00:00"/>
    <n v="7595.34"/>
    <x v="2"/>
    <x v="2"/>
    <s v="Travel"/>
    <x v="0"/>
    <x v="0"/>
    <s v="Mobile"/>
    <n v="0"/>
    <n v="2"/>
    <x v="689"/>
    <n v="0"/>
    <x v="2"/>
    <x v="1"/>
    <x v="1"/>
  </r>
  <r>
    <x v="1222"/>
    <s v="C1405"/>
    <d v="2024-02-20T22:00:00"/>
    <n v="21645.119999999999"/>
    <x v="3"/>
    <x v="1"/>
    <s v="Electronics"/>
    <x v="0"/>
    <x v="4"/>
    <s v="Mobile"/>
    <n v="1"/>
    <n v="3"/>
    <x v="632"/>
    <n v="1"/>
    <x v="1"/>
    <x v="1"/>
    <x v="0"/>
  </r>
  <r>
    <x v="1223"/>
    <s v="C1427"/>
    <d v="2024-02-20T23:00:00"/>
    <n v="47183.62"/>
    <x v="3"/>
    <x v="2"/>
    <s v="Retail"/>
    <x v="0"/>
    <x v="2"/>
    <s v="Mobile"/>
    <n v="0"/>
    <n v="3"/>
    <x v="649"/>
    <n v="1"/>
    <x v="1"/>
    <x v="1"/>
    <x v="0"/>
  </r>
  <r>
    <x v="1224"/>
    <s v="C1127"/>
    <d v="2024-02-21T00:00:00"/>
    <n v="21015.38"/>
    <x v="1"/>
    <x v="3"/>
    <s v="Retail"/>
    <x v="4"/>
    <x v="0"/>
    <s v="Mobile"/>
    <n v="0"/>
    <n v="0"/>
    <x v="318"/>
    <n v="0"/>
    <x v="2"/>
    <x v="1"/>
    <x v="1"/>
  </r>
  <r>
    <x v="1225"/>
    <s v="C1021"/>
    <d v="2024-02-21T01:00:00"/>
    <n v="31944.37"/>
    <x v="2"/>
    <x v="2"/>
    <s v="Entertainment"/>
    <x v="1"/>
    <x v="2"/>
    <s v="Desktop"/>
    <n v="0"/>
    <n v="3"/>
    <x v="709"/>
    <n v="1"/>
    <x v="1"/>
    <x v="1"/>
    <x v="0"/>
  </r>
  <r>
    <x v="1226"/>
    <s v="C1061"/>
    <d v="2024-02-21T02:00:00"/>
    <n v="19909.84"/>
    <x v="1"/>
    <x v="0"/>
    <s v="Travel"/>
    <x v="1"/>
    <x v="0"/>
    <s v="Mobile"/>
    <n v="0"/>
    <n v="4"/>
    <x v="176"/>
    <n v="1"/>
    <x v="1"/>
    <x v="1"/>
    <x v="0"/>
  </r>
  <r>
    <x v="1227"/>
    <s v="C1252"/>
    <d v="2024-02-21T03:00:00"/>
    <n v="13747.05"/>
    <x v="0"/>
    <x v="1"/>
    <s v="Electronics"/>
    <x v="1"/>
    <x v="2"/>
    <s v="Mobile"/>
    <n v="0"/>
    <n v="3"/>
    <x v="292"/>
    <n v="1"/>
    <x v="0"/>
    <x v="1"/>
    <x v="0"/>
  </r>
  <r>
    <x v="1228"/>
    <s v="C1329"/>
    <d v="2024-02-21T04:00:00"/>
    <n v="49199.68"/>
    <x v="2"/>
    <x v="3"/>
    <s v="Electronics"/>
    <x v="1"/>
    <x v="0"/>
    <s v="Mobile"/>
    <n v="1"/>
    <n v="4"/>
    <x v="725"/>
    <n v="1"/>
    <x v="1"/>
    <x v="1"/>
    <x v="0"/>
  </r>
  <r>
    <x v="1229"/>
    <s v="C1472"/>
    <d v="2024-02-21T05:00:00"/>
    <n v="20496.23"/>
    <x v="2"/>
    <x v="1"/>
    <s v="Retail"/>
    <x v="1"/>
    <x v="2"/>
    <s v="Mobile"/>
    <n v="0"/>
    <n v="4"/>
    <x v="592"/>
    <n v="1"/>
    <x v="1"/>
    <x v="1"/>
    <x v="0"/>
  </r>
  <r>
    <x v="1230"/>
    <s v="C1055"/>
    <d v="2024-02-21T06:00:00"/>
    <n v="44710.26"/>
    <x v="0"/>
    <x v="1"/>
    <s v="Entertainment"/>
    <x v="2"/>
    <x v="1"/>
    <s v="Desktop"/>
    <n v="0"/>
    <n v="0"/>
    <x v="602"/>
    <n v="1"/>
    <x v="0"/>
    <x v="1"/>
    <x v="0"/>
  </r>
  <r>
    <x v="1231"/>
    <s v="C1145"/>
    <d v="2024-02-21T07:00:00"/>
    <n v="11536.23"/>
    <x v="0"/>
    <x v="3"/>
    <s v="Retail"/>
    <x v="0"/>
    <x v="2"/>
    <s v="Tablet"/>
    <n v="0"/>
    <n v="0"/>
    <x v="726"/>
    <n v="0"/>
    <x v="2"/>
    <x v="1"/>
    <x v="1"/>
  </r>
  <r>
    <x v="1232"/>
    <s v="C1079"/>
    <d v="2024-02-21T08:00:00"/>
    <n v="10694.58"/>
    <x v="1"/>
    <x v="1"/>
    <s v="Retail"/>
    <x v="2"/>
    <x v="1"/>
    <s v="Tablet"/>
    <n v="0"/>
    <n v="3"/>
    <x v="727"/>
    <n v="1"/>
    <x v="0"/>
    <x v="1"/>
    <x v="0"/>
  </r>
  <r>
    <x v="1233"/>
    <s v="C1273"/>
    <d v="2024-02-21T09:00:00"/>
    <n v="1605.15"/>
    <x v="1"/>
    <x v="1"/>
    <s v="Entertainment"/>
    <x v="4"/>
    <x v="1"/>
    <s v="Tablet"/>
    <n v="0"/>
    <n v="0"/>
    <x v="728"/>
    <n v="0"/>
    <x v="2"/>
    <x v="1"/>
    <x v="1"/>
  </r>
  <r>
    <x v="1234"/>
    <s v="C1484"/>
    <d v="2024-02-21T10:00:00"/>
    <n v="32600.76"/>
    <x v="0"/>
    <x v="2"/>
    <s v="Travel"/>
    <x v="3"/>
    <x v="4"/>
    <s v="Tablet"/>
    <n v="0"/>
    <n v="0"/>
    <x v="224"/>
    <n v="0"/>
    <x v="2"/>
    <x v="1"/>
    <x v="1"/>
  </r>
  <r>
    <x v="1235"/>
    <s v="C1309"/>
    <d v="2024-02-21T11:00:00"/>
    <n v="18457.89"/>
    <x v="1"/>
    <x v="1"/>
    <s v="Electronics"/>
    <x v="0"/>
    <x v="1"/>
    <s v="Mobile"/>
    <n v="0"/>
    <n v="2"/>
    <x v="488"/>
    <n v="1"/>
    <x v="0"/>
    <x v="1"/>
    <x v="0"/>
  </r>
  <r>
    <x v="1236"/>
    <s v="C1311"/>
    <d v="2024-02-21T12:00:00"/>
    <n v="43224.69"/>
    <x v="0"/>
    <x v="1"/>
    <s v="Travel"/>
    <x v="4"/>
    <x v="3"/>
    <s v="Tablet"/>
    <n v="0"/>
    <n v="3"/>
    <x v="729"/>
    <n v="1"/>
    <x v="1"/>
    <x v="1"/>
    <x v="0"/>
  </r>
  <r>
    <x v="1237"/>
    <s v="C1377"/>
    <d v="2024-02-21T13:00:00"/>
    <n v="23686.83"/>
    <x v="2"/>
    <x v="1"/>
    <s v="Food"/>
    <x v="2"/>
    <x v="1"/>
    <s v="Tablet"/>
    <n v="0"/>
    <n v="3"/>
    <x v="201"/>
    <n v="1"/>
    <x v="0"/>
    <x v="1"/>
    <x v="0"/>
  </r>
  <r>
    <x v="1238"/>
    <s v="C1153"/>
    <d v="2024-02-21T14:00:00"/>
    <n v="48411.26"/>
    <x v="2"/>
    <x v="1"/>
    <s v="Food"/>
    <x v="3"/>
    <x v="2"/>
    <s v="Desktop"/>
    <n v="1"/>
    <n v="3"/>
    <x v="730"/>
    <n v="1"/>
    <x v="1"/>
    <x v="1"/>
    <x v="0"/>
  </r>
  <r>
    <x v="1239"/>
    <s v="C1324"/>
    <d v="2024-02-21T15:00:00"/>
    <n v="9317"/>
    <x v="3"/>
    <x v="3"/>
    <s v="Food"/>
    <x v="4"/>
    <x v="1"/>
    <s v="Desktop"/>
    <n v="0"/>
    <n v="0"/>
    <x v="731"/>
    <n v="0"/>
    <x v="2"/>
    <x v="1"/>
    <x v="1"/>
  </r>
  <r>
    <x v="1240"/>
    <s v="C1305"/>
    <d v="2024-02-21T16:00:00"/>
    <n v="43437.73"/>
    <x v="2"/>
    <x v="0"/>
    <s v="Entertainment"/>
    <x v="3"/>
    <x v="2"/>
    <s v="Desktop"/>
    <n v="0"/>
    <n v="0"/>
    <x v="732"/>
    <n v="1"/>
    <x v="0"/>
    <x v="1"/>
    <x v="0"/>
  </r>
  <r>
    <x v="1241"/>
    <s v="C1431"/>
    <d v="2024-02-21T17:00:00"/>
    <n v="38841.01"/>
    <x v="0"/>
    <x v="2"/>
    <s v="Retail"/>
    <x v="4"/>
    <x v="2"/>
    <s v="Mobile"/>
    <n v="0"/>
    <n v="4"/>
    <x v="582"/>
    <n v="1"/>
    <x v="1"/>
    <x v="1"/>
    <x v="0"/>
  </r>
  <r>
    <x v="1242"/>
    <s v="C1368"/>
    <d v="2024-02-21T18:00:00"/>
    <n v="38557.550000000003"/>
    <x v="1"/>
    <x v="1"/>
    <s v="Travel"/>
    <x v="2"/>
    <x v="3"/>
    <s v="Mobile"/>
    <n v="0"/>
    <n v="1"/>
    <x v="507"/>
    <n v="1"/>
    <x v="0"/>
    <x v="1"/>
    <x v="0"/>
  </r>
  <r>
    <x v="1243"/>
    <s v="C1402"/>
    <d v="2024-02-21T19:00:00"/>
    <n v="42246.92"/>
    <x v="3"/>
    <x v="1"/>
    <s v="Electronics"/>
    <x v="3"/>
    <x v="1"/>
    <s v="Mobile"/>
    <n v="0"/>
    <n v="1"/>
    <x v="650"/>
    <n v="1"/>
    <x v="0"/>
    <x v="1"/>
    <x v="0"/>
  </r>
  <r>
    <x v="1244"/>
    <s v="C1497"/>
    <d v="2024-02-21T20:00:00"/>
    <n v="38063.15"/>
    <x v="1"/>
    <x v="3"/>
    <s v="Food"/>
    <x v="4"/>
    <x v="1"/>
    <s v="Desktop"/>
    <n v="1"/>
    <n v="1"/>
    <x v="43"/>
    <n v="1"/>
    <x v="0"/>
    <x v="1"/>
    <x v="0"/>
  </r>
  <r>
    <x v="1245"/>
    <s v="C1251"/>
    <d v="2024-02-21T21:00:00"/>
    <n v="31329.71"/>
    <x v="0"/>
    <x v="0"/>
    <s v="Travel"/>
    <x v="2"/>
    <x v="0"/>
    <s v="Tablet"/>
    <n v="0"/>
    <n v="2"/>
    <x v="92"/>
    <n v="1"/>
    <x v="0"/>
    <x v="1"/>
    <x v="0"/>
  </r>
  <r>
    <x v="1246"/>
    <s v="C1327"/>
    <d v="2024-02-21T22:00:00"/>
    <n v="6605.68"/>
    <x v="2"/>
    <x v="1"/>
    <s v="Food"/>
    <x v="0"/>
    <x v="0"/>
    <s v="Desktop"/>
    <n v="0"/>
    <n v="0"/>
    <x v="733"/>
    <n v="0"/>
    <x v="2"/>
    <x v="1"/>
    <x v="1"/>
  </r>
  <r>
    <x v="1247"/>
    <s v="C1433"/>
    <d v="2024-02-21T23:00:00"/>
    <n v="1674.68"/>
    <x v="3"/>
    <x v="3"/>
    <s v="Food"/>
    <x v="2"/>
    <x v="4"/>
    <s v="Mobile"/>
    <n v="0"/>
    <n v="4"/>
    <x v="106"/>
    <n v="1"/>
    <x v="0"/>
    <x v="1"/>
    <x v="0"/>
  </r>
  <r>
    <x v="1248"/>
    <s v="C1151"/>
    <d v="2024-02-22T00:00:00"/>
    <n v="46046.35"/>
    <x v="0"/>
    <x v="2"/>
    <s v="Electronics"/>
    <x v="2"/>
    <x v="2"/>
    <s v="Desktop"/>
    <n v="0"/>
    <n v="4"/>
    <x v="564"/>
    <n v="1"/>
    <x v="1"/>
    <x v="1"/>
    <x v="0"/>
  </r>
  <r>
    <x v="1249"/>
    <s v="C1235"/>
    <d v="2024-02-22T01:00:00"/>
    <n v="30851.68"/>
    <x v="3"/>
    <x v="2"/>
    <s v="Entertainment"/>
    <x v="0"/>
    <x v="3"/>
    <s v="Tablet"/>
    <n v="0"/>
    <n v="1"/>
    <x v="702"/>
    <n v="1"/>
    <x v="0"/>
    <x v="1"/>
    <x v="0"/>
  </r>
  <r>
    <x v="1250"/>
    <s v="C1192"/>
    <d v="2024-02-22T02:00:00"/>
    <n v="39837.040000000001"/>
    <x v="3"/>
    <x v="1"/>
    <s v="Retail"/>
    <x v="2"/>
    <x v="0"/>
    <s v="Mobile"/>
    <n v="1"/>
    <n v="2"/>
    <x v="734"/>
    <n v="1"/>
    <x v="1"/>
    <x v="1"/>
    <x v="0"/>
  </r>
  <r>
    <x v="1251"/>
    <s v="C1090"/>
    <d v="2024-02-22T03:00:00"/>
    <n v="24102.04"/>
    <x v="2"/>
    <x v="1"/>
    <s v="Entertainment"/>
    <x v="0"/>
    <x v="1"/>
    <s v="Tablet"/>
    <n v="0"/>
    <n v="2"/>
    <x v="455"/>
    <n v="1"/>
    <x v="0"/>
    <x v="1"/>
    <x v="0"/>
  </r>
  <r>
    <x v="1252"/>
    <s v="C1207"/>
    <d v="2024-02-22T04:00:00"/>
    <n v="5909.54"/>
    <x v="0"/>
    <x v="0"/>
    <s v="Travel"/>
    <x v="0"/>
    <x v="4"/>
    <s v="Tablet"/>
    <n v="0"/>
    <n v="1"/>
    <x v="735"/>
    <n v="0"/>
    <x v="2"/>
    <x v="1"/>
    <x v="1"/>
  </r>
  <r>
    <x v="1253"/>
    <s v="C1399"/>
    <d v="2024-02-22T05:00:00"/>
    <n v="6303.03"/>
    <x v="1"/>
    <x v="0"/>
    <s v="Entertainment"/>
    <x v="0"/>
    <x v="3"/>
    <s v="Mobile"/>
    <n v="0"/>
    <n v="1"/>
    <x v="614"/>
    <n v="0"/>
    <x v="2"/>
    <x v="1"/>
    <x v="1"/>
  </r>
  <r>
    <x v="1254"/>
    <s v="C1438"/>
    <d v="2024-02-22T06:00:00"/>
    <n v="34293.99"/>
    <x v="3"/>
    <x v="1"/>
    <s v="Travel"/>
    <x v="4"/>
    <x v="1"/>
    <s v="Tablet"/>
    <n v="0"/>
    <n v="0"/>
    <x v="47"/>
    <n v="0"/>
    <x v="2"/>
    <x v="1"/>
    <x v="1"/>
  </r>
  <r>
    <x v="1255"/>
    <s v="C1203"/>
    <d v="2024-02-22T07:00:00"/>
    <n v="21543.78"/>
    <x v="3"/>
    <x v="3"/>
    <s v="Travel"/>
    <x v="3"/>
    <x v="1"/>
    <s v="Desktop"/>
    <n v="0"/>
    <n v="2"/>
    <x v="419"/>
    <n v="1"/>
    <x v="0"/>
    <x v="1"/>
    <x v="0"/>
  </r>
  <r>
    <x v="1256"/>
    <s v="C1384"/>
    <d v="2024-02-22T08:00:00"/>
    <n v="10066.209999999999"/>
    <x v="1"/>
    <x v="0"/>
    <s v="Retail"/>
    <x v="4"/>
    <x v="2"/>
    <s v="Tablet"/>
    <n v="0"/>
    <n v="4"/>
    <x v="242"/>
    <n v="1"/>
    <x v="1"/>
    <x v="1"/>
    <x v="0"/>
  </r>
  <r>
    <x v="1257"/>
    <s v="C1126"/>
    <d v="2024-02-22T09:00:00"/>
    <n v="24605.15"/>
    <x v="0"/>
    <x v="1"/>
    <s v="Electronics"/>
    <x v="0"/>
    <x v="2"/>
    <s v="Tablet"/>
    <n v="0"/>
    <n v="1"/>
    <x v="736"/>
    <n v="0"/>
    <x v="2"/>
    <x v="1"/>
    <x v="1"/>
  </r>
  <r>
    <x v="1258"/>
    <s v="C1031"/>
    <d v="2024-02-22T10:00:00"/>
    <n v="3257.24"/>
    <x v="3"/>
    <x v="0"/>
    <s v="Retail"/>
    <x v="3"/>
    <x v="0"/>
    <s v="Tablet"/>
    <n v="1"/>
    <n v="0"/>
    <x v="514"/>
    <n v="0"/>
    <x v="2"/>
    <x v="1"/>
    <x v="1"/>
  </r>
  <r>
    <x v="1259"/>
    <s v="C1360"/>
    <d v="2024-02-22T11:00:00"/>
    <n v="29119.47"/>
    <x v="3"/>
    <x v="1"/>
    <s v="Entertainment"/>
    <x v="3"/>
    <x v="0"/>
    <s v="Desktop"/>
    <n v="0"/>
    <n v="4"/>
    <x v="712"/>
    <n v="1"/>
    <x v="1"/>
    <x v="1"/>
    <x v="0"/>
  </r>
  <r>
    <x v="1260"/>
    <s v="C1382"/>
    <d v="2024-02-22T12:00:00"/>
    <n v="13486.22"/>
    <x v="3"/>
    <x v="2"/>
    <s v="Travel"/>
    <x v="0"/>
    <x v="1"/>
    <s v="Tablet"/>
    <n v="0"/>
    <n v="2"/>
    <x v="445"/>
    <n v="1"/>
    <x v="0"/>
    <x v="1"/>
    <x v="0"/>
  </r>
  <r>
    <x v="1261"/>
    <s v="C1444"/>
    <d v="2024-02-22T13:00:00"/>
    <n v="39888.080000000002"/>
    <x v="0"/>
    <x v="1"/>
    <s v="Food"/>
    <x v="3"/>
    <x v="1"/>
    <s v="Tablet"/>
    <n v="0"/>
    <n v="1"/>
    <x v="35"/>
    <n v="1"/>
    <x v="0"/>
    <x v="1"/>
    <x v="0"/>
  </r>
  <r>
    <x v="1262"/>
    <s v="C1064"/>
    <d v="2024-02-22T14:00:00"/>
    <n v="15552.58"/>
    <x v="0"/>
    <x v="2"/>
    <s v="Food"/>
    <x v="3"/>
    <x v="0"/>
    <s v="Desktop"/>
    <n v="0"/>
    <n v="1"/>
    <x v="20"/>
    <n v="0"/>
    <x v="2"/>
    <x v="1"/>
    <x v="1"/>
  </r>
  <r>
    <x v="1263"/>
    <s v="C1287"/>
    <d v="2024-02-22T15:00:00"/>
    <n v="22788.25"/>
    <x v="1"/>
    <x v="0"/>
    <s v="Travel"/>
    <x v="4"/>
    <x v="0"/>
    <s v="Mobile"/>
    <n v="1"/>
    <n v="0"/>
    <x v="737"/>
    <n v="1"/>
    <x v="0"/>
    <x v="1"/>
    <x v="0"/>
  </r>
  <r>
    <x v="1264"/>
    <s v="C1193"/>
    <d v="2024-02-22T16:00:00"/>
    <n v="630.45000000000005"/>
    <x v="0"/>
    <x v="1"/>
    <s v="Retail"/>
    <x v="3"/>
    <x v="1"/>
    <s v="Mobile"/>
    <n v="0"/>
    <n v="0"/>
    <x v="466"/>
    <n v="0"/>
    <x v="2"/>
    <x v="1"/>
    <x v="1"/>
  </r>
  <r>
    <x v="1265"/>
    <s v="C1104"/>
    <d v="2024-02-22T17:00:00"/>
    <n v="3668.72"/>
    <x v="0"/>
    <x v="0"/>
    <s v="Electronics"/>
    <x v="0"/>
    <x v="3"/>
    <s v="Mobile"/>
    <n v="0"/>
    <n v="2"/>
    <x v="374"/>
    <n v="0"/>
    <x v="2"/>
    <x v="1"/>
    <x v="1"/>
  </r>
  <r>
    <x v="1266"/>
    <s v="C1438"/>
    <d v="2024-02-22T18:00:00"/>
    <n v="19655.05"/>
    <x v="2"/>
    <x v="2"/>
    <s v="Retail"/>
    <x v="1"/>
    <x v="1"/>
    <s v="Tablet"/>
    <n v="0"/>
    <n v="1"/>
    <x v="197"/>
    <n v="0"/>
    <x v="2"/>
    <x v="1"/>
    <x v="1"/>
  </r>
  <r>
    <x v="1267"/>
    <s v="C1290"/>
    <d v="2024-02-22T19:00:00"/>
    <n v="24022.94"/>
    <x v="1"/>
    <x v="1"/>
    <s v="Travel"/>
    <x v="1"/>
    <x v="3"/>
    <s v="Mobile"/>
    <n v="0"/>
    <n v="0"/>
    <x v="597"/>
    <n v="0"/>
    <x v="2"/>
    <x v="1"/>
    <x v="1"/>
  </r>
  <r>
    <x v="1268"/>
    <s v="C1387"/>
    <d v="2024-02-22T20:00:00"/>
    <n v="30021.03"/>
    <x v="3"/>
    <x v="0"/>
    <s v="Travel"/>
    <x v="1"/>
    <x v="3"/>
    <s v="Desktop"/>
    <n v="0"/>
    <n v="1"/>
    <x v="3"/>
    <n v="1"/>
    <x v="0"/>
    <x v="1"/>
    <x v="0"/>
  </r>
  <r>
    <x v="1269"/>
    <s v="C1290"/>
    <d v="2024-02-22T21:00:00"/>
    <n v="14618.55"/>
    <x v="0"/>
    <x v="2"/>
    <s v="Electronics"/>
    <x v="0"/>
    <x v="1"/>
    <s v="Tablet"/>
    <n v="0"/>
    <n v="2"/>
    <x v="154"/>
    <n v="1"/>
    <x v="0"/>
    <x v="1"/>
    <x v="0"/>
  </r>
  <r>
    <x v="1270"/>
    <s v="C1499"/>
    <d v="2024-02-22T22:00:00"/>
    <n v="34764.35"/>
    <x v="3"/>
    <x v="0"/>
    <s v="Entertainment"/>
    <x v="1"/>
    <x v="4"/>
    <s v="Tablet"/>
    <n v="0"/>
    <n v="1"/>
    <x v="55"/>
    <n v="0"/>
    <x v="2"/>
    <x v="1"/>
    <x v="1"/>
  </r>
  <r>
    <x v="1271"/>
    <s v="C1129"/>
    <d v="2024-02-22T23:00:00"/>
    <n v="43013.11"/>
    <x v="3"/>
    <x v="3"/>
    <s v="Entertainment"/>
    <x v="4"/>
    <x v="0"/>
    <s v="Tablet"/>
    <n v="1"/>
    <n v="4"/>
    <x v="738"/>
    <n v="1"/>
    <x v="1"/>
    <x v="1"/>
    <x v="0"/>
  </r>
  <r>
    <x v="1272"/>
    <s v="C1283"/>
    <d v="2024-02-23T00:00:00"/>
    <n v="39003.56"/>
    <x v="2"/>
    <x v="2"/>
    <s v="Electronics"/>
    <x v="0"/>
    <x v="2"/>
    <s v="Mobile"/>
    <n v="0"/>
    <n v="1"/>
    <x v="739"/>
    <n v="1"/>
    <x v="0"/>
    <x v="1"/>
    <x v="0"/>
  </r>
  <r>
    <x v="1273"/>
    <s v="C1174"/>
    <d v="2024-02-23T01:00:00"/>
    <n v="2028.96"/>
    <x v="0"/>
    <x v="2"/>
    <s v="Entertainment"/>
    <x v="0"/>
    <x v="1"/>
    <s v="Mobile"/>
    <n v="1"/>
    <n v="3"/>
    <x v="21"/>
    <n v="1"/>
    <x v="0"/>
    <x v="1"/>
    <x v="0"/>
  </r>
  <r>
    <x v="1274"/>
    <s v="C1159"/>
    <d v="2024-02-23T02:00:00"/>
    <n v="24051.32"/>
    <x v="1"/>
    <x v="2"/>
    <s v="Food"/>
    <x v="0"/>
    <x v="3"/>
    <s v="Mobile"/>
    <n v="0"/>
    <n v="3"/>
    <x v="406"/>
    <n v="1"/>
    <x v="0"/>
    <x v="1"/>
    <x v="0"/>
  </r>
  <r>
    <x v="1275"/>
    <s v="C1298"/>
    <d v="2024-02-23T03:00:00"/>
    <n v="5291.26"/>
    <x v="0"/>
    <x v="1"/>
    <s v="Entertainment"/>
    <x v="3"/>
    <x v="1"/>
    <s v="Tablet"/>
    <n v="0"/>
    <n v="2"/>
    <x v="740"/>
    <n v="0"/>
    <x v="2"/>
    <x v="1"/>
    <x v="1"/>
  </r>
  <r>
    <x v="1276"/>
    <s v="C1428"/>
    <d v="2024-02-23T04:00:00"/>
    <n v="12140.15"/>
    <x v="3"/>
    <x v="1"/>
    <s v="Entertainment"/>
    <x v="3"/>
    <x v="0"/>
    <s v="Desktop"/>
    <n v="0"/>
    <n v="2"/>
    <x v="741"/>
    <n v="1"/>
    <x v="0"/>
    <x v="1"/>
    <x v="0"/>
  </r>
  <r>
    <x v="1277"/>
    <s v="C1114"/>
    <d v="2024-02-23T05:00:00"/>
    <n v="49333.8"/>
    <x v="1"/>
    <x v="1"/>
    <s v="Entertainment"/>
    <x v="3"/>
    <x v="3"/>
    <s v="Tablet"/>
    <n v="0"/>
    <n v="2"/>
    <x v="67"/>
    <n v="1"/>
    <x v="0"/>
    <x v="1"/>
    <x v="0"/>
  </r>
  <r>
    <x v="1278"/>
    <s v="C1014"/>
    <d v="2024-02-23T06:00:00"/>
    <n v="7167.65"/>
    <x v="0"/>
    <x v="3"/>
    <s v="Food"/>
    <x v="2"/>
    <x v="2"/>
    <s v="Desktop"/>
    <n v="1"/>
    <n v="4"/>
    <x v="591"/>
    <n v="1"/>
    <x v="1"/>
    <x v="1"/>
    <x v="0"/>
  </r>
  <r>
    <x v="1279"/>
    <s v="C1295"/>
    <d v="2024-02-23T07:00:00"/>
    <n v="24969.46"/>
    <x v="3"/>
    <x v="3"/>
    <s v="Entertainment"/>
    <x v="4"/>
    <x v="2"/>
    <s v="Tablet"/>
    <n v="0"/>
    <n v="4"/>
    <x v="742"/>
    <n v="1"/>
    <x v="1"/>
    <x v="1"/>
    <x v="0"/>
  </r>
  <r>
    <x v="1280"/>
    <s v="C1460"/>
    <d v="2024-02-23T08:00:00"/>
    <n v="30926.880000000001"/>
    <x v="3"/>
    <x v="2"/>
    <s v="Food"/>
    <x v="0"/>
    <x v="2"/>
    <s v="Desktop"/>
    <n v="0"/>
    <n v="1"/>
    <x v="702"/>
    <n v="1"/>
    <x v="0"/>
    <x v="1"/>
    <x v="0"/>
  </r>
  <r>
    <x v="1281"/>
    <s v="C1333"/>
    <d v="2024-02-23T09:00:00"/>
    <n v="35138.129999999997"/>
    <x v="2"/>
    <x v="3"/>
    <s v="Electronics"/>
    <x v="0"/>
    <x v="4"/>
    <s v="Tablet"/>
    <n v="0"/>
    <n v="0"/>
    <x v="541"/>
    <n v="0"/>
    <x v="2"/>
    <x v="1"/>
    <x v="1"/>
  </r>
  <r>
    <x v="1282"/>
    <s v="C1319"/>
    <d v="2024-02-23T10:00:00"/>
    <n v="28004.45"/>
    <x v="2"/>
    <x v="0"/>
    <s v="Retail"/>
    <x v="3"/>
    <x v="3"/>
    <s v="Tablet"/>
    <n v="0"/>
    <n v="3"/>
    <x v="595"/>
    <n v="1"/>
    <x v="0"/>
    <x v="1"/>
    <x v="0"/>
  </r>
  <r>
    <x v="1283"/>
    <s v="C1006"/>
    <d v="2024-02-23T11:00:00"/>
    <n v="538.04999999999995"/>
    <x v="2"/>
    <x v="2"/>
    <s v="Electronics"/>
    <x v="0"/>
    <x v="3"/>
    <s v="Desktop"/>
    <n v="1"/>
    <n v="3"/>
    <x v="114"/>
    <n v="1"/>
    <x v="0"/>
    <x v="1"/>
    <x v="0"/>
  </r>
  <r>
    <x v="1284"/>
    <s v="C1350"/>
    <d v="2024-02-23T12:00:00"/>
    <n v="16356.74"/>
    <x v="3"/>
    <x v="2"/>
    <s v="Retail"/>
    <x v="0"/>
    <x v="4"/>
    <s v="Desktop"/>
    <n v="0"/>
    <n v="3"/>
    <x v="743"/>
    <n v="1"/>
    <x v="0"/>
    <x v="1"/>
    <x v="0"/>
  </r>
  <r>
    <x v="1285"/>
    <s v="C1051"/>
    <d v="2024-02-23T13:00:00"/>
    <n v="25909.7"/>
    <x v="0"/>
    <x v="0"/>
    <s v="Electronics"/>
    <x v="1"/>
    <x v="3"/>
    <s v="Desktop"/>
    <n v="0"/>
    <n v="1"/>
    <x v="397"/>
    <n v="1"/>
    <x v="0"/>
    <x v="1"/>
    <x v="0"/>
  </r>
  <r>
    <x v="1286"/>
    <s v="C1294"/>
    <d v="2024-02-23T14:00:00"/>
    <n v="4438.93"/>
    <x v="2"/>
    <x v="2"/>
    <s v="Retail"/>
    <x v="0"/>
    <x v="4"/>
    <s v="Desktop"/>
    <n v="0"/>
    <n v="1"/>
    <x v="744"/>
    <n v="0"/>
    <x v="2"/>
    <x v="1"/>
    <x v="1"/>
  </r>
  <r>
    <x v="1287"/>
    <s v="C1482"/>
    <d v="2024-02-23T15:00:00"/>
    <n v="17563.82"/>
    <x v="0"/>
    <x v="3"/>
    <s v="Retail"/>
    <x v="2"/>
    <x v="1"/>
    <s v="Desktop"/>
    <n v="0"/>
    <n v="2"/>
    <x v="260"/>
    <n v="1"/>
    <x v="0"/>
    <x v="1"/>
    <x v="0"/>
  </r>
  <r>
    <x v="1288"/>
    <s v="C1280"/>
    <d v="2024-02-23T16:00:00"/>
    <n v="1708.5"/>
    <x v="2"/>
    <x v="1"/>
    <s v="Travel"/>
    <x v="3"/>
    <x v="0"/>
    <s v="Desktop"/>
    <n v="0"/>
    <n v="0"/>
    <x v="745"/>
    <n v="0"/>
    <x v="2"/>
    <x v="1"/>
    <x v="1"/>
  </r>
  <r>
    <x v="1289"/>
    <s v="C1251"/>
    <d v="2024-02-23T17:00:00"/>
    <n v="3975"/>
    <x v="1"/>
    <x v="0"/>
    <s v="Retail"/>
    <x v="4"/>
    <x v="2"/>
    <s v="Desktop"/>
    <n v="0"/>
    <n v="2"/>
    <x v="446"/>
    <n v="0"/>
    <x v="2"/>
    <x v="1"/>
    <x v="1"/>
  </r>
  <r>
    <x v="1290"/>
    <s v="C1313"/>
    <d v="2024-02-23T18:00:00"/>
    <n v="19876.32"/>
    <x v="1"/>
    <x v="3"/>
    <s v="Retail"/>
    <x v="4"/>
    <x v="4"/>
    <s v="Desktop"/>
    <n v="0"/>
    <n v="1"/>
    <x v="746"/>
    <n v="0"/>
    <x v="2"/>
    <x v="1"/>
    <x v="1"/>
  </r>
  <r>
    <x v="1291"/>
    <s v="C1444"/>
    <d v="2024-02-23T19:00:00"/>
    <n v="6679.15"/>
    <x v="2"/>
    <x v="0"/>
    <s v="Travel"/>
    <x v="1"/>
    <x v="4"/>
    <s v="Tablet"/>
    <n v="0"/>
    <n v="4"/>
    <x v="499"/>
    <n v="1"/>
    <x v="0"/>
    <x v="1"/>
    <x v="0"/>
  </r>
  <r>
    <x v="1292"/>
    <s v="C1334"/>
    <d v="2024-02-23T20:00:00"/>
    <n v="28398.67"/>
    <x v="3"/>
    <x v="0"/>
    <s v="Entertainment"/>
    <x v="4"/>
    <x v="4"/>
    <s v="Desktop"/>
    <n v="0"/>
    <n v="2"/>
    <x v="196"/>
    <n v="1"/>
    <x v="0"/>
    <x v="1"/>
    <x v="0"/>
  </r>
  <r>
    <x v="1293"/>
    <s v="C1268"/>
    <d v="2024-02-23T21:00:00"/>
    <n v="34488.78"/>
    <x v="2"/>
    <x v="2"/>
    <s v="Entertainment"/>
    <x v="4"/>
    <x v="1"/>
    <s v="Desktop"/>
    <n v="0"/>
    <n v="1"/>
    <x v="448"/>
    <n v="0"/>
    <x v="2"/>
    <x v="1"/>
    <x v="1"/>
  </r>
  <r>
    <x v="1294"/>
    <s v="C1153"/>
    <d v="2024-02-23T22:00:00"/>
    <n v="40039.31"/>
    <x v="2"/>
    <x v="2"/>
    <s v="Travel"/>
    <x v="3"/>
    <x v="4"/>
    <s v="Tablet"/>
    <n v="0"/>
    <n v="1"/>
    <x v="747"/>
    <n v="1"/>
    <x v="0"/>
    <x v="1"/>
    <x v="0"/>
  </r>
  <r>
    <x v="1295"/>
    <s v="C1083"/>
    <d v="2024-02-23T23:00:00"/>
    <n v="10047.5"/>
    <x v="3"/>
    <x v="3"/>
    <s v="Food"/>
    <x v="3"/>
    <x v="0"/>
    <s v="Tablet"/>
    <n v="0"/>
    <n v="4"/>
    <x v="559"/>
    <n v="1"/>
    <x v="0"/>
    <x v="1"/>
    <x v="0"/>
  </r>
  <r>
    <x v="1296"/>
    <s v="C1099"/>
    <d v="2024-02-24T00:00:00"/>
    <n v="8415.75"/>
    <x v="1"/>
    <x v="0"/>
    <s v="Retail"/>
    <x v="2"/>
    <x v="0"/>
    <s v="Mobile"/>
    <n v="1"/>
    <n v="4"/>
    <x v="646"/>
    <n v="1"/>
    <x v="1"/>
    <x v="1"/>
    <x v="0"/>
  </r>
  <r>
    <x v="1297"/>
    <s v="C1357"/>
    <d v="2024-02-24T01:00:00"/>
    <n v="5273.16"/>
    <x v="0"/>
    <x v="2"/>
    <s v="Retail"/>
    <x v="1"/>
    <x v="2"/>
    <s v="Mobile"/>
    <n v="0"/>
    <n v="4"/>
    <x v="311"/>
    <n v="1"/>
    <x v="0"/>
    <x v="1"/>
    <x v="0"/>
  </r>
  <r>
    <x v="1298"/>
    <s v="C1259"/>
    <d v="2024-02-24T02:00:00"/>
    <n v="31839.69"/>
    <x v="2"/>
    <x v="2"/>
    <s v="Travel"/>
    <x v="4"/>
    <x v="1"/>
    <s v="Desktop"/>
    <n v="1"/>
    <n v="0"/>
    <x v="748"/>
    <n v="1"/>
    <x v="0"/>
    <x v="1"/>
    <x v="0"/>
  </r>
  <r>
    <x v="1299"/>
    <s v="C1499"/>
    <d v="2024-02-24T03:00:00"/>
    <n v="35338.46"/>
    <x v="3"/>
    <x v="0"/>
    <s v="Travel"/>
    <x v="2"/>
    <x v="0"/>
    <s v="Desktop"/>
    <n v="0"/>
    <n v="1"/>
    <x v="645"/>
    <n v="1"/>
    <x v="0"/>
    <x v="1"/>
    <x v="0"/>
  </r>
  <r>
    <x v="1300"/>
    <s v="C1105"/>
    <d v="2024-02-24T04:00:00"/>
    <n v="1627.73"/>
    <x v="2"/>
    <x v="3"/>
    <s v="Food"/>
    <x v="1"/>
    <x v="3"/>
    <s v="Mobile"/>
    <n v="0"/>
    <n v="4"/>
    <x v="703"/>
    <n v="1"/>
    <x v="0"/>
    <x v="1"/>
    <x v="0"/>
  </r>
  <r>
    <x v="1301"/>
    <s v="C1347"/>
    <d v="2024-02-24T05:00:00"/>
    <n v="46813.8"/>
    <x v="3"/>
    <x v="3"/>
    <s v="Entertainment"/>
    <x v="4"/>
    <x v="3"/>
    <s v="Mobile"/>
    <n v="0"/>
    <n v="0"/>
    <x v="95"/>
    <n v="1"/>
    <x v="0"/>
    <x v="1"/>
    <x v="0"/>
  </r>
  <r>
    <x v="1302"/>
    <s v="C1146"/>
    <d v="2024-02-24T06:00:00"/>
    <n v="2645.97"/>
    <x v="0"/>
    <x v="0"/>
    <s v="Electronics"/>
    <x v="4"/>
    <x v="3"/>
    <s v="Desktop"/>
    <n v="0"/>
    <n v="3"/>
    <x v="260"/>
    <n v="1"/>
    <x v="0"/>
    <x v="1"/>
    <x v="0"/>
  </r>
  <r>
    <x v="1303"/>
    <s v="C1378"/>
    <d v="2024-02-24T07:00:00"/>
    <n v="27087.75"/>
    <x v="0"/>
    <x v="3"/>
    <s v="Entertainment"/>
    <x v="3"/>
    <x v="4"/>
    <s v="Mobile"/>
    <n v="0"/>
    <n v="3"/>
    <x v="749"/>
    <n v="1"/>
    <x v="1"/>
    <x v="1"/>
    <x v="0"/>
  </r>
  <r>
    <x v="1304"/>
    <s v="C1346"/>
    <d v="2024-02-24T08:00:00"/>
    <n v="35467.57"/>
    <x v="1"/>
    <x v="2"/>
    <s v="Retail"/>
    <x v="0"/>
    <x v="4"/>
    <s v="Desktop"/>
    <n v="1"/>
    <n v="3"/>
    <x v="238"/>
    <n v="1"/>
    <x v="1"/>
    <x v="1"/>
    <x v="0"/>
  </r>
  <r>
    <x v="1305"/>
    <s v="C1217"/>
    <d v="2024-02-24T09:00:00"/>
    <n v="43554.91"/>
    <x v="3"/>
    <x v="0"/>
    <s v="Travel"/>
    <x v="1"/>
    <x v="3"/>
    <s v="Tablet"/>
    <n v="0"/>
    <n v="1"/>
    <x v="493"/>
    <n v="1"/>
    <x v="0"/>
    <x v="1"/>
    <x v="0"/>
  </r>
  <r>
    <x v="1306"/>
    <s v="C1373"/>
    <d v="2024-02-24T10:00:00"/>
    <n v="35718.639999999999"/>
    <x v="3"/>
    <x v="2"/>
    <s v="Food"/>
    <x v="4"/>
    <x v="2"/>
    <s v="Tablet"/>
    <n v="0"/>
    <n v="0"/>
    <x v="166"/>
    <n v="0"/>
    <x v="2"/>
    <x v="1"/>
    <x v="1"/>
  </r>
  <r>
    <x v="1307"/>
    <s v="C1367"/>
    <d v="2024-02-24T11:00:00"/>
    <n v="40096.32"/>
    <x v="1"/>
    <x v="1"/>
    <s v="Entertainment"/>
    <x v="1"/>
    <x v="2"/>
    <s v="Mobile"/>
    <n v="0"/>
    <n v="0"/>
    <x v="750"/>
    <n v="1"/>
    <x v="0"/>
    <x v="1"/>
    <x v="0"/>
  </r>
  <r>
    <x v="1308"/>
    <s v="C1014"/>
    <d v="2024-02-24T12:00:00"/>
    <n v="17005.54"/>
    <x v="1"/>
    <x v="1"/>
    <s v="Food"/>
    <x v="2"/>
    <x v="4"/>
    <s v="Tablet"/>
    <n v="0"/>
    <n v="3"/>
    <x v="213"/>
    <n v="1"/>
    <x v="0"/>
    <x v="1"/>
    <x v="0"/>
  </r>
  <r>
    <x v="1309"/>
    <s v="C1035"/>
    <d v="2024-02-24T13:00:00"/>
    <n v="40750.51"/>
    <x v="3"/>
    <x v="3"/>
    <s v="Entertainment"/>
    <x v="2"/>
    <x v="3"/>
    <s v="Tablet"/>
    <n v="0"/>
    <n v="2"/>
    <x v="70"/>
    <n v="1"/>
    <x v="1"/>
    <x v="1"/>
    <x v="0"/>
  </r>
  <r>
    <x v="1310"/>
    <s v="C1083"/>
    <d v="2024-02-24T14:00:00"/>
    <n v="4051.74"/>
    <x v="1"/>
    <x v="1"/>
    <s v="Retail"/>
    <x v="0"/>
    <x v="2"/>
    <s v="Tablet"/>
    <n v="1"/>
    <n v="3"/>
    <x v="406"/>
    <n v="1"/>
    <x v="0"/>
    <x v="1"/>
    <x v="0"/>
  </r>
  <r>
    <x v="1311"/>
    <s v="C1019"/>
    <d v="2024-02-24T15:00:00"/>
    <n v="44746.09"/>
    <x v="0"/>
    <x v="2"/>
    <s v="Electronics"/>
    <x v="4"/>
    <x v="4"/>
    <s v="Tablet"/>
    <n v="0"/>
    <n v="1"/>
    <x v="207"/>
    <n v="1"/>
    <x v="0"/>
    <x v="1"/>
    <x v="0"/>
  </r>
  <r>
    <x v="1312"/>
    <s v="C1438"/>
    <d v="2024-02-24T16:00:00"/>
    <n v="27402.240000000002"/>
    <x v="2"/>
    <x v="1"/>
    <s v="Food"/>
    <x v="3"/>
    <x v="3"/>
    <s v="Desktop"/>
    <n v="0"/>
    <n v="3"/>
    <x v="28"/>
    <n v="1"/>
    <x v="0"/>
    <x v="1"/>
    <x v="0"/>
  </r>
  <r>
    <x v="1313"/>
    <s v="C1161"/>
    <d v="2024-02-24T17:00:00"/>
    <n v="40874.019999999997"/>
    <x v="0"/>
    <x v="2"/>
    <s v="Food"/>
    <x v="4"/>
    <x v="1"/>
    <s v="Desktop"/>
    <n v="0"/>
    <n v="3"/>
    <x v="751"/>
    <n v="1"/>
    <x v="1"/>
    <x v="1"/>
    <x v="0"/>
  </r>
  <r>
    <x v="1314"/>
    <s v="C1065"/>
    <d v="2024-02-24T18:00:00"/>
    <n v="22643.3"/>
    <x v="1"/>
    <x v="3"/>
    <s v="Electronics"/>
    <x v="1"/>
    <x v="3"/>
    <s v="Mobile"/>
    <n v="1"/>
    <n v="0"/>
    <x v="405"/>
    <n v="1"/>
    <x v="0"/>
    <x v="1"/>
    <x v="0"/>
  </r>
  <r>
    <x v="1315"/>
    <s v="C1288"/>
    <d v="2024-02-24T19:00:00"/>
    <n v="32196.71"/>
    <x v="3"/>
    <x v="3"/>
    <s v="Food"/>
    <x v="2"/>
    <x v="3"/>
    <s v="Tablet"/>
    <n v="1"/>
    <n v="3"/>
    <x v="752"/>
    <n v="1"/>
    <x v="1"/>
    <x v="1"/>
    <x v="0"/>
  </r>
  <r>
    <x v="1316"/>
    <s v="C1415"/>
    <d v="2024-02-24T20:00:00"/>
    <n v="26343.81"/>
    <x v="3"/>
    <x v="2"/>
    <s v="Food"/>
    <x v="1"/>
    <x v="0"/>
    <s v="Tablet"/>
    <n v="0"/>
    <n v="4"/>
    <x v="17"/>
    <n v="1"/>
    <x v="1"/>
    <x v="1"/>
    <x v="0"/>
  </r>
  <r>
    <x v="1317"/>
    <s v="C1115"/>
    <d v="2024-02-24T21:00:00"/>
    <n v="36592.9"/>
    <x v="0"/>
    <x v="1"/>
    <s v="Entertainment"/>
    <x v="0"/>
    <x v="0"/>
    <s v="Tablet"/>
    <n v="1"/>
    <n v="4"/>
    <x v="753"/>
    <n v="1"/>
    <x v="1"/>
    <x v="1"/>
    <x v="0"/>
  </r>
  <r>
    <x v="1318"/>
    <s v="C1493"/>
    <d v="2024-02-24T22:00:00"/>
    <n v="4127.42"/>
    <x v="3"/>
    <x v="3"/>
    <s v="Entertainment"/>
    <x v="2"/>
    <x v="1"/>
    <s v="Mobile"/>
    <n v="0"/>
    <n v="2"/>
    <x v="317"/>
    <n v="0"/>
    <x v="2"/>
    <x v="1"/>
    <x v="1"/>
  </r>
  <r>
    <x v="1319"/>
    <s v="C1363"/>
    <d v="2024-02-24T23:00:00"/>
    <n v="3064.59"/>
    <x v="1"/>
    <x v="0"/>
    <s v="Electronics"/>
    <x v="3"/>
    <x v="1"/>
    <s v="Desktop"/>
    <n v="1"/>
    <n v="1"/>
    <x v="542"/>
    <n v="0"/>
    <x v="2"/>
    <x v="1"/>
    <x v="1"/>
  </r>
  <r>
    <x v="1320"/>
    <s v="C1176"/>
    <d v="2024-02-25T00:00:00"/>
    <n v="12392.81"/>
    <x v="0"/>
    <x v="3"/>
    <s v="Retail"/>
    <x v="2"/>
    <x v="3"/>
    <s v="Tablet"/>
    <n v="0"/>
    <n v="1"/>
    <x v="417"/>
    <n v="0"/>
    <x v="2"/>
    <x v="1"/>
    <x v="1"/>
  </r>
  <r>
    <x v="1321"/>
    <s v="C1281"/>
    <d v="2024-02-25T01:00:00"/>
    <n v="8019.26"/>
    <x v="3"/>
    <x v="1"/>
    <s v="Food"/>
    <x v="4"/>
    <x v="2"/>
    <s v="Desktop"/>
    <n v="0"/>
    <n v="0"/>
    <x v="754"/>
    <n v="0"/>
    <x v="2"/>
    <x v="1"/>
    <x v="1"/>
  </r>
  <r>
    <x v="1322"/>
    <s v="C1173"/>
    <d v="2024-02-25T02:00:00"/>
    <n v="43595.59"/>
    <x v="2"/>
    <x v="0"/>
    <s v="Retail"/>
    <x v="4"/>
    <x v="1"/>
    <s v="Mobile"/>
    <n v="0"/>
    <n v="1"/>
    <x v="300"/>
    <n v="1"/>
    <x v="0"/>
    <x v="1"/>
    <x v="0"/>
  </r>
  <r>
    <x v="1323"/>
    <s v="C1189"/>
    <d v="2024-02-25T03:00:00"/>
    <n v="10999.74"/>
    <x v="2"/>
    <x v="1"/>
    <s v="Electronics"/>
    <x v="2"/>
    <x v="3"/>
    <s v="Desktop"/>
    <n v="0"/>
    <n v="2"/>
    <x v="423"/>
    <n v="1"/>
    <x v="0"/>
    <x v="1"/>
    <x v="0"/>
  </r>
  <r>
    <x v="1324"/>
    <s v="C1108"/>
    <d v="2024-02-25T04:00:00"/>
    <n v="48794.47"/>
    <x v="1"/>
    <x v="2"/>
    <s v="Electronics"/>
    <x v="0"/>
    <x v="4"/>
    <s v="Tablet"/>
    <n v="0"/>
    <n v="4"/>
    <x v="755"/>
    <n v="1"/>
    <x v="1"/>
    <x v="1"/>
    <x v="0"/>
  </r>
  <r>
    <x v="1325"/>
    <s v="C1011"/>
    <d v="2024-02-25T05:00:00"/>
    <n v="16877.939999999999"/>
    <x v="3"/>
    <x v="0"/>
    <s v="Entertainment"/>
    <x v="4"/>
    <x v="0"/>
    <s v="Desktop"/>
    <n v="0"/>
    <n v="0"/>
    <x v="135"/>
    <n v="0"/>
    <x v="2"/>
    <x v="1"/>
    <x v="1"/>
  </r>
  <r>
    <x v="1326"/>
    <s v="C1400"/>
    <d v="2024-02-25T06:00:00"/>
    <n v="9146.7900000000009"/>
    <x v="1"/>
    <x v="1"/>
    <s v="Food"/>
    <x v="4"/>
    <x v="2"/>
    <s v="Desktop"/>
    <n v="0"/>
    <n v="4"/>
    <x v="406"/>
    <n v="1"/>
    <x v="0"/>
    <x v="1"/>
    <x v="0"/>
  </r>
  <r>
    <x v="1327"/>
    <s v="C1043"/>
    <d v="2024-02-25T07:00:00"/>
    <n v="39495.440000000002"/>
    <x v="0"/>
    <x v="0"/>
    <s v="Travel"/>
    <x v="3"/>
    <x v="3"/>
    <s v="Mobile"/>
    <n v="1"/>
    <n v="2"/>
    <x v="432"/>
    <n v="1"/>
    <x v="1"/>
    <x v="1"/>
    <x v="0"/>
  </r>
  <r>
    <x v="1328"/>
    <s v="C1172"/>
    <d v="2024-02-25T08:00:00"/>
    <n v="32952.449999999997"/>
    <x v="2"/>
    <x v="1"/>
    <s v="Electronics"/>
    <x v="2"/>
    <x v="4"/>
    <s v="Mobile"/>
    <n v="0"/>
    <n v="0"/>
    <x v="237"/>
    <n v="0"/>
    <x v="2"/>
    <x v="1"/>
    <x v="1"/>
  </r>
  <r>
    <x v="1329"/>
    <s v="C1033"/>
    <d v="2024-02-25T09:00:00"/>
    <n v="24934.880000000001"/>
    <x v="0"/>
    <x v="0"/>
    <s v="Food"/>
    <x v="4"/>
    <x v="0"/>
    <s v="Mobile"/>
    <n v="0"/>
    <n v="3"/>
    <x v="756"/>
    <n v="1"/>
    <x v="0"/>
    <x v="1"/>
    <x v="0"/>
  </r>
  <r>
    <x v="1330"/>
    <s v="C1367"/>
    <d v="2024-02-25T10:00:00"/>
    <n v="27790.41"/>
    <x v="3"/>
    <x v="1"/>
    <s v="Retail"/>
    <x v="0"/>
    <x v="4"/>
    <s v="Mobile"/>
    <n v="0"/>
    <n v="1"/>
    <x v="737"/>
    <n v="1"/>
    <x v="0"/>
    <x v="1"/>
    <x v="0"/>
  </r>
  <r>
    <x v="1331"/>
    <s v="C1072"/>
    <d v="2024-02-25T11:00:00"/>
    <n v="35974.129999999997"/>
    <x v="1"/>
    <x v="2"/>
    <s v="Entertainment"/>
    <x v="1"/>
    <x v="3"/>
    <s v="Desktop"/>
    <n v="1"/>
    <n v="2"/>
    <x v="626"/>
    <n v="1"/>
    <x v="1"/>
    <x v="1"/>
    <x v="0"/>
  </r>
  <r>
    <x v="1332"/>
    <s v="C1170"/>
    <d v="2024-02-25T12:00:00"/>
    <n v="11461.31"/>
    <x v="1"/>
    <x v="0"/>
    <s v="Retail"/>
    <x v="2"/>
    <x v="1"/>
    <s v="Desktop"/>
    <n v="1"/>
    <n v="0"/>
    <x v="375"/>
    <n v="0"/>
    <x v="2"/>
    <x v="1"/>
    <x v="1"/>
  </r>
  <r>
    <x v="1333"/>
    <s v="C1054"/>
    <d v="2024-02-25T13:00:00"/>
    <n v="49816.88"/>
    <x v="1"/>
    <x v="0"/>
    <s v="Electronics"/>
    <x v="3"/>
    <x v="0"/>
    <s v="Mobile"/>
    <n v="0"/>
    <n v="4"/>
    <x v="576"/>
    <n v="1"/>
    <x v="1"/>
    <x v="1"/>
    <x v="0"/>
  </r>
  <r>
    <x v="1334"/>
    <s v="C1016"/>
    <d v="2024-02-25T14:00:00"/>
    <n v="48740.92"/>
    <x v="0"/>
    <x v="0"/>
    <s v="Electronics"/>
    <x v="4"/>
    <x v="4"/>
    <s v="Mobile"/>
    <n v="0"/>
    <n v="0"/>
    <x v="659"/>
    <n v="1"/>
    <x v="0"/>
    <x v="1"/>
    <x v="0"/>
  </r>
  <r>
    <x v="1335"/>
    <s v="C1340"/>
    <d v="2024-02-25T15:00:00"/>
    <n v="32533.77"/>
    <x v="2"/>
    <x v="0"/>
    <s v="Retail"/>
    <x v="0"/>
    <x v="1"/>
    <s v="Tablet"/>
    <n v="0"/>
    <n v="3"/>
    <x v="394"/>
    <n v="1"/>
    <x v="1"/>
    <x v="1"/>
    <x v="0"/>
  </r>
  <r>
    <x v="1336"/>
    <s v="C1334"/>
    <d v="2024-02-25T16:00:00"/>
    <n v="10017.15"/>
    <x v="0"/>
    <x v="2"/>
    <s v="Electronics"/>
    <x v="2"/>
    <x v="2"/>
    <s v="Tablet"/>
    <n v="0"/>
    <n v="2"/>
    <x v="757"/>
    <n v="0"/>
    <x v="2"/>
    <x v="1"/>
    <x v="1"/>
  </r>
  <r>
    <x v="1337"/>
    <s v="C1216"/>
    <d v="2024-02-25T17:00:00"/>
    <n v="34027.4"/>
    <x v="0"/>
    <x v="0"/>
    <s v="Food"/>
    <x v="0"/>
    <x v="3"/>
    <s v="Mobile"/>
    <n v="0"/>
    <n v="0"/>
    <x v="446"/>
    <n v="0"/>
    <x v="2"/>
    <x v="1"/>
    <x v="1"/>
  </r>
  <r>
    <x v="1338"/>
    <s v="C1296"/>
    <d v="2024-02-25T18:00:00"/>
    <n v="3656.31"/>
    <x v="3"/>
    <x v="3"/>
    <s v="Electronics"/>
    <x v="0"/>
    <x v="3"/>
    <s v="Desktop"/>
    <n v="1"/>
    <n v="2"/>
    <x v="290"/>
    <n v="1"/>
    <x v="0"/>
    <x v="1"/>
    <x v="0"/>
  </r>
  <r>
    <x v="1339"/>
    <s v="C1219"/>
    <d v="2024-02-25T19:00:00"/>
    <n v="1581.09"/>
    <x v="3"/>
    <x v="2"/>
    <s v="Entertainment"/>
    <x v="3"/>
    <x v="0"/>
    <s v="Mobile"/>
    <n v="0"/>
    <n v="2"/>
    <x v="148"/>
    <n v="0"/>
    <x v="2"/>
    <x v="1"/>
    <x v="1"/>
  </r>
  <r>
    <x v="1340"/>
    <s v="C1189"/>
    <d v="2024-02-25T20:00:00"/>
    <n v="12921.26"/>
    <x v="3"/>
    <x v="3"/>
    <s v="Food"/>
    <x v="2"/>
    <x v="4"/>
    <s v="Desktop"/>
    <n v="0"/>
    <n v="4"/>
    <x v="615"/>
    <n v="1"/>
    <x v="1"/>
    <x v="1"/>
    <x v="0"/>
  </r>
  <r>
    <x v="1341"/>
    <s v="C1433"/>
    <d v="2024-02-25T21:00:00"/>
    <n v="23158.02"/>
    <x v="2"/>
    <x v="0"/>
    <s v="Travel"/>
    <x v="4"/>
    <x v="2"/>
    <s v="Desktop"/>
    <n v="0"/>
    <n v="1"/>
    <x v="758"/>
    <n v="0"/>
    <x v="2"/>
    <x v="1"/>
    <x v="1"/>
  </r>
  <r>
    <x v="1342"/>
    <s v="C1390"/>
    <d v="2024-02-25T22:00:00"/>
    <n v="43420.21"/>
    <x v="2"/>
    <x v="1"/>
    <s v="Electronics"/>
    <x v="3"/>
    <x v="0"/>
    <s v="Tablet"/>
    <n v="0"/>
    <n v="3"/>
    <x v="646"/>
    <n v="1"/>
    <x v="1"/>
    <x v="1"/>
    <x v="0"/>
  </r>
  <r>
    <x v="1343"/>
    <s v="C1499"/>
    <d v="2024-02-25T23:00:00"/>
    <n v="36372.1"/>
    <x v="3"/>
    <x v="3"/>
    <s v="Electronics"/>
    <x v="4"/>
    <x v="0"/>
    <s v="Mobile"/>
    <n v="0"/>
    <n v="0"/>
    <x v="91"/>
    <n v="0"/>
    <x v="2"/>
    <x v="1"/>
    <x v="1"/>
  </r>
  <r>
    <x v="1344"/>
    <s v="C1083"/>
    <d v="2024-02-26T00:00:00"/>
    <n v="37148.19"/>
    <x v="3"/>
    <x v="0"/>
    <s v="Entertainment"/>
    <x v="1"/>
    <x v="4"/>
    <s v="Mobile"/>
    <n v="0"/>
    <n v="1"/>
    <x v="741"/>
    <n v="1"/>
    <x v="0"/>
    <x v="1"/>
    <x v="0"/>
  </r>
  <r>
    <x v="1345"/>
    <s v="C1401"/>
    <d v="2024-02-26T01:00:00"/>
    <n v="21303.39"/>
    <x v="2"/>
    <x v="3"/>
    <s v="Entertainment"/>
    <x v="0"/>
    <x v="2"/>
    <s v="Desktop"/>
    <n v="0"/>
    <n v="4"/>
    <x v="262"/>
    <n v="1"/>
    <x v="1"/>
    <x v="1"/>
    <x v="0"/>
  </r>
  <r>
    <x v="1346"/>
    <s v="C1149"/>
    <d v="2024-02-26T02:00:00"/>
    <n v="17329.45"/>
    <x v="1"/>
    <x v="0"/>
    <s v="Retail"/>
    <x v="1"/>
    <x v="4"/>
    <s v="Mobile"/>
    <n v="0"/>
    <n v="1"/>
    <x v="565"/>
    <n v="0"/>
    <x v="2"/>
    <x v="1"/>
    <x v="1"/>
  </r>
  <r>
    <x v="1347"/>
    <s v="C1050"/>
    <d v="2024-02-26T03:00:00"/>
    <n v="18583.39"/>
    <x v="2"/>
    <x v="0"/>
    <s v="Retail"/>
    <x v="0"/>
    <x v="3"/>
    <s v="Tablet"/>
    <n v="0"/>
    <n v="2"/>
    <x v="300"/>
    <n v="1"/>
    <x v="0"/>
    <x v="1"/>
    <x v="0"/>
  </r>
  <r>
    <x v="1348"/>
    <s v="C1433"/>
    <d v="2024-02-26T04:00:00"/>
    <n v="49383.1"/>
    <x v="2"/>
    <x v="0"/>
    <s v="Retail"/>
    <x v="3"/>
    <x v="1"/>
    <s v="Tablet"/>
    <n v="0"/>
    <n v="2"/>
    <x v="177"/>
    <n v="1"/>
    <x v="1"/>
    <x v="1"/>
    <x v="0"/>
  </r>
  <r>
    <x v="1349"/>
    <s v="C1111"/>
    <d v="2024-02-26T05:00:00"/>
    <n v="2053.4499999999998"/>
    <x v="2"/>
    <x v="1"/>
    <s v="Entertainment"/>
    <x v="4"/>
    <x v="3"/>
    <s v="Mobile"/>
    <n v="1"/>
    <n v="3"/>
    <x v="165"/>
    <n v="1"/>
    <x v="0"/>
    <x v="1"/>
    <x v="0"/>
  </r>
  <r>
    <x v="1350"/>
    <s v="C1146"/>
    <d v="2024-02-26T06:00:00"/>
    <n v="43358.22"/>
    <x v="3"/>
    <x v="3"/>
    <s v="Retail"/>
    <x v="4"/>
    <x v="3"/>
    <s v="Mobile"/>
    <n v="0"/>
    <n v="0"/>
    <x v="732"/>
    <n v="1"/>
    <x v="0"/>
    <x v="1"/>
    <x v="0"/>
  </r>
  <r>
    <x v="1351"/>
    <s v="C1414"/>
    <d v="2024-02-26T07:00:00"/>
    <n v="28954.84"/>
    <x v="1"/>
    <x v="2"/>
    <s v="Retail"/>
    <x v="3"/>
    <x v="0"/>
    <s v="Tablet"/>
    <n v="0"/>
    <n v="0"/>
    <x v="139"/>
    <n v="0"/>
    <x v="2"/>
    <x v="1"/>
    <x v="1"/>
  </r>
  <r>
    <x v="1352"/>
    <s v="C1480"/>
    <d v="2024-02-26T08:00:00"/>
    <n v="21958.84"/>
    <x v="2"/>
    <x v="2"/>
    <s v="Travel"/>
    <x v="2"/>
    <x v="3"/>
    <s v="Mobile"/>
    <n v="0"/>
    <n v="4"/>
    <x v="37"/>
    <n v="1"/>
    <x v="1"/>
    <x v="1"/>
    <x v="0"/>
  </r>
  <r>
    <x v="1353"/>
    <s v="C1056"/>
    <d v="2024-02-26T09:00:00"/>
    <n v="36276.620000000003"/>
    <x v="3"/>
    <x v="2"/>
    <s v="Retail"/>
    <x v="1"/>
    <x v="2"/>
    <s v="Desktop"/>
    <n v="0"/>
    <n v="3"/>
    <x v="262"/>
    <n v="1"/>
    <x v="1"/>
    <x v="1"/>
    <x v="0"/>
  </r>
  <r>
    <x v="1354"/>
    <s v="C1261"/>
    <d v="2024-02-26T10:00:00"/>
    <n v="24359.11"/>
    <x v="0"/>
    <x v="2"/>
    <s v="Electronics"/>
    <x v="1"/>
    <x v="3"/>
    <s v="Mobile"/>
    <n v="0"/>
    <n v="0"/>
    <x v="481"/>
    <n v="0"/>
    <x v="2"/>
    <x v="1"/>
    <x v="1"/>
  </r>
  <r>
    <x v="1355"/>
    <s v="C1468"/>
    <d v="2024-02-26T11:00:00"/>
    <n v="43677.49"/>
    <x v="0"/>
    <x v="0"/>
    <s v="Entertainment"/>
    <x v="4"/>
    <x v="2"/>
    <s v="Desktop"/>
    <n v="0"/>
    <n v="2"/>
    <x v="456"/>
    <n v="1"/>
    <x v="1"/>
    <x v="1"/>
    <x v="0"/>
  </r>
  <r>
    <x v="1356"/>
    <s v="C1364"/>
    <d v="2024-02-26T12:00:00"/>
    <n v="45040.06"/>
    <x v="2"/>
    <x v="3"/>
    <s v="Food"/>
    <x v="4"/>
    <x v="4"/>
    <s v="Mobile"/>
    <n v="0"/>
    <n v="3"/>
    <x v="759"/>
    <n v="1"/>
    <x v="1"/>
    <x v="1"/>
    <x v="0"/>
  </r>
  <r>
    <x v="1357"/>
    <s v="C1175"/>
    <d v="2024-02-26T13:00:00"/>
    <n v="21114.959999999999"/>
    <x v="0"/>
    <x v="3"/>
    <s v="Travel"/>
    <x v="4"/>
    <x v="0"/>
    <s v="Mobile"/>
    <n v="0"/>
    <n v="1"/>
    <x v="38"/>
    <n v="0"/>
    <x v="2"/>
    <x v="1"/>
    <x v="1"/>
  </r>
  <r>
    <x v="1358"/>
    <s v="C1094"/>
    <d v="2024-02-26T14:00:00"/>
    <n v="13877.55"/>
    <x v="1"/>
    <x v="1"/>
    <s v="Entertainment"/>
    <x v="3"/>
    <x v="2"/>
    <s v="Tablet"/>
    <n v="0"/>
    <n v="3"/>
    <x v="212"/>
    <n v="1"/>
    <x v="0"/>
    <x v="1"/>
    <x v="0"/>
  </r>
  <r>
    <x v="1359"/>
    <s v="C1328"/>
    <d v="2024-02-26T15:00:00"/>
    <n v="29637.9"/>
    <x v="0"/>
    <x v="3"/>
    <s v="Entertainment"/>
    <x v="2"/>
    <x v="3"/>
    <s v="Desktop"/>
    <n v="1"/>
    <n v="3"/>
    <x v="373"/>
    <n v="1"/>
    <x v="1"/>
    <x v="1"/>
    <x v="0"/>
  </r>
  <r>
    <x v="1360"/>
    <s v="C1091"/>
    <d v="2024-02-26T16:00:00"/>
    <n v="45622.55"/>
    <x v="0"/>
    <x v="3"/>
    <s v="Electronics"/>
    <x v="1"/>
    <x v="0"/>
    <s v="Tablet"/>
    <n v="0"/>
    <n v="0"/>
    <x v="241"/>
    <n v="1"/>
    <x v="0"/>
    <x v="1"/>
    <x v="0"/>
  </r>
  <r>
    <x v="1361"/>
    <s v="C1372"/>
    <d v="2024-02-26T17:00:00"/>
    <n v="10572.58"/>
    <x v="1"/>
    <x v="3"/>
    <s v="Retail"/>
    <x v="0"/>
    <x v="0"/>
    <s v="Mobile"/>
    <n v="1"/>
    <n v="4"/>
    <x v="760"/>
    <n v="1"/>
    <x v="1"/>
    <x v="1"/>
    <x v="0"/>
  </r>
  <r>
    <x v="1362"/>
    <s v="C1029"/>
    <d v="2024-02-26T18:00:00"/>
    <n v="31167.18"/>
    <x v="2"/>
    <x v="1"/>
    <s v="Electronics"/>
    <x v="3"/>
    <x v="2"/>
    <s v="Tablet"/>
    <n v="0"/>
    <n v="4"/>
    <x v="761"/>
    <n v="1"/>
    <x v="1"/>
    <x v="1"/>
    <x v="0"/>
  </r>
  <r>
    <x v="1363"/>
    <s v="C1155"/>
    <d v="2024-02-26T19:00:00"/>
    <n v="31596.43"/>
    <x v="2"/>
    <x v="2"/>
    <s v="Retail"/>
    <x v="1"/>
    <x v="2"/>
    <s v="Mobile"/>
    <n v="0"/>
    <n v="0"/>
    <x v="148"/>
    <n v="0"/>
    <x v="2"/>
    <x v="1"/>
    <x v="1"/>
  </r>
  <r>
    <x v="1364"/>
    <s v="C1208"/>
    <d v="2024-02-26T20:00:00"/>
    <n v="36669"/>
    <x v="1"/>
    <x v="3"/>
    <s v="Retail"/>
    <x v="2"/>
    <x v="1"/>
    <s v="Mobile"/>
    <n v="0"/>
    <n v="0"/>
    <x v="552"/>
    <n v="0"/>
    <x v="2"/>
    <x v="1"/>
    <x v="1"/>
  </r>
  <r>
    <x v="1365"/>
    <s v="C1457"/>
    <d v="2024-02-26T21:00:00"/>
    <n v="6621.81"/>
    <x v="1"/>
    <x v="1"/>
    <s v="Entertainment"/>
    <x v="3"/>
    <x v="1"/>
    <s v="Mobile"/>
    <n v="0"/>
    <n v="0"/>
    <x v="762"/>
    <n v="0"/>
    <x v="2"/>
    <x v="1"/>
    <x v="1"/>
  </r>
  <r>
    <x v="1366"/>
    <s v="C1484"/>
    <d v="2024-02-26T22:00:00"/>
    <n v="35805.46"/>
    <x v="1"/>
    <x v="1"/>
    <s v="Retail"/>
    <x v="1"/>
    <x v="0"/>
    <s v="Desktop"/>
    <n v="0"/>
    <n v="4"/>
    <x v="647"/>
    <n v="1"/>
    <x v="1"/>
    <x v="1"/>
    <x v="0"/>
  </r>
  <r>
    <x v="1367"/>
    <s v="C1059"/>
    <d v="2024-02-26T23:00:00"/>
    <n v="45456.17"/>
    <x v="0"/>
    <x v="0"/>
    <s v="Travel"/>
    <x v="3"/>
    <x v="1"/>
    <s v="Desktop"/>
    <n v="0"/>
    <n v="0"/>
    <x v="763"/>
    <n v="1"/>
    <x v="0"/>
    <x v="1"/>
    <x v="0"/>
  </r>
  <r>
    <x v="1368"/>
    <s v="C1011"/>
    <d v="2024-02-27T00:00:00"/>
    <n v="9025.17"/>
    <x v="1"/>
    <x v="1"/>
    <s v="Travel"/>
    <x v="1"/>
    <x v="3"/>
    <s v="Desktop"/>
    <n v="0"/>
    <n v="1"/>
    <x v="597"/>
    <n v="0"/>
    <x v="2"/>
    <x v="1"/>
    <x v="1"/>
  </r>
  <r>
    <x v="1369"/>
    <s v="C1234"/>
    <d v="2024-02-27T01:00:00"/>
    <n v="11915.29"/>
    <x v="3"/>
    <x v="2"/>
    <s v="Travel"/>
    <x v="1"/>
    <x v="4"/>
    <s v="Tablet"/>
    <n v="0"/>
    <n v="1"/>
    <x v="135"/>
    <n v="0"/>
    <x v="2"/>
    <x v="1"/>
    <x v="1"/>
  </r>
  <r>
    <x v="1370"/>
    <s v="C1281"/>
    <d v="2024-02-27T02:00:00"/>
    <n v="48571.18"/>
    <x v="0"/>
    <x v="3"/>
    <s v="Entertainment"/>
    <x v="2"/>
    <x v="0"/>
    <s v="Mobile"/>
    <n v="1"/>
    <n v="2"/>
    <x v="422"/>
    <n v="1"/>
    <x v="1"/>
    <x v="1"/>
    <x v="0"/>
  </r>
  <r>
    <x v="1371"/>
    <s v="C1453"/>
    <d v="2024-02-27T03:00:00"/>
    <n v="9089.7999999999993"/>
    <x v="2"/>
    <x v="1"/>
    <s v="Electronics"/>
    <x v="0"/>
    <x v="4"/>
    <s v="Tablet"/>
    <n v="0"/>
    <n v="1"/>
    <x v="350"/>
    <n v="0"/>
    <x v="2"/>
    <x v="1"/>
    <x v="1"/>
  </r>
  <r>
    <x v="1372"/>
    <s v="C1260"/>
    <d v="2024-02-27T04:00:00"/>
    <n v="42726.54"/>
    <x v="2"/>
    <x v="2"/>
    <s v="Food"/>
    <x v="2"/>
    <x v="1"/>
    <s v="Tablet"/>
    <n v="0"/>
    <n v="3"/>
    <x v="281"/>
    <n v="1"/>
    <x v="1"/>
    <x v="1"/>
    <x v="0"/>
  </r>
  <r>
    <x v="1373"/>
    <s v="C1404"/>
    <d v="2024-02-27T05:00:00"/>
    <n v="24639.279999999999"/>
    <x v="2"/>
    <x v="1"/>
    <s v="Retail"/>
    <x v="1"/>
    <x v="2"/>
    <s v="Mobile"/>
    <n v="0"/>
    <n v="2"/>
    <x v="764"/>
    <n v="1"/>
    <x v="0"/>
    <x v="1"/>
    <x v="0"/>
  </r>
  <r>
    <x v="1374"/>
    <s v="C1031"/>
    <d v="2024-02-27T06:00:00"/>
    <n v="12399.19"/>
    <x v="0"/>
    <x v="1"/>
    <s v="Food"/>
    <x v="3"/>
    <x v="0"/>
    <s v="Tablet"/>
    <n v="1"/>
    <n v="1"/>
    <x v="433"/>
    <n v="1"/>
    <x v="0"/>
    <x v="1"/>
    <x v="0"/>
  </r>
  <r>
    <x v="1375"/>
    <s v="C1491"/>
    <d v="2024-02-27T07:00:00"/>
    <n v="43543.96"/>
    <x v="3"/>
    <x v="1"/>
    <s v="Electronics"/>
    <x v="2"/>
    <x v="1"/>
    <s v="Mobile"/>
    <n v="0"/>
    <n v="3"/>
    <x v="765"/>
    <n v="1"/>
    <x v="1"/>
    <x v="1"/>
    <x v="0"/>
  </r>
  <r>
    <x v="1376"/>
    <s v="C1414"/>
    <d v="2024-02-27T08:00:00"/>
    <n v="22293"/>
    <x v="1"/>
    <x v="1"/>
    <s v="Electronics"/>
    <x v="0"/>
    <x v="3"/>
    <s v="Mobile"/>
    <n v="1"/>
    <n v="1"/>
    <x v="142"/>
    <n v="1"/>
    <x v="0"/>
    <x v="1"/>
    <x v="0"/>
  </r>
  <r>
    <x v="1377"/>
    <s v="C1299"/>
    <d v="2024-02-27T09:00:00"/>
    <n v="25765.13"/>
    <x v="1"/>
    <x v="1"/>
    <s v="Entertainment"/>
    <x v="1"/>
    <x v="0"/>
    <s v="Mobile"/>
    <n v="0"/>
    <n v="3"/>
    <x v="70"/>
    <n v="1"/>
    <x v="1"/>
    <x v="1"/>
    <x v="0"/>
  </r>
  <r>
    <x v="1378"/>
    <s v="C1381"/>
    <d v="2024-02-27T10:00:00"/>
    <n v="17993.71"/>
    <x v="2"/>
    <x v="2"/>
    <s v="Travel"/>
    <x v="2"/>
    <x v="0"/>
    <s v="Mobile"/>
    <n v="0"/>
    <n v="0"/>
    <x v="6"/>
    <n v="0"/>
    <x v="2"/>
    <x v="1"/>
    <x v="1"/>
  </r>
  <r>
    <x v="1379"/>
    <s v="C1318"/>
    <d v="2024-02-27T11:00:00"/>
    <n v="29667.9"/>
    <x v="2"/>
    <x v="3"/>
    <s v="Travel"/>
    <x v="2"/>
    <x v="2"/>
    <s v="Tablet"/>
    <n v="0"/>
    <n v="3"/>
    <x v="766"/>
    <n v="1"/>
    <x v="0"/>
    <x v="1"/>
    <x v="0"/>
  </r>
  <r>
    <x v="1380"/>
    <s v="C1388"/>
    <d v="2024-02-27T12:00:00"/>
    <n v="8218.02"/>
    <x v="0"/>
    <x v="3"/>
    <s v="Electronics"/>
    <x v="2"/>
    <x v="0"/>
    <s v="Tablet"/>
    <n v="0"/>
    <n v="0"/>
    <x v="720"/>
    <n v="0"/>
    <x v="2"/>
    <x v="1"/>
    <x v="1"/>
  </r>
  <r>
    <x v="1381"/>
    <s v="C1114"/>
    <d v="2024-02-27T13:00:00"/>
    <n v="19584.52"/>
    <x v="3"/>
    <x v="3"/>
    <s v="Entertainment"/>
    <x v="2"/>
    <x v="2"/>
    <s v="Tablet"/>
    <n v="1"/>
    <n v="3"/>
    <x v="203"/>
    <n v="1"/>
    <x v="1"/>
    <x v="1"/>
    <x v="0"/>
  </r>
  <r>
    <x v="1382"/>
    <s v="C1126"/>
    <d v="2024-02-27T14:00:00"/>
    <n v="48472.15"/>
    <x v="1"/>
    <x v="3"/>
    <s v="Entertainment"/>
    <x v="3"/>
    <x v="1"/>
    <s v="Desktop"/>
    <n v="0"/>
    <n v="3"/>
    <x v="228"/>
    <n v="1"/>
    <x v="1"/>
    <x v="1"/>
    <x v="0"/>
  </r>
  <r>
    <x v="1383"/>
    <s v="C1028"/>
    <d v="2024-02-27T15:00:00"/>
    <n v="12943.76"/>
    <x v="0"/>
    <x v="2"/>
    <s v="Retail"/>
    <x v="0"/>
    <x v="3"/>
    <s v="Tablet"/>
    <n v="1"/>
    <n v="1"/>
    <x v="226"/>
    <n v="1"/>
    <x v="0"/>
    <x v="1"/>
    <x v="0"/>
  </r>
  <r>
    <x v="1384"/>
    <s v="C1170"/>
    <d v="2024-02-27T16:00:00"/>
    <n v="32854"/>
    <x v="1"/>
    <x v="0"/>
    <s v="Travel"/>
    <x v="0"/>
    <x v="3"/>
    <s v="Tablet"/>
    <n v="0"/>
    <n v="3"/>
    <x v="767"/>
    <n v="1"/>
    <x v="1"/>
    <x v="1"/>
    <x v="0"/>
  </r>
  <r>
    <x v="1385"/>
    <s v="C1055"/>
    <d v="2024-02-27T17:00:00"/>
    <n v="16293.24"/>
    <x v="2"/>
    <x v="0"/>
    <s v="Electronics"/>
    <x v="1"/>
    <x v="0"/>
    <s v="Desktop"/>
    <n v="0"/>
    <n v="1"/>
    <x v="57"/>
    <n v="0"/>
    <x v="2"/>
    <x v="1"/>
    <x v="1"/>
  </r>
  <r>
    <x v="1386"/>
    <s v="C1064"/>
    <d v="2024-02-27T18:00:00"/>
    <n v="38684.980000000003"/>
    <x v="1"/>
    <x v="2"/>
    <s v="Food"/>
    <x v="4"/>
    <x v="0"/>
    <s v="Mobile"/>
    <n v="0"/>
    <n v="3"/>
    <x v="768"/>
    <n v="1"/>
    <x v="1"/>
    <x v="1"/>
    <x v="0"/>
  </r>
  <r>
    <x v="1387"/>
    <s v="C1157"/>
    <d v="2024-02-27T19:00:00"/>
    <n v="6587.14"/>
    <x v="3"/>
    <x v="2"/>
    <s v="Travel"/>
    <x v="3"/>
    <x v="1"/>
    <s v="Mobile"/>
    <n v="0"/>
    <n v="4"/>
    <x v="2"/>
    <n v="1"/>
    <x v="0"/>
    <x v="1"/>
    <x v="0"/>
  </r>
  <r>
    <x v="1388"/>
    <s v="C1172"/>
    <d v="2024-02-27T20:00:00"/>
    <n v="48492.56"/>
    <x v="3"/>
    <x v="1"/>
    <s v="Retail"/>
    <x v="1"/>
    <x v="2"/>
    <s v="Mobile"/>
    <n v="0"/>
    <n v="2"/>
    <x v="11"/>
    <n v="1"/>
    <x v="1"/>
    <x v="1"/>
    <x v="0"/>
  </r>
  <r>
    <x v="1389"/>
    <s v="C1098"/>
    <d v="2024-02-27T21:00:00"/>
    <n v="22716.79"/>
    <x v="2"/>
    <x v="1"/>
    <s v="Entertainment"/>
    <x v="1"/>
    <x v="3"/>
    <s v="Desktop"/>
    <n v="0"/>
    <n v="1"/>
    <x v="769"/>
    <n v="0"/>
    <x v="2"/>
    <x v="1"/>
    <x v="1"/>
  </r>
  <r>
    <x v="1390"/>
    <s v="C1482"/>
    <d v="2024-02-27T22:00:00"/>
    <n v="11840.72"/>
    <x v="3"/>
    <x v="1"/>
    <s v="Electronics"/>
    <x v="2"/>
    <x v="2"/>
    <s v="Tablet"/>
    <n v="0"/>
    <n v="1"/>
    <x v="770"/>
    <n v="0"/>
    <x v="2"/>
    <x v="1"/>
    <x v="1"/>
  </r>
  <r>
    <x v="1391"/>
    <s v="C1489"/>
    <d v="2024-02-27T23:00:00"/>
    <n v="3721.16"/>
    <x v="3"/>
    <x v="3"/>
    <s v="Travel"/>
    <x v="4"/>
    <x v="1"/>
    <s v="Tablet"/>
    <n v="0"/>
    <n v="0"/>
    <x v="771"/>
    <n v="0"/>
    <x v="2"/>
    <x v="1"/>
    <x v="1"/>
  </r>
  <r>
    <x v="1392"/>
    <s v="C1324"/>
    <d v="2024-02-28T00:00:00"/>
    <n v="8529.41"/>
    <x v="0"/>
    <x v="1"/>
    <s v="Food"/>
    <x v="4"/>
    <x v="3"/>
    <s v="Tablet"/>
    <n v="0"/>
    <n v="4"/>
    <x v="416"/>
    <n v="1"/>
    <x v="0"/>
    <x v="1"/>
    <x v="0"/>
  </r>
  <r>
    <x v="1393"/>
    <s v="C1404"/>
    <d v="2024-02-28T01:00:00"/>
    <n v="26012.71"/>
    <x v="1"/>
    <x v="0"/>
    <s v="Retail"/>
    <x v="3"/>
    <x v="3"/>
    <s v="Tablet"/>
    <n v="0"/>
    <n v="0"/>
    <x v="772"/>
    <n v="0"/>
    <x v="2"/>
    <x v="1"/>
    <x v="1"/>
  </r>
  <r>
    <x v="1394"/>
    <s v="C1388"/>
    <d v="2024-02-28T02:00:00"/>
    <n v="16883.310000000001"/>
    <x v="2"/>
    <x v="3"/>
    <s v="Retail"/>
    <x v="4"/>
    <x v="4"/>
    <s v="Desktop"/>
    <n v="0"/>
    <n v="4"/>
    <x v="709"/>
    <n v="1"/>
    <x v="1"/>
    <x v="1"/>
    <x v="0"/>
  </r>
  <r>
    <x v="1395"/>
    <s v="C1389"/>
    <d v="2024-02-28T03:00:00"/>
    <n v="41452.720000000001"/>
    <x v="2"/>
    <x v="1"/>
    <s v="Travel"/>
    <x v="1"/>
    <x v="1"/>
    <s v="Tablet"/>
    <n v="0"/>
    <n v="4"/>
    <x v="773"/>
    <n v="1"/>
    <x v="1"/>
    <x v="1"/>
    <x v="0"/>
  </r>
  <r>
    <x v="1396"/>
    <s v="C1163"/>
    <d v="2024-02-28T04:00:00"/>
    <n v="21572.83"/>
    <x v="2"/>
    <x v="3"/>
    <s v="Food"/>
    <x v="4"/>
    <x v="1"/>
    <s v="Mobile"/>
    <n v="0"/>
    <n v="3"/>
    <x v="774"/>
    <n v="1"/>
    <x v="0"/>
    <x v="1"/>
    <x v="0"/>
  </r>
  <r>
    <x v="1397"/>
    <s v="C1061"/>
    <d v="2024-02-28T05:00:00"/>
    <n v="12473.28"/>
    <x v="2"/>
    <x v="0"/>
    <s v="Retail"/>
    <x v="4"/>
    <x v="4"/>
    <s v="Desktop"/>
    <n v="1"/>
    <n v="0"/>
    <x v="775"/>
    <n v="0"/>
    <x v="2"/>
    <x v="1"/>
    <x v="1"/>
  </r>
  <r>
    <x v="1398"/>
    <s v="C1080"/>
    <d v="2024-02-28T06:00:00"/>
    <n v="30876.39"/>
    <x v="2"/>
    <x v="1"/>
    <s v="Electronics"/>
    <x v="0"/>
    <x v="2"/>
    <s v="Desktop"/>
    <n v="0"/>
    <n v="2"/>
    <x v="233"/>
    <n v="1"/>
    <x v="0"/>
    <x v="1"/>
    <x v="0"/>
  </r>
  <r>
    <x v="1399"/>
    <s v="C1167"/>
    <d v="2024-02-28T07:00:00"/>
    <n v="35353.519999999997"/>
    <x v="3"/>
    <x v="0"/>
    <s v="Retail"/>
    <x v="1"/>
    <x v="4"/>
    <s v="Mobile"/>
    <n v="0"/>
    <n v="4"/>
    <x v="547"/>
    <n v="1"/>
    <x v="1"/>
    <x v="1"/>
    <x v="0"/>
  </r>
  <r>
    <x v="1400"/>
    <s v="C1160"/>
    <d v="2024-02-28T08:00:00"/>
    <n v="8393.74"/>
    <x v="0"/>
    <x v="0"/>
    <s v="Food"/>
    <x v="4"/>
    <x v="1"/>
    <s v="Mobile"/>
    <n v="0"/>
    <n v="4"/>
    <x v="196"/>
    <n v="1"/>
    <x v="0"/>
    <x v="1"/>
    <x v="0"/>
  </r>
  <r>
    <x v="1401"/>
    <s v="C1217"/>
    <d v="2024-02-28T09:00:00"/>
    <n v="8422.58"/>
    <x v="2"/>
    <x v="0"/>
    <s v="Entertainment"/>
    <x v="4"/>
    <x v="2"/>
    <s v="Tablet"/>
    <n v="0"/>
    <n v="1"/>
    <x v="710"/>
    <n v="0"/>
    <x v="2"/>
    <x v="1"/>
    <x v="1"/>
  </r>
  <r>
    <x v="1402"/>
    <s v="C1017"/>
    <d v="2024-02-28T10:00:00"/>
    <n v="1881.74"/>
    <x v="0"/>
    <x v="1"/>
    <s v="Entertainment"/>
    <x v="2"/>
    <x v="3"/>
    <s v="Mobile"/>
    <n v="0"/>
    <n v="3"/>
    <x v="146"/>
    <n v="1"/>
    <x v="0"/>
    <x v="1"/>
    <x v="0"/>
  </r>
  <r>
    <x v="1403"/>
    <s v="C1364"/>
    <d v="2024-02-28T11:00:00"/>
    <n v="36833.279999999999"/>
    <x v="0"/>
    <x v="2"/>
    <s v="Travel"/>
    <x v="4"/>
    <x v="4"/>
    <s v="Desktop"/>
    <n v="0"/>
    <n v="2"/>
    <x v="551"/>
    <n v="1"/>
    <x v="0"/>
    <x v="1"/>
    <x v="0"/>
  </r>
  <r>
    <x v="1404"/>
    <s v="C1335"/>
    <d v="2024-02-28T12:00:00"/>
    <n v="33207.040000000001"/>
    <x v="3"/>
    <x v="1"/>
    <s v="Food"/>
    <x v="4"/>
    <x v="2"/>
    <s v="Desktop"/>
    <n v="0"/>
    <n v="4"/>
    <x v="370"/>
    <n v="1"/>
    <x v="1"/>
    <x v="1"/>
    <x v="0"/>
  </r>
  <r>
    <x v="1405"/>
    <s v="C1365"/>
    <d v="2024-02-28T13:00:00"/>
    <n v="23757.81"/>
    <x v="2"/>
    <x v="0"/>
    <s v="Retail"/>
    <x v="0"/>
    <x v="2"/>
    <s v="Desktop"/>
    <n v="0"/>
    <n v="1"/>
    <x v="325"/>
    <n v="0"/>
    <x v="2"/>
    <x v="1"/>
    <x v="1"/>
  </r>
  <r>
    <x v="1406"/>
    <s v="C1250"/>
    <d v="2024-02-28T14:00:00"/>
    <n v="42216.31"/>
    <x v="3"/>
    <x v="1"/>
    <s v="Retail"/>
    <x v="1"/>
    <x v="2"/>
    <s v="Tablet"/>
    <n v="0"/>
    <n v="0"/>
    <x v="496"/>
    <n v="1"/>
    <x v="0"/>
    <x v="1"/>
    <x v="0"/>
  </r>
  <r>
    <x v="1407"/>
    <s v="C1459"/>
    <d v="2024-02-28T15:00:00"/>
    <n v="40293.22"/>
    <x v="2"/>
    <x v="0"/>
    <s v="Entertainment"/>
    <x v="3"/>
    <x v="4"/>
    <s v="Tablet"/>
    <n v="0"/>
    <n v="4"/>
    <x v="776"/>
    <n v="1"/>
    <x v="1"/>
    <x v="1"/>
    <x v="0"/>
  </r>
  <r>
    <x v="1408"/>
    <s v="C1444"/>
    <d v="2024-02-28T16:00:00"/>
    <n v="29288.45"/>
    <x v="3"/>
    <x v="2"/>
    <s v="Entertainment"/>
    <x v="1"/>
    <x v="3"/>
    <s v="Mobile"/>
    <n v="0"/>
    <n v="1"/>
    <x v="777"/>
    <n v="1"/>
    <x v="0"/>
    <x v="1"/>
    <x v="0"/>
  </r>
  <r>
    <x v="1409"/>
    <s v="C1391"/>
    <d v="2024-02-28T17:00:00"/>
    <n v="43420.15"/>
    <x v="0"/>
    <x v="3"/>
    <s v="Electronics"/>
    <x v="2"/>
    <x v="2"/>
    <s v="Tablet"/>
    <n v="0"/>
    <n v="0"/>
    <x v="198"/>
    <n v="0"/>
    <x v="2"/>
    <x v="1"/>
    <x v="1"/>
  </r>
  <r>
    <x v="1410"/>
    <s v="C1091"/>
    <d v="2024-02-28T18:00:00"/>
    <n v="10331.77"/>
    <x v="2"/>
    <x v="2"/>
    <s v="Entertainment"/>
    <x v="1"/>
    <x v="4"/>
    <s v="Tablet"/>
    <n v="0"/>
    <n v="3"/>
    <x v="34"/>
    <n v="1"/>
    <x v="0"/>
    <x v="1"/>
    <x v="0"/>
  </r>
  <r>
    <x v="1411"/>
    <s v="C1438"/>
    <d v="2024-02-28T19:00:00"/>
    <n v="5640.38"/>
    <x v="1"/>
    <x v="2"/>
    <s v="Electronics"/>
    <x v="4"/>
    <x v="1"/>
    <s v="Desktop"/>
    <n v="0"/>
    <n v="0"/>
    <x v="486"/>
    <n v="0"/>
    <x v="2"/>
    <x v="1"/>
    <x v="1"/>
  </r>
  <r>
    <x v="1412"/>
    <s v="C1079"/>
    <d v="2024-02-28T20:00:00"/>
    <n v="13523.99"/>
    <x v="0"/>
    <x v="3"/>
    <s v="Retail"/>
    <x v="2"/>
    <x v="4"/>
    <s v="Desktop"/>
    <n v="0"/>
    <n v="4"/>
    <x v="557"/>
    <n v="1"/>
    <x v="1"/>
    <x v="1"/>
    <x v="0"/>
  </r>
  <r>
    <x v="1413"/>
    <s v="C1274"/>
    <d v="2024-02-28T21:00:00"/>
    <n v="2901.49"/>
    <x v="1"/>
    <x v="1"/>
    <s v="Electronics"/>
    <x v="1"/>
    <x v="4"/>
    <s v="Mobile"/>
    <n v="1"/>
    <n v="2"/>
    <x v="489"/>
    <n v="1"/>
    <x v="0"/>
    <x v="1"/>
    <x v="0"/>
  </r>
  <r>
    <x v="1414"/>
    <s v="C1377"/>
    <d v="2024-02-28T22:00:00"/>
    <n v="26581.919999999998"/>
    <x v="0"/>
    <x v="3"/>
    <s v="Electronics"/>
    <x v="2"/>
    <x v="4"/>
    <s v="Desktop"/>
    <n v="0"/>
    <n v="0"/>
    <x v="521"/>
    <n v="0"/>
    <x v="2"/>
    <x v="1"/>
    <x v="1"/>
  </r>
  <r>
    <x v="1415"/>
    <s v="C1269"/>
    <d v="2024-02-28T23:00:00"/>
    <n v="46833.45"/>
    <x v="3"/>
    <x v="1"/>
    <s v="Travel"/>
    <x v="3"/>
    <x v="2"/>
    <s v="Tablet"/>
    <n v="0"/>
    <n v="2"/>
    <x v="527"/>
    <n v="1"/>
    <x v="1"/>
    <x v="1"/>
    <x v="0"/>
  </r>
  <r>
    <x v="1416"/>
    <s v="C1008"/>
    <d v="2024-02-29T00:00:00"/>
    <n v="2015.21"/>
    <x v="2"/>
    <x v="1"/>
    <s v="Entertainment"/>
    <x v="1"/>
    <x v="4"/>
    <s v="Mobile"/>
    <n v="0"/>
    <n v="2"/>
    <x v="442"/>
    <n v="0"/>
    <x v="2"/>
    <x v="1"/>
    <x v="1"/>
  </r>
  <r>
    <x v="1417"/>
    <s v="C1257"/>
    <d v="2024-02-29T01:00:00"/>
    <n v="6149.39"/>
    <x v="0"/>
    <x v="0"/>
    <s v="Electronics"/>
    <x v="4"/>
    <x v="1"/>
    <s v="Mobile"/>
    <n v="0"/>
    <n v="0"/>
    <x v="778"/>
    <n v="0"/>
    <x v="2"/>
    <x v="1"/>
    <x v="1"/>
  </r>
  <r>
    <x v="1418"/>
    <s v="C1089"/>
    <d v="2024-02-29T02:00:00"/>
    <n v="22637.34"/>
    <x v="3"/>
    <x v="0"/>
    <s v="Retail"/>
    <x v="2"/>
    <x v="2"/>
    <s v="Desktop"/>
    <n v="0"/>
    <n v="3"/>
    <x v="692"/>
    <n v="1"/>
    <x v="0"/>
    <x v="1"/>
    <x v="0"/>
  </r>
  <r>
    <x v="1419"/>
    <s v="C1053"/>
    <d v="2024-02-29T03:00:00"/>
    <n v="46697.06"/>
    <x v="2"/>
    <x v="3"/>
    <s v="Food"/>
    <x v="0"/>
    <x v="1"/>
    <s v="Desktop"/>
    <n v="0"/>
    <n v="0"/>
    <x v="779"/>
    <n v="1"/>
    <x v="0"/>
    <x v="1"/>
    <x v="0"/>
  </r>
  <r>
    <x v="1420"/>
    <s v="C1495"/>
    <d v="2024-02-29T04:00:00"/>
    <n v="15842"/>
    <x v="2"/>
    <x v="2"/>
    <s v="Electronics"/>
    <x v="2"/>
    <x v="0"/>
    <s v="Desktop"/>
    <n v="0"/>
    <n v="1"/>
    <x v="96"/>
    <n v="0"/>
    <x v="2"/>
    <x v="1"/>
    <x v="1"/>
  </r>
  <r>
    <x v="1421"/>
    <s v="C1092"/>
    <d v="2024-02-29T05:00:00"/>
    <n v="25386.38"/>
    <x v="0"/>
    <x v="3"/>
    <s v="Entertainment"/>
    <x v="0"/>
    <x v="4"/>
    <s v="Mobile"/>
    <n v="0"/>
    <n v="2"/>
    <x v="33"/>
    <n v="1"/>
    <x v="0"/>
    <x v="1"/>
    <x v="0"/>
  </r>
  <r>
    <x v="1422"/>
    <s v="C1355"/>
    <d v="2024-02-29T06:00:00"/>
    <n v="2126.56"/>
    <x v="2"/>
    <x v="1"/>
    <s v="Travel"/>
    <x v="4"/>
    <x v="2"/>
    <s v="Desktop"/>
    <n v="0"/>
    <n v="4"/>
    <x v="235"/>
    <n v="1"/>
    <x v="0"/>
    <x v="1"/>
    <x v="0"/>
  </r>
  <r>
    <x v="1423"/>
    <s v="C1331"/>
    <d v="2024-02-29T07:00:00"/>
    <n v="7459.74"/>
    <x v="0"/>
    <x v="0"/>
    <s v="Retail"/>
    <x v="3"/>
    <x v="2"/>
    <s v="Tablet"/>
    <n v="0"/>
    <n v="2"/>
    <x v="193"/>
    <n v="0"/>
    <x v="2"/>
    <x v="1"/>
    <x v="1"/>
  </r>
  <r>
    <x v="1424"/>
    <s v="C1330"/>
    <d v="2024-02-29T08:00:00"/>
    <n v="49332.17"/>
    <x v="2"/>
    <x v="3"/>
    <s v="Travel"/>
    <x v="0"/>
    <x v="4"/>
    <s v="Mobile"/>
    <n v="1"/>
    <n v="4"/>
    <x v="477"/>
    <n v="1"/>
    <x v="1"/>
    <x v="1"/>
    <x v="0"/>
  </r>
  <r>
    <x v="1425"/>
    <s v="C1069"/>
    <d v="2024-02-29T09:00:00"/>
    <n v="48257.68"/>
    <x v="1"/>
    <x v="3"/>
    <s v="Food"/>
    <x v="3"/>
    <x v="3"/>
    <s v="Desktop"/>
    <n v="0"/>
    <n v="1"/>
    <x v="31"/>
    <n v="1"/>
    <x v="0"/>
    <x v="1"/>
    <x v="0"/>
  </r>
  <r>
    <x v="1426"/>
    <s v="C1013"/>
    <d v="2024-02-29T10:00:00"/>
    <n v="296.75"/>
    <x v="3"/>
    <x v="0"/>
    <s v="Electronics"/>
    <x v="2"/>
    <x v="3"/>
    <s v="Tablet"/>
    <n v="1"/>
    <n v="1"/>
    <x v="740"/>
    <n v="0"/>
    <x v="2"/>
    <x v="1"/>
    <x v="1"/>
  </r>
  <r>
    <x v="1427"/>
    <s v="C1497"/>
    <d v="2024-02-29T11:00:00"/>
    <n v="47593"/>
    <x v="1"/>
    <x v="0"/>
    <s v="Electronics"/>
    <x v="4"/>
    <x v="1"/>
    <s v="Tablet"/>
    <n v="0"/>
    <n v="1"/>
    <x v="500"/>
    <n v="1"/>
    <x v="0"/>
    <x v="1"/>
    <x v="0"/>
  </r>
  <r>
    <x v="1428"/>
    <s v="C1136"/>
    <d v="2024-02-29T12:00:00"/>
    <n v="31974.04"/>
    <x v="0"/>
    <x v="0"/>
    <s v="Entertainment"/>
    <x v="0"/>
    <x v="4"/>
    <s v="Desktop"/>
    <n v="0"/>
    <n v="0"/>
    <x v="452"/>
    <n v="0"/>
    <x v="2"/>
    <x v="1"/>
    <x v="1"/>
  </r>
  <r>
    <x v="1429"/>
    <s v="C1292"/>
    <d v="2024-02-29T13:00:00"/>
    <n v="43402.52"/>
    <x v="1"/>
    <x v="1"/>
    <s v="Electronics"/>
    <x v="2"/>
    <x v="4"/>
    <s v="Tablet"/>
    <n v="0"/>
    <n v="2"/>
    <x v="147"/>
    <n v="1"/>
    <x v="1"/>
    <x v="1"/>
    <x v="0"/>
  </r>
  <r>
    <x v="1430"/>
    <s v="C1096"/>
    <d v="2024-02-29T14:00:00"/>
    <n v="22764.26"/>
    <x v="0"/>
    <x v="0"/>
    <s v="Retail"/>
    <x v="1"/>
    <x v="0"/>
    <s v="Mobile"/>
    <n v="1"/>
    <n v="4"/>
    <x v="780"/>
    <n v="1"/>
    <x v="1"/>
    <x v="1"/>
    <x v="0"/>
  </r>
  <r>
    <x v="1431"/>
    <s v="C1147"/>
    <d v="2024-02-29T15:00:00"/>
    <n v="25804.02"/>
    <x v="2"/>
    <x v="2"/>
    <s v="Food"/>
    <x v="2"/>
    <x v="3"/>
    <s v="Mobile"/>
    <n v="1"/>
    <n v="1"/>
    <x v="781"/>
    <n v="1"/>
    <x v="0"/>
    <x v="1"/>
    <x v="0"/>
  </r>
  <r>
    <x v="1432"/>
    <s v="C1024"/>
    <d v="2024-02-29T16:00:00"/>
    <n v="24467.89"/>
    <x v="2"/>
    <x v="3"/>
    <s v="Travel"/>
    <x v="3"/>
    <x v="3"/>
    <s v="Tablet"/>
    <n v="0"/>
    <n v="1"/>
    <x v="782"/>
    <n v="0"/>
    <x v="2"/>
    <x v="1"/>
    <x v="1"/>
  </r>
  <r>
    <x v="1433"/>
    <s v="C1378"/>
    <d v="2024-02-29T17:00:00"/>
    <n v="33359.870000000003"/>
    <x v="0"/>
    <x v="0"/>
    <s v="Food"/>
    <x v="4"/>
    <x v="4"/>
    <s v="Mobile"/>
    <n v="0"/>
    <n v="4"/>
    <x v="600"/>
    <n v="1"/>
    <x v="1"/>
    <x v="1"/>
    <x v="0"/>
  </r>
  <r>
    <x v="1434"/>
    <s v="C1455"/>
    <d v="2024-02-29T18:00:00"/>
    <n v="7025.58"/>
    <x v="1"/>
    <x v="0"/>
    <s v="Electronics"/>
    <x v="4"/>
    <x v="1"/>
    <s v="Desktop"/>
    <n v="0"/>
    <n v="2"/>
    <x v="783"/>
    <n v="0"/>
    <x v="2"/>
    <x v="1"/>
    <x v="1"/>
  </r>
  <r>
    <x v="1435"/>
    <s v="C1266"/>
    <d v="2024-02-29T19:00:00"/>
    <n v="1547.18"/>
    <x v="2"/>
    <x v="1"/>
    <s v="Travel"/>
    <x v="2"/>
    <x v="4"/>
    <s v="Tablet"/>
    <n v="0"/>
    <n v="2"/>
    <x v="375"/>
    <n v="0"/>
    <x v="2"/>
    <x v="1"/>
    <x v="1"/>
  </r>
  <r>
    <x v="1436"/>
    <s v="C1015"/>
    <d v="2024-02-29T20:00:00"/>
    <n v="15431.1"/>
    <x v="3"/>
    <x v="1"/>
    <s v="Entertainment"/>
    <x v="1"/>
    <x v="1"/>
    <s v="Mobile"/>
    <n v="0"/>
    <n v="4"/>
    <x v="784"/>
    <n v="1"/>
    <x v="1"/>
    <x v="1"/>
    <x v="0"/>
  </r>
  <r>
    <x v="1437"/>
    <s v="C1409"/>
    <d v="2024-02-29T21:00:00"/>
    <n v="35248.800000000003"/>
    <x v="2"/>
    <x v="3"/>
    <s v="Food"/>
    <x v="3"/>
    <x v="3"/>
    <s v="Desktop"/>
    <n v="0"/>
    <n v="3"/>
    <x v="785"/>
    <n v="1"/>
    <x v="1"/>
    <x v="1"/>
    <x v="0"/>
  </r>
  <r>
    <x v="1438"/>
    <s v="C1140"/>
    <d v="2024-02-29T22:00:00"/>
    <n v="10132.58"/>
    <x v="3"/>
    <x v="2"/>
    <s v="Travel"/>
    <x v="2"/>
    <x v="0"/>
    <s v="Desktop"/>
    <n v="1"/>
    <n v="2"/>
    <x v="786"/>
    <n v="1"/>
    <x v="0"/>
    <x v="1"/>
    <x v="0"/>
  </r>
  <r>
    <x v="1439"/>
    <s v="C1037"/>
    <d v="2024-02-29T23:00:00"/>
    <n v="33687.949999999997"/>
    <x v="1"/>
    <x v="3"/>
    <s v="Travel"/>
    <x v="2"/>
    <x v="2"/>
    <s v="Mobile"/>
    <n v="0"/>
    <n v="4"/>
    <x v="768"/>
    <n v="1"/>
    <x v="1"/>
    <x v="1"/>
    <x v="0"/>
  </r>
  <r>
    <x v="1440"/>
    <s v="C1416"/>
    <d v="2024-03-01T00:00:00"/>
    <n v="48497.11"/>
    <x v="3"/>
    <x v="0"/>
    <s v="Travel"/>
    <x v="4"/>
    <x v="3"/>
    <s v="Tablet"/>
    <n v="0"/>
    <n v="4"/>
    <x v="787"/>
    <n v="1"/>
    <x v="1"/>
    <x v="2"/>
    <x v="0"/>
  </r>
  <r>
    <x v="1441"/>
    <s v="C1081"/>
    <d v="2024-03-01T01:00:00"/>
    <n v="4740.34"/>
    <x v="3"/>
    <x v="2"/>
    <s v="Retail"/>
    <x v="3"/>
    <x v="1"/>
    <s v="Desktop"/>
    <n v="0"/>
    <n v="1"/>
    <x v="788"/>
    <n v="0"/>
    <x v="2"/>
    <x v="2"/>
    <x v="1"/>
  </r>
  <r>
    <x v="1442"/>
    <s v="C1158"/>
    <d v="2024-03-01T02:00:00"/>
    <n v="33646.480000000003"/>
    <x v="3"/>
    <x v="2"/>
    <s v="Food"/>
    <x v="1"/>
    <x v="4"/>
    <s v="Desktop"/>
    <n v="0"/>
    <n v="4"/>
    <x v="73"/>
    <n v="1"/>
    <x v="1"/>
    <x v="2"/>
    <x v="0"/>
  </r>
  <r>
    <x v="1443"/>
    <s v="C1171"/>
    <d v="2024-03-01T03:00:00"/>
    <n v="22215.32"/>
    <x v="3"/>
    <x v="2"/>
    <s v="Travel"/>
    <x v="4"/>
    <x v="3"/>
    <s v="Desktop"/>
    <n v="0"/>
    <n v="0"/>
    <x v="346"/>
    <n v="0"/>
    <x v="2"/>
    <x v="2"/>
    <x v="1"/>
  </r>
  <r>
    <x v="1444"/>
    <s v="C1448"/>
    <d v="2024-03-01T04:00:00"/>
    <n v="43413.71"/>
    <x v="2"/>
    <x v="2"/>
    <s v="Food"/>
    <x v="2"/>
    <x v="0"/>
    <s v="Desktop"/>
    <n v="0"/>
    <n v="1"/>
    <x v="196"/>
    <n v="1"/>
    <x v="0"/>
    <x v="2"/>
    <x v="0"/>
  </r>
  <r>
    <x v="1445"/>
    <s v="C1043"/>
    <d v="2024-03-01T05:00:00"/>
    <n v="8898.6299999999992"/>
    <x v="3"/>
    <x v="3"/>
    <s v="Travel"/>
    <x v="4"/>
    <x v="1"/>
    <s v="Tablet"/>
    <n v="0"/>
    <n v="1"/>
    <x v="789"/>
    <n v="0"/>
    <x v="2"/>
    <x v="2"/>
    <x v="1"/>
  </r>
  <r>
    <x v="1446"/>
    <s v="C1236"/>
    <d v="2024-03-01T06:00:00"/>
    <n v="34646.67"/>
    <x v="2"/>
    <x v="1"/>
    <s v="Entertainment"/>
    <x v="4"/>
    <x v="4"/>
    <s v="Mobile"/>
    <n v="0"/>
    <n v="2"/>
    <x v="110"/>
    <n v="1"/>
    <x v="0"/>
    <x v="2"/>
    <x v="0"/>
  </r>
  <r>
    <x v="1447"/>
    <s v="C1196"/>
    <d v="2024-03-01T07:00:00"/>
    <n v="41913.86"/>
    <x v="3"/>
    <x v="1"/>
    <s v="Entertainment"/>
    <x v="0"/>
    <x v="2"/>
    <s v="Mobile"/>
    <n v="1"/>
    <n v="3"/>
    <x v="790"/>
    <n v="1"/>
    <x v="1"/>
    <x v="2"/>
    <x v="0"/>
  </r>
  <r>
    <x v="1448"/>
    <s v="C1045"/>
    <d v="2024-03-01T08:00:00"/>
    <n v="47233.48"/>
    <x v="0"/>
    <x v="0"/>
    <s v="Entertainment"/>
    <x v="4"/>
    <x v="1"/>
    <s v="Mobile"/>
    <n v="0"/>
    <n v="2"/>
    <x v="307"/>
    <n v="1"/>
    <x v="0"/>
    <x v="2"/>
    <x v="0"/>
  </r>
  <r>
    <x v="1449"/>
    <s v="C1262"/>
    <d v="2024-03-01T09:00:00"/>
    <n v="34178.239999999998"/>
    <x v="1"/>
    <x v="1"/>
    <s v="Electronics"/>
    <x v="4"/>
    <x v="4"/>
    <s v="Desktop"/>
    <n v="0"/>
    <n v="0"/>
    <x v="523"/>
    <n v="0"/>
    <x v="2"/>
    <x v="2"/>
    <x v="1"/>
  </r>
  <r>
    <x v="1450"/>
    <s v="C1428"/>
    <d v="2024-03-01T10:00:00"/>
    <n v="24883.88"/>
    <x v="3"/>
    <x v="1"/>
    <s v="Travel"/>
    <x v="3"/>
    <x v="2"/>
    <s v="Tablet"/>
    <n v="0"/>
    <n v="1"/>
    <x v="791"/>
    <n v="0"/>
    <x v="2"/>
    <x v="2"/>
    <x v="1"/>
  </r>
  <r>
    <x v="1451"/>
    <s v="C1425"/>
    <d v="2024-03-01T11:00:00"/>
    <n v="30911.47"/>
    <x v="0"/>
    <x v="1"/>
    <s v="Electronics"/>
    <x v="4"/>
    <x v="4"/>
    <s v="Mobile"/>
    <n v="0"/>
    <n v="1"/>
    <x v="702"/>
    <n v="1"/>
    <x v="0"/>
    <x v="2"/>
    <x v="0"/>
  </r>
  <r>
    <x v="1452"/>
    <s v="C1339"/>
    <d v="2024-03-01T12:00:00"/>
    <n v="43451.8"/>
    <x v="3"/>
    <x v="1"/>
    <s v="Food"/>
    <x v="1"/>
    <x v="2"/>
    <s v="Tablet"/>
    <n v="0"/>
    <n v="4"/>
    <x v="792"/>
    <n v="1"/>
    <x v="1"/>
    <x v="2"/>
    <x v="0"/>
  </r>
  <r>
    <x v="1453"/>
    <s v="C1272"/>
    <d v="2024-03-01T13:00:00"/>
    <n v="28551.96"/>
    <x v="3"/>
    <x v="0"/>
    <s v="Electronics"/>
    <x v="2"/>
    <x v="2"/>
    <s v="Mobile"/>
    <n v="0"/>
    <n v="3"/>
    <x v="590"/>
    <n v="1"/>
    <x v="0"/>
    <x v="2"/>
    <x v="0"/>
  </r>
  <r>
    <x v="1454"/>
    <s v="C1290"/>
    <d v="2024-03-01T14:00:00"/>
    <n v="1567.83"/>
    <x v="3"/>
    <x v="3"/>
    <s v="Food"/>
    <x v="3"/>
    <x v="2"/>
    <s v="Desktop"/>
    <n v="0"/>
    <n v="3"/>
    <x v="94"/>
    <n v="1"/>
    <x v="0"/>
    <x v="2"/>
    <x v="0"/>
  </r>
  <r>
    <x v="1455"/>
    <s v="C1198"/>
    <d v="2024-03-01T15:00:00"/>
    <n v="46550.89"/>
    <x v="0"/>
    <x v="2"/>
    <s v="Food"/>
    <x v="4"/>
    <x v="4"/>
    <s v="Mobile"/>
    <n v="1"/>
    <n v="4"/>
    <x v="793"/>
    <n v="1"/>
    <x v="1"/>
    <x v="2"/>
    <x v="0"/>
  </r>
  <r>
    <x v="1456"/>
    <s v="C1290"/>
    <d v="2024-03-01T16:00:00"/>
    <n v="34491.86"/>
    <x v="1"/>
    <x v="1"/>
    <s v="Food"/>
    <x v="1"/>
    <x v="2"/>
    <s v="Desktop"/>
    <n v="0"/>
    <n v="0"/>
    <x v="246"/>
    <n v="0"/>
    <x v="2"/>
    <x v="2"/>
    <x v="1"/>
  </r>
  <r>
    <x v="1457"/>
    <s v="C1166"/>
    <d v="2024-03-01T17:00:00"/>
    <n v="33841.839999999997"/>
    <x v="0"/>
    <x v="3"/>
    <s v="Electronics"/>
    <x v="2"/>
    <x v="1"/>
    <s v="Desktop"/>
    <n v="0"/>
    <n v="3"/>
    <x v="794"/>
    <n v="1"/>
    <x v="1"/>
    <x v="2"/>
    <x v="0"/>
  </r>
  <r>
    <x v="1458"/>
    <s v="C1199"/>
    <d v="2024-03-01T18:00:00"/>
    <n v="10822.97"/>
    <x v="1"/>
    <x v="1"/>
    <s v="Travel"/>
    <x v="3"/>
    <x v="0"/>
    <s v="Mobile"/>
    <n v="1"/>
    <n v="1"/>
    <x v="217"/>
    <n v="1"/>
    <x v="0"/>
    <x v="2"/>
    <x v="0"/>
  </r>
  <r>
    <x v="1459"/>
    <s v="C1497"/>
    <d v="2024-03-01T19:00:00"/>
    <n v="32961.33"/>
    <x v="3"/>
    <x v="1"/>
    <s v="Electronics"/>
    <x v="1"/>
    <x v="0"/>
    <s v="Tablet"/>
    <n v="0"/>
    <n v="0"/>
    <x v="237"/>
    <n v="0"/>
    <x v="2"/>
    <x v="2"/>
    <x v="1"/>
  </r>
  <r>
    <x v="1460"/>
    <s v="C1013"/>
    <d v="2024-03-01T20:00:00"/>
    <n v="19723.53"/>
    <x v="2"/>
    <x v="2"/>
    <s v="Travel"/>
    <x v="4"/>
    <x v="2"/>
    <s v="Desktop"/>
    <n v="0"/>
    <n v="2"/>
    <x v="517"/>
    <n v="1"/>
    <x v="0"/>
    <x v="2"/>
    <x v="0"/>
  </r>
  <r>
    <x v="1461"/>
    <s v="C1232"/>
    <d v="2024-03-01T21:00:00"/>
    <n v="32579.09"/>
    <x v="3"/>
    <x v="2"/>
    <s v="Travel"/>
    <x v="0"/>
    <x v="0"/>
    <s v="Tablet"/>
    <n v="0"/>
    <n v="2"/>
    <x v="500"/>
    <n v="1"/>
    <x v="0"/>
    <x v="2"/>
    <x v="0"/>
  </r>
  <r>
    <x v="1462"/>
    <s v="C1203"/>
    <d v="2024-03-01T22:00:00"/>
    <n v="5374.32"/>
    <x v="1"/>
    <x v="2"/>
    <s v="Food"/>
    <x v="0"/>
    <x v="0"/>
    <s v="Mobile"/>
    <n v="1"/>
    <n v="0"/>
    <x v="605"/>
    <n v="0"/>
    <x v="2"/>
    <x v="2"/>
    <x v="1"/>
  </r>
  <r>
    <x v="1463"/>
    <s v="C1400"/>
    <d v="2024-03-01T23:00:00"/>
    <n v="32909.370000000003"/>
    <x v="0"/>
    <x v="1"/>
    <s v="Electronics"/>
    <x v="3"/>
    <x v="2"/>
    <s v="Desktop"/>
    <n v="0"/>
    <n v="1"/>
    <x v="226"/>
    <n v="1"/>
    <x v="0"/>
    <x v="2"/>
    <x v="0"/>
  </r>
  <r>
    <x v="1464"/>
    <s v="C1273"/>
    <d v="2024-03-02T00:00:00"/>
    <n v="49970.720000000001"/>
    <x v="3"/>
    <x v="1"/>
    <s v="Travel"/>
    <x v="1"/>
    <x v="2"/>
    <s v="Tablet"/>
    <n v="1"/>
    <n v="2"/>
    <x v="453"/>
    <n v="1"/>
    <x v="1"/>
    <x v="2"/>
    <x v="0"/>
  </r>
  <r>
    <x v="1465"/>
    <s v="C1008"/>
    <d v="2024-03-02T01:00:00"/>
    <n v="2458.19"/>
    <x v="0"/>
    <x v="1"/>
    <s v="Entertainment"/>
    <x v="2"/>
    <x v="1"/>
    <s v="Desktop"/>
    <n v="0"/>
    <n v="1"/>
    <x v="187"/>
    <n v="0"/>
    <x v="2"/>
    <x v="2"/>
    <x v="1"/>
  </r>
  <r>
    <x v="1466"/>
    <s v="C1151"/>
    <d v="2024-03-02T02:00:00"/>
    <n v="48859.85"/>
    <x v="0"/>
    <x v="2"/>
    <s v="Travel"/>
    <x v="1"/>
    <x v="3"/>
    <s v="Mobile"/>
    <n v="0"/>
    <n v="4"/>
    <x v="795"/>
    <n v="1"/>
    <x v="1"/>
    <x v="2"/>
    <x v="0"/>
  </r>
  <r>
    <x v="1467"/>
    <s v="C1252"/>
    <d v="2024-03-02T03:00:00"/>
    <n v="20375.05"/>
    <x v="0"/>
    <x v="0"/>
    <s v="Entertainment"/>
    <x v="0"/>
    <x v="4"/>
    <s v="Desktop"/>
    <n v="0"/>
    <n v="3"/>
    <x v="634"/>
    <n v="1"/>
    <x v="0"/>
    <x v="2"/>
    <x v="0"/>
  </r>
  <r>
    <x v="1468"/>
    <s v="C1196"/>
    <d v="2024-03-02T04:00:00"/>
    <n v="43544.13"/>
    <x v="3"/>
    <x v="3"/>
    <s v="Electronics"/>
    <x v="3"/>
    <x v="2"/>
    <s v="Mobile"/>
    <n v="0"/>
    <n v="0"/>
    <x v="445"/>
    <n v="1"/>
    <x v="0"/>
    <x v="2"/>
    <x v="0"/>
  </r>
  <r>
    <x v="1469"/>
    <s v="C1318"/>
    <d v="2024-03-02T05:00:00"/>
    <n v="39130.15"/>
    <x v="0"/>
    <x v="0"/>
    <s v="Electronics"/>
    <x v="4"/>
    <x v="2"/>
    <s v="Tablet"/>
    <n v="0"/>
    <n v="3"/>
    <x v="796"/>
    <n v="1"/>
    <x v="1"/>
    <x v="2"/>
    <x v="0"/>
  </r>
  <r>
    <x v="1470"/>
    <s v="C1036"/>
    <d v="2024-03-02T06:00:00"/>
    <n v="28372.46"/>
    <x v="0"/>
    <x v="1"/>
    <s v="Electronics"/>
    <x v="1"/>
    <x v="0"/>
    <s v="Desktop"/>
    <n v="0"/>
    <n v="4"/>
    <x v="646"/>
    <n v="1"/>
    <x v="1"/>
    <x v="2"/>
    <x v="0"/>
  </r>
  <r>
    <x v="1471"/>
    <s v="C1186"/>
    <d v="2024-03-02T07:00:00"/>
    <n v="36935.54"/>
    <x v="3"/>
    <x v="1"/>
    <s v="Travel"/>
    <x v="0"/>
    <x v="1"/>
    <s v="Tablet"/>
    <n v="0"/>
    <n v="2"/>
    <x v="652"/>
    <n v="1"/>
    <x v="0"/>
    <x v="2"/>
    <x v="0"/>
  </r>
  <r>
    <x v="1472"/>
    <s v="C1179"/>
    <d v="2024-03-02T08:00:00"/>
    <n v="43931.85"/>
    <x v="0"/>
    <x v="0"/>
    <s v="Retail"/>
    <x v="2"/>
    <x v="0"/>
    <s v="Mobile"/>
    <n v="0"/>
    <n v="1"/>
    <x v="212"/>
    <n v="1"/>
    <x v="0"/>
    <x v="2"/>
    <x v="0"/>
  </r>
  <r>
    <x v="1473"/>
    <s v="C1235"/>
    <d v="2024-03-02T09:00:00"/>
    <n v="20236.810000000001"/>
    <x v="3"/>
    <x v="1"/>
    <s v="Travel"/>
    <x v="3"/>
    <x v="2"/>
    <s v="Mobile"/>
    <n v="0"/>
    <n v="1"/>
    <x v="797"/>
    <n v="0"/>
    <x v="2"/>
    <x v="2"/>
    <x v="1"/>
  </r>
  <r>
    <x v="1474"/>
    <s v="C1291"/>
    <d v="2024-03-02T10:00:00"/>
    <n v="16385.310000000001"/>
    <x v="1"/>
    <x v="3"/>
    <s v="Travel"/>
    <x v="4"/>
    <x v="2"/>
    <s v="Tablet"/>
    <n v="0"/>
    <n v="4"/>
    <x v="798"/>
    <n v="1"/>
    <x v="1"/>
    <x v="2"/>
    <x v="0"/>
  </r>
  <r>
    <x v="1475"/>
    <s v="C1362"/>
    <d v="2024-03-02T11:00:00"/>
    <n v="33396.29"/>
    <x v="1"/>
    <x v="1"/>
    <s v="Food"/>
    <x v="1"/>
    <x v="0"/>
    <s v="Tablet"/>
    <n v="0"/>
    <n v="0"/>
    <x v="198"/>
    <n v="0"/>
    <x v="2"/>
    <x v="2"/>
    <x v="1"/>
  </r>
  <r>
    <x v="1476"/>
    <s v="C1427"/>
    <d v="2024-03-02T12:00:00"/>
    <n v="40401.9"/>
    <x v="1"/>
    <x v="3"/>
    <s v="Food"/>
    <x v="2"/>
    <x v="2"/>
    <s v="Mobile"/>
    <n v="0"/>
    <n v="3"/>
    <x v="784"/>
    <n v="1"/>
    <x v="1"/>
    <x v="2"/>
    <x v="0"/>
  </r>
  <r>
    <x v="1477"/>
    <s v="C1191"/>
    <d v="2024-03-02T13:00:00"/>
    <n v="38126.14"/>
    <x v="0"/>
    <x v="0"/>
    <s v="Travel"/>
    <x v="4"/>
    <x v="3"/>
    <s v="Tablet"/>
    <n v="0"/>
    <n v="2"/>
    <x v="87"/>
    <n v="1"/>
    <x v="0"/>
    <x v="2"/>
    <x v="0"/>
  </r>
  <r>
    <x v="1478"/>
    <s v="C1258"/>
    <d v="2024-03-02T14:00:00"/>
    <n v="39900.79"/>
    <x v="2"/>
    <x v="0"/>
    <s v="Entertainment"/>
    <x v="0"/>
    <x v="4"/>
    <s v="Mobile"/>
    <n v="0"/>
    <n v="0"/>
    <x v="791"/>
    <n v="0"/>
    <x v="2"/>
    <x v="2"/>
    <x v="1"/>
  </r>
  <r>
    <x v="1479"/>
    <s v="C1203"/>
    <d v="2024-03-02T15:00:00"/>
    <n v="21807.39"/>
    <x v="2"/>
    <x v="1"/>
    <s v="Food"/>
    <x v="0"/>
    <x v="4"/>
    <s v="Tablet"/>
    <n v="0"/>
    <n v="4"/>
    <x v="799"/>
    <n v="1"/>
    <x v="1"/>
    <x v="2"/>
    <x v="0"/>
  </r>
  <r>
    <x v="1480"/>
    <s v="C1292"/>
    <d v="2024-03-02T16:00:00"/>
    <n v="40900.82"/>
    <x v="0"/>
    <x v="3"/>
    <s v="Travel"/>
    <x v="2"/>
    <x v="4"/>
    <s v="Mobile"/>
    <n v="0"/>
    <n v="4"/>
    <x v="117"/>
    <n v="1"/>
    <x v="1"/>
    <x v="2"/>
    <x v="0"/>
  </r>
  <r>
    <x v="1481"/>
    <s v="C1353"/>
    <d v="2024-03-02T17:00:00"/>
    <n v="6054.44"/>
    <x v="2"/>
    <x v="1"/>
    <s v="Retail"/>
    <x v="0"/>
    <x v="3"/>
    <s v="Mobile"/>
    <n v="0"/>
    <n v="1"/>
    <x v="658"/>
    <n v="0"/>
    <x v="2"/>
    <x v="2"/>
    <x v="1"/>
  </r>
  <r>
    <x v="1482"/>
    <s v="C1435"/>
    <d v="2024-03-02T18:00:00"/>
    <n v="27247.23"/>
    <x v="3"/>
    <x v="2"/>
    <s v="Entertainment"/>
    <x v="3"/>
    <x v="2"/>
    <s v="Desktop"/>
    <n v="0"/>
    <n v="2"/>
    <x v="650"/>
    <n v="1"/>
    <x v="0"/>
    <x v="2"/>
    <x v="0"/>
  </r>
  <r>
    <x v="1483"/>
    <s v="C1199"/>
    <d v="2024-03-02T19:00:00"/>
    <n v="337.65"/>
    <x v="2"/>
    <x v="2"/>
    <s v="Electronics"/>
    <x v="2"/>
    <x v="0"/>
    <s v="Mobile"/>
    <n v="1"/>
    <n v="0"/>
    <x v="800"/>
    <n v="0"/>
    <x v="2"/>
    <x v="2"/>
    <x v="1"/>
  </r>
  <r>
    <x v="1484"/>
    <s v="C1212"/>
    <d v="2024-03-02T20:00:00"/>
    <n v="16263.06"/>
    <x v="0"/>
    <x v="2"/>
    <s v="Travel"/>
    <x v="0"/>
    <x v="1"/>
    <s v="Mobile"/>
    <n v="0"/>
    <n v="1"/>
    <x v="57"/>
    <n v="0"/>
    <x v="2"/>
    <x v="2"/>
    <x v="1"/>
  </r>
  <r>
    <x v="1485"/>
    <s v="C1023"/>
    <d v="2024-03-02T21:00:00"/>
    <n v="18354.75"/>
    <x v="0"/>
    <x v="2"/>
    <s v="Travel"/>
    <x v="1"/>
    <x v="2"/>
    <s v="Desktop"/>
    <n v="0"/>
    <n v="2"/>
    <x v="239"/>
    <n v="1"/>
    <x v="0"/>
    <x v="2"/>
    <x v="0"/>
  </r>
  <r>
    <x v="1486"/>
    <s v="C1309"/>
    <d v="2024-03-02T22:00:00"/>
    <n v="19838.830000000002"/>
    <x v="3"/>
    <x v="1"/>
    <s v="Entertainment"/>
    <x v="0"/>
    <x v="3"/>
    <s v="Desktop"/>
    <n v="0"/>
    <n v="3"/>
    <x v="112"/>
    <n v="1"/>
    <x v="0"/>
    <x v="2"/>
    <x v="0"/>
  </r>
  <r>
    <x v="1487"/>
    <s v="C1228"/>
    <d v="2024-03-02T23:00:00"/>
    <n v="34788.589999999997"/>
    <x v="1"/>
    <x v="2"/>
    <s v="Food"/>
    <x v="3"/>
    <x v="3"/>
    <s v="Tablet"/>
    <n v="0"/>
    <n v="3"/>
    <x v="39"/>
    <n v="1"/>
    <x v="0"/>
    <x v="2"/>
    <x v="0"/>
  </r>
  <r>
    <x v="1488"/>
    <s v="C1123"/>
    <d v="2024-03-03T00:00:00"/>
    <n v="19458.48"/>
    <x v="0"/>
    <x v="3"/>
    <s v="Food"/>
    <x v="4"/>
    <x v="4"/>
    <s v="Tablet"/>
    <n v="0"/>
    <n v="1"/>
    <x v="246"/>
    <n v="0"/>
    <x v="2"/>
    <x v="2"/>
    <x v="1"/>
  </r>
  <r>
    <x v="1489"/>
    <s v="C1161"/>
    <d v="2024-03-03T01:00:00"/>
    <n v="22462.25"/>
    <x v="3"/>
    <x v="0"/>
    <s v="Food"/>
    <x v="4"/>
    <x v="2"/>
    <s v="Mobile"/>
    <n v="0"/>
    <n v="0"/>
    <x v="366"/>
    <n v="0"/>
    <x v="2"/>
    <x v="2"/>
    <x v="1"/>
  </r>
  <r>
    <x v="1490"/>
    <s v="C1070"/>
    <d v="2024-03-03T02:00:00"/>
    <n v="11915.33"/>
    <x v="2"/>
    <x v="0"/>
    <s v="Electronics"/>
    <x v="0"/>
    <x v="4"/>
    <s v="Tablet"/>
    <n v="0"/>
    <n v="2"/>
    <x v="478"/>
    <n v="1"/>
    <x v="0"/>
    <x v="2"/>
    <x v="0"/>
  </r>
  <r>
    <x v="1491"/>
    <s v="C1306"/>
    <d v="2024-03-03T03:00:00"/>
    <n v="18693.93"/>
    <x v="2"/>
    <x v="2"/>
    <s v="Entertainment"/>
    <x v="4"/>
    <x v="1"/>
    <s v="Tablet"/>
    <n v="0"/>
    <n v="3"/>
    <x v="290"/>
    <n v="1"/>
    <x v="0"/>
    <x v="2"/>
    <x v="0"/>
  </r>
  <r>
    <x v="1492"/>
    <s v="C1228"/>
    <d v="2024-03-03T04:00:00"/>
    <n v="11402.12"/>
    <x v="3"/>
    <x v="2"/>
    <s v="Entertainment"/>
    <x v="0"/>
    <x v="4"/>
    <s v="Mobile"/>
    <n v="0"/>
    <n v="3"/>
    <x v="60"/>
    <n v="1"/>
    <x v="0"/>
    <x v="2"/>
    <x v="0"/>
  </r>
  <r>
    <x v="1493"/>
    <s v="C1037"/>
    <d v="2024-03-03T05:00:00"/>
    <n v="3706.14"/>
    <x v="3"/>
    <x v="2"/>
    <s v="Food"/>
    <x v="3"/>
    <x v="1"/>
    <s v="Desktop"/>
    <n v="0"/>
    <n v="0"/>
    <x v="801"/>
    <n v="0"/>
    <x v="2"/>
    <x v="2"/>
    <x v="1"/>
  </r>
  <r>
    <x v="1494"/>
    <s v="C1333"/>
    <d v="2024-03-03T06:00:00"/>
    <n v="30192.26"/>
    <x v="0"/>
    <x v="1"/>
    <s v="Food"/>
    <x v="4"/>
    <x v="3"/>
    <s v="Desktop"/>
    <n v="0"/>
    <n v="1"/>
    <x v="205"/>
    <n v="1"/>
    <x v="0"/>
    <x v="2"/>
    <x v="0"/>
  </r>
  <r>
    <x v="1495"/>
    <s v="C1274"/>
    <d v="2024-03-03T07:00:00"/>
    <n v="33427.230000000003"/>
    <x v="2"/>
    <x v="0"/>
    <s v="Retail"/>
    <x v="1"/>
    <x v="4"/>
    <s v="Mobile"/>
    <n v="0"/>
    <n v="4"/>
    <x v="802"/>
    <n v="1"/>
    <x v="1"/>
    <x v="2"/>
    <x v="0"/>
  </r>
  <r>
    <x v="1496"/>
    <s v="C1017"/>
    <d v="2024-03-03T08:00:00"/>
    <n v="30993.54"/>
    <x v="3"/>
    <x v="2"/>
    <s v="Retail"/>
    <x v="0"/>
    <x v="4"/>
    <s v="Mobile"/>
    <n v="0"/>
    <n v="2"/>
    <x v="315"/>
    <n v="1"/>
    <x v="0"/>
    <x v="2"/>
    <x v="0"/>
  </r>
  <r>
    <x v="1497"/>
    <s v="C1486"/>
    <d v="2024-03-03T09:00:00"/>
    <n v="23201.53"/>
    <x v="2"/>
    <x v="3"/>
    <s v="Travel"/>
    <x v="4"/>
    <x v="0"/>
    <s v="Mobile"/>
    <n v="0"/>
    <n v="3"/>
    <x v="299"/>
    <n v="1"/>
    <x v="0"/>
    <x v="2"/>
    <x v="0"/>
  </r>
  <r>
    <x v="1498"/>
    <s v="C1350"/>
    <d v="2024-03-03T10:00:00"/>
    <n v="19020.3"/>
    <x v="3"/>
    <x v="2"/>
    <s v="Travel"/>
    <x v="3"/>
    <x v="3"/>
    <s v="Mobile"/>
    <n v="0"/>
    <n v="4"/>
    <x v="663"/>
    <n v="1"/>
    <x v="0"/>
    <x v="2"/>
    <x v="0"/>
  </r>
  <r>
    <x v="1499"/>
    <s v="C1361"/>
    <d v="2024-03-03T11:00:00"/>
    <n v="43173.52"/>
    <x v="2"/>
    <x v="0"/>
    <s v="Entertainment"/>
    <x v="3"/>
    <x v="0"/>
    <s v="Mobile"/>
    <n v="0"/>
    <n v="0"/>
    <x v="392"/>
    <n v="1"/>
    <x v="0"/>
    <x v="2"/>
    <x v="0"/>
  </r>
  <r>
    <x v="1500"/>
    <s v="C1039"/>
    <d v="2024-03-03T12:00:00"/>
    <n v="25978.14"/>
    <x v="1"/>
    <x v="2"/>
    <s v="Entertainment"/>
    <x v="1"/>
    <x v="1"/>
    <s v="Mobile"/>
    <n v="0"/>
    <n v="1"/>
    <x v="423"/>
    <n v="1"/>
    <x v="0"/>
    <x v="2"/>
    <x v="0"/>
  </r>
  <r>
    <x v="1501"/>
    <s v="C1325"/>
    <d v="2024-03-03T13:00:00"/>
    <n v="23985.13"/>
    <x v="0"/>
    <x v="0"/>
    <s v="Electronics"/>
    <x v="3"/>
    <x v="1"/>
    <s v="Tablet"/>
    <n v="0"/>
    <n v="2"/>
    <x v="739"/>
    <n v="1"/>
    <x v="0"/>
    <x v="2"/>
    <x v="0"/>
  </r>
  <r>
    <x v="1502"/>
    <s v="C1165"/>
    <d v="2024-03-03T14:00:00"/>
    <n v="1330.82"/>
    <x v="2"/>
    <x v="2"/>
    <s v="Electronics"/>
    <x v="3"/>
    <x v="3"/>
    <s v="Tablet"/>
    <n v="0"/>
    <n v="0"/>
    <x v="803"/>
    <n v="0"/>
    <x v="2"/>
    <x v="2"/>
    <x v="1"/>
  </r>
  <r>
    <x v="1503"/>
    <s v="C1270"/>
    <d v="2024-03-03T15:00:00"/>
    <n v="17095.330000000002"/>
    <x v="1"/>
    <x v="3"/>
    <s v="Retail"/>
    <x v="4"/>
    <x v="1"/>
    <s v="Tablet"/>
    <n v="0"/>
    <n v="1"/>
    <x v="342"/>
    <n v="0"/>
    <x v="2"/>
    <x v="2"/>
    <x v="1"/>
  </r>
  <r>
    <x v="1504"/>
    <s v="C1468"/>
    <d v="2024-03-03T16:00:00"/>
    <n v="19040.77"/>
    <x v="2"/>
    <x v="2"/>
    <s v="Travel"/>
    <x v="0"/>
    <x v="3"/>
    <s v="Desktop"/>
    <n v="0"/>
    <n v="0"/>
    <x v="804"/>
    <n v="0"/>
    <x v="2"/>
    <x v="2"/>
    <x v="1"/>
  </r>
  <r>
    <x v="1505"/>
    <s v="C1435"/>
    <d v="2024-03-03T17:00:00"/>
    <n v="19971.2"/>
    <x v="2"/>
    <x v="3"/>
    <s v="Retail"/>
    <x v="2"/>
    <x v="1"/>
    <s v="Mobile"/>
    <n v="0"/>
    <n v="3"/>
    <x v="522"/>
    <n v="1"/>
    <x v="0"/>
    <x v="2"/>
    <x v="0"/>
  </r>
  <r>
    <x v="1506"/>
    <s v="C1323"/>
    <d v="2024-03-03T18:00:00"/>
    <n v="29029.61"/>
    <x v="1"/>
    <x v="3"/>
    <s v="Retail"/>
    <x v="3"/>
    <x v="2"/>
    <s v="Mobile"/>
    <n v="0"/>
    <n v="3"/>
    <x v="687"/>
    <n v="1"/>
    <x v="1"/>
    <x v="2"/>
    <x v="0"/>
  </r>
  <r>
    <x v="1507"/>
    <s v="C1436"/>
    <d v="2024-03-03T19:00:00"/>
    <n v="26703.45"/>
    <x v="2"/>
    <x v="2"/>
    <s v="Travel"/>
    <x v="3"/>
    <x v="4"/>
    <s v="Tablet"/>
    <n v="0"/>
    <n v="4"/>
    <x v="805"/>
    <n v="1"/>
    <x v="1"/>
    <x v="2"/>
    <x v="0"/>
  </r>
  <r>
    <x v="1508"/>
    <s v="C1487"/>
    <d v="2024-03-03T20:00:00"/>
    <n v="30414.86"/>
    <x v="2"/>
    <x v="3"/>
    <s v="Electronics"/>
    <x v="2"/>
    <x v="2"/>
    <s v="Desktop"/>
    <n v="0"/>
    <n v="0"/>
    <x v="93"/>
    <n v="0"/>
    <x v="2"/>
    <x v="2"/>
    <x v="1"/>
  </r>
  <r>
    <x v="1509"/>
    <s v="C1491"/>
    <d v="2024-03-03T21:00:00"/>
    <n v="38255.919999999998"/>
    <x v="0"/>
    <x v="1"/>
    <s v="Travel"/>
    <x v="3"/>
    <x v="3"/>
    <s v="Tablet"/>
    <n v="0"/>
    <n v="3"/>
    <x v="806"/>
    <n v="1"/>
    <x v="1"/>
    <x v="2"/>
    <x v="0"/>
  </r>
  <r>
    <x v="1510"/>
    <s v="C1291"/>
    <d v="2024-03-03T22:00:00"/>
    <n v="40658.639999999999"/>
    <x v="1"/>
    <x v="2"/>
    <s v="Food"/>
    <x v="4"/>
    <x v="3"/>
    <s v="Mobile"/>
    <n v="0"/>
    <n v="1"/>
    <x v="727"/>
    <n v="1"/>
    <x v="0"/>
    <x v="2"/>
    <x v="0"/>
  </r>
  <r>
    <x v="1511"/>
    <s v="C1297"/>
    <d v="2024-03-03T23:00:00"/>
    <n v="35920.25"/>
    <x v="1"/>
    <x v="2"/>
    <s v="Food"/>
    <x v="4"/>
    <x v="2"/>
    <s v="Mobile"/>
    <n v="0"/>
    <n v="4"/>
    <x v="807"/>
    <n v="1"/>
    <x v="1"/>
    <x v="2"/>
    <x v="0"/>
  </r>
  <r>
    <x v="1512"/>
    <s v="C1271"/>
    <d v="2024-03-04T00:00:00"/>
    <n v="47778.41"/>
    <x v="3"/>
    <x v="3"/>
    <s v="Food"/>
    <x v="2"/>
    <x v="4"/>
    <s v="Tablet"/>
    <n v="0"/>
    <n v="2"/>
    <x v="669"/>
    <n v="1"/>
    <x v="1"/>
    <x v="2"/>
    <x v="0"/>
  </r>
  <r>
    <x v="1513"/>
    <s v="C1033"/>
    <d v="2024-03-04T01:00:00"/>
    <n v="960.72"/>
    <x v="2"/>
    <x v="3"/>
    <s v="Entertainment"/>
    <x v="3"/>
    <x v="4"/>
    <s v="Tablet"/>
    <n v="0"/>
    <n v="0"/>
    <x v="808"/>
    <n v="0"/>
    <x v="2"/>
    <x v="2"/>
    <x v="1"/>
  </r>
  <r>
    <x v="1514"/>
    <s v="C1102"/>
    <d v="2024-03-04T02:00:00"/>
    <n v="9829.11"/>
    <x v="0"/>
    <x v="2"/>
    <s v="Electronics"/>
    <x v="3"/>
    <x v="0"/>
    <s v="Mobile"/>
    <n v="0"/>
    <n v="3"/>
    <x v="512"/>
    <n v="1"/>
    <x v="0"/>
    <x v="2"/>
    <x v="0"/>
  </r>
  <r>
    <x v="1515"/>
    <s v="C1188"/>
    <d v="2024-03-04T03:00:00"/>
    <n v="427.77"/>
    <x v="2"/>
    <x v="1"/>
    <s v="Electronics"/>
    <x v="0"/>
    <x v="1"/>
    <s v="Tablet"/>
    <n v="0"/>
    <n v="1"/>
    <x v="605"/>
    <n v="0"/>
    <x v="2"/>
    <x v="2"/>
    <x v="1"/>
  </r>
  <r>
    <x v="1516"/>
    <s v="C1331"/>
    <d v="2024-03-04T04:00:00"/>
    <n v="32391.360000000001"/>
    <x v="2"/>
    <x v="3"/>
    <s v="Entertainment"/>
    <x v="3"/>
    <x v="0"/>
    <s v="Mobile"/>
    <n v="1"/>
    <n v="0"/>
    <x v="566"/>
    <n v="1"/>
    <x v="0"/>
    <x v="2"/>
    <x v="0"/>
  </r>
  <r>
    <x v="1517"/>
    <s v="C1357"/>
    <d v="2024-03-04T05:00:00"/>
    <n v="44906.63"/>
    <x v="3"/>
    <x v="3"/>
    <s v="Retail"/>
    <x v="4"/>
    <x v="4"/>
    <s v="Tablet"/>
    <n v="0"/>
    <n v="1"/>
    <x v="630"/>
    <n v="1"/>
    <x v="0"/>
    <x v="2"/>
    <x v="0"/>
  </r>
  <r>
    <x v="1518"/>
    <s v="C1214"/>
    <d v="2024-03-04T06:00:00"/>
    <n v="12211.94"/>
    <x v="2"/>
    <x v="0"/>
    <s v="Food"/>
    <x v="1"/>
    <x v="2"/>
    <s v="Desktop"/>
    <n v="0"/>
    <n v="4"/>
    <x v="538"/>
    <n v="1"/>
    <x v="1"/>
    <x v="2"/>
    <x v="0"/>
  </r>
  <r>
    <x v="1519"/>
    <s v="C1448"/>
    <d v="2024-03-04T07:00:00"/>
    <n v="46355.38"/>
    <x v="0"/>
    <x v="1"/>
    <s v="Food"/>
    <x v="1"/>
    <x v="1"/>
    <s v="Mobile"/>
    <n v="0"/>
    <n v="3"/>
    <x v="809"/>
    <n v="1"/>
    <x v="1"/>
    <x v="2"/>
    <x v="0"/>
  </r>
  <r>
    <x v="1520"/>
    <s v="C1189"/>
    <d v="2024-03-04T08:00:00"/>
    <n v="3060.36"/>
    <x v="0"/>
    <x v="1"/>
    <s v="Retail"/>
    <x v="1"/>
    <x v="2"/>
    <s v="Desktop"/>
    <n v="0"/>
    <n v="3"/>
    <x v="810"/>
    <n v="1"/>
    <x v="0"/>
    <x v="2"/>
    <x v="0"/>
  </r>
  <r>
    <x v="1521"/>
    <s v="C1257"/>
    <d v="2024-03-04T09:00:00"/>
    <n v="46725.08"/>
    <x v="3"/>
    <x v="2"/>
    <s v="Travel"/>
    <x v="1"/>
    <x v="0"/>
    <s v="Tablet"/>
    <n v="1"/>
    <n v="4"/>
    <x v="811"/>
    <n v="1"/>
    <x v="1"/>
    <x v="2"/>
    <x v="0"/>
  </r>
  <r>
    <x v="1522"/>
    <s v="C1498"/>
    <d v="2024-03-04T10:00:00"/>
    <n v="17613.55"/>
    <x v="2"/>
    <x v="1"/>
    <s v="Travel"/>
    <x v="3"/>
    <x v="3"/>
    <s v="Desktop"/>
    <n v="0"/>
    <n v="1"/>
    <x v="138"/>
    <n v="0"/>
    <x v="2"/>
    <x v="2"/>
    <x v="1"/>
  </r>
  <r>
    <x v="1523"/>
    <s v="C1096"/>
    <d v="2024-03-04T11:00:00"/>
    <n v="5115.97"/>
    <x v="0"/>
    <x v="2"/>
    <s v="Electronics"/>
    <x v="3"/>
    <x v="2"/>
    <s v="Tablet"/>
    <n v="1"/>
    <n v="0"/>
    <x v="812"/>
    <n v="0"/>
    <x v="2"/>
    <x v="2"/>
    <x v="1"/>
  </r>
  <r>
    <x v="1524"/>
    <s v="C1066"/>
    <d v="2024-03-04T12:00:00"/>
    <n v="24319.29"/>
    <x v="2"/>
    <x v="0"/>
    <s v="Entertainment"/>
    <x v="0"/>
    <x v="0"/>
    <s v="Desktop"/>
    <n v="0"/>
    <n v="1"/>
    <x v="544"/>
    <n v="0"/>
    <x v="2"/>
    <x v="2"/>
    <x v="1"/>
  </r>
  <r>
    <x v="1525"/>
    <s v="C1198"/>
    <d v="2024-03-04T13:00:00"/>
    <n v="12875.99"/>
    <x v="2"/>
    <x v="1"/>
    <s v="Electronics"/>
    <x v="3"/>
    <x v="0"/>
    <s v="Desktop"/>
    <n v="0"/>
    <n v="0"/>
    <x v="169"/>
    <n v="0"/>
    <x v="2"/>
    <x v="2"/>
    <x v="1"/>
  </r>
  <r>
    <x v="1526"/>
    <s v="C1097"/>
    <d v="2024-03-04T14:00:00"/>
    <n v="14279.4"/>
    <x v="2"/>
    <x v="3"/>
    <s v="Travel"/>
    <x v="1"/>
    <x v="0"/>
    <s v="Desktop"/>
    <n v="0"/>
    <n v="4"/>
    <x v="134"/>
    <n v="1"/>
    <x v="1"/>
    <x v="2"/>
    <x v="0"/>
  </r>
  <r>
    <x v="1527"/>
    <s v="C1401"/>
    <d v="2024-03-04T15:00:00"/>
    <n v="15399.13"/>
    <x v="3"/>
    <x v="0"/>
    <s v="Retail"/>
    <x v="2"/>
    <x v="3"/>
    <s v="Mobile"/>
    <n v="0"/>
    <n v="2"/>
    <x v="140"/>
    <n v="1"/>
    <x v="0"/>
    <x v="2"/>
    <x v="0"/>
  </r>
  <r>
    <x v="1528"/>
    <s v="C1455"/>
    <d v="2024-03-04T16:00:00"/>
    <n v="40161.14"/>
    <x v="2"/>
    <x v="2"/>
    <s v="Electronics"/>
    <x v="2"/>
    <x v="3"/>
    <s v="Desktop"/>
    <n v="0"/>
    <n v="0"/>
    <x v="520"/>
    <n v="1"/>
    <x v="0"/>
    <x v="2"/>
    <x v="0"/>
  </r>
  <r>
    <x v="1529"/>
    <s v="C1435"/>
    <d v="2024-03-04T17:00:00"/>
    <n v="26981.11"/>
    <x v="0"/>
    <x v="0"/>
    <s v="Food"/>
    <x v="4"/>
    <x v="3"/>
    <s v="Tablet"/>
    <n v="0"/>
    <n v="3"/>
    <x v="111"/>
    <n v="1"/>
    <x v="1"/>
    <x v="2"/>
    <x v="0"/>
  </r>
  <r>
    <x v="1530"/>
    <s v="C1113"/>
    <d v="2024-03-04T18:00:00"/>
    <n v="15599.82"/>
    <x v="2"/>
    <x v="2"/>
    <s v="Food"/>
    <x v="4"/>
    <x v="1"/>
    <s v="Tablet"/>
    <n v="0"/>
    <n v="3"/>
    <x v="813"/>
    <n v="1"/>
    <x v="0"/>
    <x v="2"/>
    <x v="0"/>
  </r>
  <r>
    <x v="1531"/>
    <s v="C1215"/>
    <d v="2024-03-04T19:00:00"/>
    <n v="30536.17"/>
    <x v="0"/>
    <x v="0"/>
    <s v="Retail"/>
    <x v="3"/>
    <x v="3"/>
    <s v="Mobile"/>
    <n v="0"/>
    <n v="3"/>
    <x v="114"/>
    <n v="1"/>
    <x v="0"/>
    <x v="2"/>
    <x v="0"/>
  </r>
  <r>
    <x v="1532"/>
    <s v="C1252"/>
    <d v="2024-03-04T20:00:00"/>
    <n v="35821.730000000003"/>
    <x v="2"/>
    <x v="2"/>
    <s v="Travel"/>
    <x v="2"/>
    <x v="3"/>
    <s v="Mobile"/>
    <n v="1"/>
    <n v="1"/>
    <x v="70"/>
    <n v="1"/>
    <x v="1"/>
    <x v="2"/>
    <x v="0"/>
  </r>
  <r>
    <x v="1533"/>
    <s v="C1407"/>
    <d v="2024-03-04T21:00:00"/>
    <n v="13667.57"/>
    <x v="0"/>
    <x v="1"/>
    <s v="Food"/>
    <x v="1"/>
    <x v="3"/>
    <s v="Tablet"/>
    <n v="0"/>
    <n v="1"/>
    <x v="410"/>
    <n v="0"/>
    <x v="2"/>
    <x v="2"/>
    <x v="1"/>
  </r>
  <r>
    <x v="1534"/>
    <s v="C1270"/>
    <d v="2024-03-04T22:00:00"/>
    <n v="20706.78"/>
    <x v="0"/>
    <x v="3"/>
    <s v="Food"/>
    <x v="1"/>
    <x v="2"/>
    <s v="Desktop"/>
    <n v="0"/>
    <n v="1"/>
    <x v="166"/>
    <n v="0"/>
    <x v="2"/>
    <x v="2"/>
    <x v="1"/>
  </r>
  <r>
    <x v="1535"/>
    <s v="C1156"/>
    <d v="2024-03-04T23:00:00"/>
    <n v="6138.21"/>
    <x v="2"/>
    <x v="2"/>
    <s v="Entertainment"/>
    <x v="1"/>
    <x v="3"/>
    <s v="Tablet"/>
    <n v="0"/>
    <n v="3"/>
    <x v="814"/>
    <n v="1"/>
    <x v="0"/>
    <x v="2"/>
    <x v="0"/>
  </r>
  <r>
    <x v="1536"/>
    <s v="C1432"/>
    <d v="2024-03-05T00:00:00"/>
    <n v="9098.41"/>
    <x v="2"/>
    <x v="0"/>
    <s v="Electronics"/>
    <x v="3"/>
    <x v="1"/>
    <s v="Mobile"/>
    <n v="0"/>
    <n v="0"/>
    <x v="606"/>
    <n v="0"/>
    <x v="2"/>
    <x v="2"/>
    <x v="1"/>
  </r>
  <r>
    <x v="1537"/>
    <s v="C1017"/>
    <d v="2024-03-05T01:00:00"/>
    <n v="34071.839999999997"/>
    <x v="0"/>
    <x v="2"/>
    <s v="Travel"/>
    <x v="3"/>
    <x v="0"/>
    <s v="Mobile"/>
    <n v="0"/>
    <n v="3"/>
    <x v="485"/>
    <n v="1"/>
    <x v="1"/>
    <x v="2"/>
    <x v="0"/>
  </r>
  <r>
    <x v="1538"/>
    <s v="C1157"/>
    <d v="2024-03-05T02:00:00"/>
    <n v="9112.85"/>
    <x v="1"/>
    <x v="2"/>
    <s v="Electronics"/>
    <x v="0"/>
    <x v="2"/>
    <s v="Tablet"/>
    <n v="0"/>
    <n v="0"/>
    <x v="606"/>
    <n v="0"/>
    <x v="2"/>
    <x v="2"/>
    <x v="1"/>
  </r>
  <r>
    <x v="1539"/>
    <s v="C1291"/>
    <d v="2024-03-05T03:00:00"/>
    <n v="26281.91"/>
    <x v="3"/>
    <x v="2"/>
    <s v="Travel"/>
    <x v="1"/>
    <x v="4"/>
    <s v="Desktop"/>
    <n v="1"/>
    <n v="1"/>
    <x v="175"/>
    <n v="1"/>
    <x v="0"/>
    <x v="2"/>
    <x v="0"/>
  </r>
  <r>
    <x v="1540"/>
    <s v="C1430"/>
    <d v="2024-03-05T04:00:00"/>
    <n v="35466.86"/>
    <x v="1"/>
    <x v="0"/>
    <s v="Food"/>
    <x v="1"/>
    <x v="3"/>
    <s v="Desktop"/>
    <n v="1"/>
    <n v="2"/>
    <x v="815"/>
    <n v="1"/>
    <x v="1"/>
    <x v="2"/>
    <x v="0"/>
  </r>
  <r>
    <x v="1541"/>
    <s v="C1447"/>
    <d v="2024-03-05T05:00:00"/>
    <n v="5388.5"/>
    <x v="1"/>
    <x v="3"/>
    <s v="Entertainment"/>
    <x v="3"/>
    <x v="0"/>
    <s v="Mobile"/>
    <n v="0"/>
    <n v="1"/>
    <x v="93"/>
    <n v="0"/>
    <x v="2"/>
    <x v="2"/>
    <x v="1"/>
  </r>
  <r>
    <x v="1542"/>
    <s v="C1188"/>
    <d v="2024-03-05T06:00:00"/>
    <n v="28387.25"/>
    <x v="2"/>
    <x v="1"/>
    <s v="Electronics"/>
    <x v="3"/>
    <x v="0"/>
    <s v="Tablet"/>
    <n v="0"/>
    <n v="4"/>
    <x v="646"/>
    <n v="1"/>
    <x v="1"/>
    <x v="2"/>
    <x v="0"/>
  </r>
  <r>
    <x v="1543"/>
    <s v="C1312"/>
    <d v="2024-03-05T07:00:00"/>
    <n v="12865.31"/>
    <x v="3"/>
    <x v="3"/>
    <s v="Food"/>
    <x v="0"/>
    <x v="2"/>
    <s v="Tablet"/>
    <n v="0"/>
    <n v="0"/>
    <x v="169"/>
    <n v="0"/>
    <x v="2"/>
    <x v="2"/>
    <x v="1"/>
  </r>
  <r>
    <x v="1544"/>
    <s v="C1498"/>
    <d v="2024-03-05T08:00:00"/>
    <n v="48148.2"/>
    <x v="1"/>
    <x v="2"/>
    <s v="Travel"/>
    <x v="0"/>
    <x v="4"/>
    <s v="Mobile"/>
    <n v="0"/>
    <n v="2"/>
    <x v="368"/>
    <n v="1"/>
    <x v="1"/>
    <x v="2"/>
    <x v="0"/>
  </r>
  <r>
    <x v="1545"/>
    <s v="C1245"/>
    <d v="2024-03-05T09:00:00"/>
    <n v="24203.11"/>
    <x v="2"/>
    <x v="0"/>
    <s v="Electronics"/>
    <x v="4"/>
    <x v="1"/>
    <s v="Tablet"/>
    <n v="0"/>
    <n v="1"/>
    <x v="816"/>
    <n v="0"/>
    <x v="2"/>
    <x v="2"/>
    <x v="1"/>
  </r>
  <r>
    <x v="1546"/>
    <s v="C1397"/>
    <d v="2024-03-05T10:00:00"/>
    <n v="40309.33"/>
    <x v="1"/>
    <x v="3"/>
    <s v="Electronics"/>
    <x v="2"/>
    <x v="0"/>
    <s v="Mobile"/>
    <n v="0"/>
    <n v="2"/>
    <x v="817"/>
    <n v="1"/>
    <x v="1"/>
    <x v="2"/>
    <x v="0"/>
  </r>
  <r>
    <x v="1547"/>
    <s v="C1116"/>
    <d v="2024-03-05T11:00:00"/>
    <n v="27533.82"/>
    <x v="1"/>
    <x v="2"/>
    <s v="Food"/>
    <x v="1"/>
    <x v="0"/>
    <s v="Desktop"/>
    <n v="1"/>
    <n v="3"/>
    <x v="818"/>
    <n v="1"/>
    <x v="1"/>
    <x v="2"/>
    <x v="0"/>
  </r>
  <r>
    <x v="1548"/>
    <s v="C1040"/>
    <d v="2024-03-05T12:00:00"/>
    <n v="2218.46"/>
    <x v="2"/>
    <x v="1"/>
    <s v="Electronics"/>
    <x v="1"/>
    <x v="0"/>
    <s v="Desktop"/>
    <n v="0"/>
    <n v="0"/>
    <x v="819"/>
    <n v="0"/>
    <x v="2"/>
    <x v="2"/>
    <x v="1"/>
  </r>
  <r>
    <x v="1549"/>
    <s v="C1089"/>
    <d v="2024-03-05T13:00:00"/>
    <n v="31675.91"/>
    <x v="2"/>
    <x v="1"/>
    <s v="Entertainment"/>
    <x v="0"/>
    <x v="0"/>
    <s v="Tablet"/>
    <n v="0"/>
    <n v="4"/>
    <x v="820"/>
    <n v="1"/>
    <x v="1"/>
    <x v="2"/>
    <x v="0"/>
  </r>
  <r>
    <x v="1550"/>
    <s v="C1180"/>
    <d v="2024-03-05T14:00:00"/>
    <n v="47572.6"/>
    <x v="2"/>
    <x v="1"/>
    <s v="Entertainment"/>
    <x v="0"/>
    <x v="2"/>
    <s v="Desktop"/>
    <n v="0"/>
    <n v="3"/>
    <x v="821"/>
    <n v="1"/>
    <x v="1"/>
    <x v="2"/>
    <x v="0"/>
  </r>
  <r>
    <x v="1551"/>
    <s v="C1225"/>
    <d v="2024-03-05T15:00:00"/>
    <n v="30100.51"/>
    <x v="3"/>
    <x v="2"/>
    <s v="Food"/>
    <x v="4"/>
    <x v="4"/>
    <s v="Desktop"/>
    <n v="0"/>
    <n v="2"/>
    <x v="786"/>
    <n v="1"/>
    <x v="0"/>
    <x v="2"/>
    <x v="0"/>
  </r>
  <r>
    <x v="1552"/>
    <s v="C1493"/>
    <d v="2024-03-05T16:00:00"/>
    <n v="40968.480000000003"/>
    <x v="1"/>
    <x v="0"/>
    <s v="Travel"/>
    <x v="2"/>
    <x v="0"/>
    <s v="Mobile"/>
    <n v="1"/>
    <n v="1"/>
    <x v="122"/>
    <n v="1"/>
    <x v="1"/>
    <x v="2"/>
    <x v="0"/>
  </r>
  <r>
    <x v="1553"/>
    <s v="C1421"/>
    <d v="2024-03-05T17:00:00"/>
    <n v="44216.11"/>
    <x v="2"/>
    <x v="3"/>
    <s v="Food"/>
    <x v="4"/>
    <x v="1"/>
    <s v="Mobile"/>
    <n v="0"/>
    <n v="0"/>
    <x v="523"/>
    <n v="0"/>
    <x v="2"/>
    <x v="2"/>
    <x v="1"/>
  </r>
  <r>
    <x v="1554"/>
    <s v="C1053"/>
    <d v="2024-03-05T18:00:00"/>
    <n v="11442.58"/>
    <x v="0"/>
    <x v="1"/>
    <s v="Entertainment"/>
    <x v="2"/>
    <x v="1"/>
    <s v="Tablet"/>
    <n v="0"/>
    <n v="4"/>
    <x v="535"/>
    <n v="1"/>
    <x v="1"/>
    <x v="2"/>
    <x v="0"/>
  </r>
  <r>
    <x v="1555"/>
    <s v="C1370"/>
    <d v="2024-03-05T19:00:00"/>
    <n v="10641.64"/>
    <x v="1"/>
    <x v="2"/>
    <s v="Retail"/>
    <x v="1"/>
    <x v="3"/>
    <s v="Mobile"/>
    <n v="0"/>
    <n v="1"/>
    <x v="822"/>
    <n v="0"/>
    <x v="2"/>
    <x v="2"/>
    <x v="1"/>
  </r>
  <r>
    <x v="1556"/>
    <s v="C1080"/>
    <d v="2024-03-05T20:00:00"/>
    <n v="30568.5"/>
    <x v="0"/>
    <x v="2"/>
    <s v="Retail"/>
    <x v="4"/>
    <x v="0"/>
    <s v="Tablet"/>
    <n v="0"/>
    <n v="4"/>
    <x v="823"/>
    <n v="1"/>
    <x v="1"/>
    <x v="2"/>
    <x v="0"/>
  </r>
  <r>
    <x v="1557"/>
    <s v="C1159"/>
    <d v="2024-03-05T21:00:00"/>
    <n v="20580.87"/>
    <x v="3"/>
    <x v="3"/>
    <s v="Electronics"/>
    <x v="0"/>
    <x v="0"/>
    <s v="Tablet"/>
    <n v="0"/>
    <n v="0"/>
    <x v="824"/>
    <n v="0"/>
    <x v="2"/>
    <x v="2"/>
    <x v="1"/>
  </r>
  <r>
    <x v="1558"/>
    <s v="C1305"/>
    <d v="2024-03-05T22:00:00"/>
    <n v="42001.07"/>
    <x v="2"/>
    <x v="1"/>
    <s v="Electronics"/>
    <x v="4"/>
    <x v="0"/>
    <s v="Mobile"/>
    <n v="0"/>
    <n v="2"/>
    <x v="111"/>
    <n v="1"/>
    <x v="1"/>
    <x v="2"/>
    <x v="0"/>
  </r>
  <r>
    <x v="1559"/>
    <s v="C1405"/>
    <d v="2024-03-05T23:00:00"/>
    <n v="45006.16"/>
    <x v="0"/>
    <x v="2"/>
    <s v="Retail"/>
    <x v="4"/>
    <x v="0"/>
    <s v="Desktop"/>
    <n v="0"/>
    <n v="4"/>
    <x v="172"/>
    <n v="1"/>
    <x v="1"/>
    <x v="2"/>
    <x v="0"/>
  </r>
  <r>
    <x v="1560"/>
    <s v="C1043"/>
    <d v="2024-03-06T00:00:00"/>
    <n v="17703.400000000001"/>
    <x v="3"/>
    <x v="3"/>
    <s v="Entertainment"/>
    <x v="1"/>
    <x v="0"/>
    <s v="Desktop"/>
    <n v="0"/>
    <n v="0"/>
    <x v="825"/>
    <n v="0"/>
    <x v="2"/>
    <x v="2"/>
    <x v="1"/>
  </r>
  <r>
    <x v="1561"/>
    <s v="C1334"/>
    <d v="2024-03-06T01:00:00"/>
    <n v="11881.68"/>
    <x v="2"/>
    <x v="0"/>
    <s v="Electronics"/>
    <x v="0"/>
    <x v="1"/>
    <s v="Desktop"/>
    <n v="0"/>
    <n v="4"/>
    <x v="826"/>
    <n v="1"/>
    <x v="1"/>
    <x v="2"/>
    <x v="0"/>
  </r>
  <r>
    <x v="1562"/>
    <s v="C1458"/>
    <d v="2024-03-06T02:00:00"/>
    <n v="39037.25"/>
    <x v="0"/>
    <x v="0"/>
    <s v="Food"/>
    <x v="0"/>
    <x v="4"/>
    <s v="Desktop"/>
    <n v="0"/>
    <n v="1"/>
    <x v="739"/>
    <n v="1"/>
    <x v="0"/>
    <x v="2"/>
    <x v="0"/>
  </r>
  <r>
    <x v="1563"/>
    <s v="C1404"/>
    <d v="2024-03-06T03:00:00"/>
    <n v="13776.56"/>
    <x v="0"/>
    <x v="0"/>
    <s v="Food"/>
    <x v="3"/>
    <x v="4"/>
    <s v="Tablet"/>
    <n v="0"/>
    <n v="4"/>
    <x v="305"/>
    <n v="1"/>
    <x v="1"/>
    <x v="2"/>
    <x v="0"/>
  </r>
  <r>
    <x v="1564"/>
    <s v="C1016"/>
    <d v="2024-03-06T04:00:00"/>
    <n v="41139.589999999997"/>
    <x v="3"/>
    <x v="1"/>
    <s v="Entertainment"/>
    <x v="3"/>
    <x v="3"/>
    <s v="Desktop"/>
    <n v="0"/>
    <n v="1"/>
    <x v="435"/>
    <n v="1"/>
    <x v="0"/>
    <x v="2"/>
    <x v="0"/>
  </r>
  <r>
    <x v="1565"/>
    <s v="C1146"/>
    <d v="2024-03-06T05:00:00"/>
    <n v="21215.73"/>
    <x v="2"/>
    <x v="3"/>
    <s v="Electronics"/>
    <x v="3"/>
    <x v="1"/>
    <s v="Tablet"/>
    <n v="0"/>
    <n v="1"/>
    <x v="495"/>
    <n v="0"/>
    <x v="2"/>
    <x v="2"/>
    <x v="1"/>
  </r>
  <r>
    <x v="1566"/>
    <s v="C1340"/>
    <d v="2024-03-06T06:00:00"/>
    <n v="33394.120000000003"/>
    <x v="2"/>
    <x v="3"/>
    <s v="Food"/>
    <x v="1"/>
    <x v="0"/>
    <s v="Mobile"/>
    <n v="1"/>
    <n v="0"/>
    <x v="711"/>
    <n v="1"/>
    <x v="0"/>
    <x v="2"/>
    <x v="0"/>
  </r>
  <r>
    <x v="1567"/>
    <s v="C1115"/>
    <d v="2024-03-06T07:00:00"/>
    <n v="4821.99"/>
    <x v="0"/>
    <x v="2"/>
    <s v="Electronics"/>
    <x v="4"/>
    <x v="4"/>
    <s v="Mobile"/>
    <n v="0"/>
    <n v="3"/>
    <x v="334"/>
    <n v="1"/>
    <x v="0"/>
    <x v="2"/>
    <x v="0"/>
  </r>
  <r>
    <x v="1568"/>
    <s v="C1086"/>
    <d v="2024-03-06T08:00:00"/>
    <n v="31211.77"/>
    <x v="0"/>
    <x v="2"/>
    <s v="Electronics"/>
    <x v="0"/>
    <x v="2"/>
    <s v="Tablet"/>
    <n v="0"/>
    <n v="4"/>
    <x v="761"/>
    <n v="1"/>
    <x v="1"/>
    <x v="2"/>
    <x v="0"/>
  </r>
  <r>
    <x v="1569"/>
    <s v="C1220"/>
    <d v="2024-03-06T09:00:00"/>
    <n v="22615.8"/>
    <x v="0"/>
    <x v="2"/>
    <s v="Food"/>
    <x v="0"/>
    <x v="2"/>
    <s v="Desktop"/>
    <n v="0"/>
    <n v="2"/>
    <x v="500"/>
    <n v="1"/>
    <x v="0"/>
    <x v="2"/>
    <x v="0"/>
  </r>
  <r>
    <x v="1570"/>
    <s v="C1434"/>
    <d v="2024-03-06T10:00:00"/>
    <n v="29351.09"/>
    <x v="2"/>
    <x v="3"/>
    <s v="Retail"/>
    <x v="4"/>
    <x v="2"/>
    <s v="Tablet"/>
    <n v="0"/>
    <n v="1"/>
    <x v="109"/>
    <n v="1"/>
    <x v="0"/>
    <x v="2"/>
    <x v="0"/>
  </r>
  <r>
    <x v="1571"/>
    <s v="C1125"/>
    <d v="2024-03-06T11:00:00"/>
    <n v="8442.31"/>
    <x v="3"/>
    <x v="2"/>
    <s v="Food"/>
    <x v="0"/>
    <x v="0"/>
    <s v="Desktop"/>
    <n v="0"/>
    <n v="3"/>
    <x v="732"/>
    <n v="1"/>
    <x v="0"/>
    <x v="2"/>
    <x v="0"/>
  </r>
  <r>
    <x v="1572"/>
    <s v="C1313"/>
    <d v="2024-03-06T12:00:00"/>
    <n v="36856.839999999997"/>
    <x v="3"/>
    <x v="3"/>
    <s v="Entertainment"/>
    <x v="4"/>
    <x v="0"/>
    <s v="Desktop"/>
    <n v="1"/>
    <n v="1"/>
    <x v="826"/>
    <n v="1"/>
    <x v="1"/>
    <x v="2"/>
    <x v="0"/>
  </r>
  <r>
    <x v="1573"/>
    <s v="C1230"/>
    <d v="2024-03-06T13:00:00"/>
    <n v="43146.71"/>
    <x v="2"/>
    <x v="3"/>
    <s v="Travel"/>
    <x v="1"/>
    <x v="3"/>
    <s v="Tablet"/>
    <n v="1"/>
    <n v="3"/>
    <x v="310"/>
    <n v="1"/>
    <x v="1"/>
    <x v="2"/>
    <x v="0"/>
  </r>
  <r>
    <x v="1574"/>
    <s v="C1088"/>
    <d v="2024-03-06T14:00:00"/>
    <n v="10876.15"/>
    <x v="1"/>
    <x v="0"/>
    <s v="Food"/>
    <x v="1"/>
    <x v="3"/>
    <s v="Tablet"/>
    <n v="0"/>
    <n v="3"/>
    <x v="526"/>
    <n v="1"/>
    <x v="0"/>
    <x v="2"/>
    <x v="0"/>
  </r>
  <r>
    <x v="1575"/>
    <s v="C1209"/>
    <d v="2024-03-06T15:00:00"/>
    <n v="4830.9399999999996"/>
    <x v="3"/>
    <x v="2"/>
    <s v="Electronics"/>
    <x v="1"/>
    <x v="3"/>
    <s v="Desktop"/>
    <n v="0"/>
    <n v="2"/>
    <x v="272"/>
    <n v="0"/>
    <x v="2"/>
    <x v="2"/>
    <x v="1"/>
  </r>
  <r>
    <x v="1576"/>
    <s v="C1188"/>
    <d v="2024-03-06T16:00:00"/>
    <n v="1230.75"/>
    <x v="0"/>
    <x v="0"/>
    <s v="Electronics"/>
    <x v="4"/>
    <x v="2"/>
    <s v="Tablet"/>
    <n v="1"/>
    <n v="3"/>
    <x v="484"/>
    <n v="1"/>
    <x v="0"/>
    <x v="2"/>
    <x v="0"/>
  </r>
  <r>
    <x v="1577"/>
    <s v="C1109"/>
    <d v="2024-03-06T17:00:00"/>
    <n v="32116.48"/>
    <x v="1"/>
    <x v="1"/>
    <s v="Food"/>
    <x v="4"/>
    <x v="0"/>
    <s v="Desktop"/>
    <n v="0"/>
    <n v="2"/>
    <x v="235"/>
    <n v="1"/>
    <x v="0"/>
    <x v="2"/>
    <x v="0"/>
  </r>
  <r>
    <x v="1578"/>
    <s v="C1101"/>
    <d v="2024-03-06T18:00:00"/>
    <n v="30374.35"/>
    <x v="1"/>
    <x v="1"/>
    <s v="Travel"/>
    <x v="2"/>
    <x v="2"/>
    <s v="Tablet"/>
    <n v="1"/>
    <n v="0"/>
    <x v="321"/>
    <n v="1"/>
    <x v="0"/>
    <x v="2"/>
    <x v="0"/>
  </r>
  <r>
    <x v="1579"/>
    <s v="C1346"/>
    <d v="2024-03-06T19:00:00"/>
    <n v="27357.54"/>
    <x v="3"/>
    <x v="1"/>
    <s v="Food"/>
    <x v="0"/>
    <x v="3"/>
    <s v="Mobile"/>
    <n v="0"/>
    <n v="1"/>
    <x v="636"/>
    <n v="1"/>
    <x v="0"/>
    <x v="2"/>
    <x v="0"/>
  </r>
  <r>
    <x v="1580"/>
    <s v="C1256"/>
    <d v="2024-03-06T20:00:00"/>
    <n v="11635.76"/>
    <x v="1"/>
    <x v="3"/>
    <s v="Travel"/>
    <x v="0"/>
    <x v="0"/>
    <s v="Desktop"/>
    <n v="0"/>
    <n v="2"/>
    <x v="148"/>
    <n v="0"/>
    <x v="2"/>
    <x v="2"/>
    <x v="1"/>
  </r>
  <r>
    <x v="1581"/>
    <s v="C1193"/>
    <d v="2024-03-06T21:00:00"/>
    <n v="19575.75"/>
    <x v="1"/>
    <x v="3"/>
    <s v="Travel"/>
    <x v="2"/>
    <x v="1"/>
    <s v="Mobile"/>
    <n v="0"/>
    <n v="1"/>
    <x v="639"/>
    <n v="0"/>
    <x v="2"/>
    <x v="2"/>
    <x v="1"/>
  </r>
  <r>
    <x v="1582"/>
    <s v="C1305"/>
    <d v="2024-03-06T22:00:00"/>
    <n v="29744.09"/>
    <x v="3"/>
    <x v="3"/>
    <s v="Entertainment"/>
    <x v="2"/>
    <x v="4"/>
    <s v="Tablet"/>
    <n v="0"/>
    <n v="4"/>
    <x v="51"/>
    <n v="1"/>
    <x v="1"/>
    <x v="2"/>
    <x v="0"/>
  </r>
  <r>
    <x v="1583"/>
    <s v="C1193"/>
    <d v="2024-03-06T23:00:00"/>
    <n v="24863.5"/>
    <x v="3"/>
    <x v="2"/>
    <s v="Electronics"/>
    <x v="1"/>
    <x v="4"/>
    <s v="Mobile"/>
    <n v="0"/>
    <n v="0"/>
    <x v="671"/>
    <n v="0"/>
    <x v="2"/>
    <x v="2"/>
    <x v="1"/>
  </r>
  <r>
    <x v="1584"/>
    <s v="C1325"/>
    <d v="2024-03-07T00:00:00"/>
    <n v="49389.89"/>
    <x v="1"/>
    <x v="0"/>
    <s v="Electronics"/>
    <x v="2"/>
    <x v="3"/>
    <s v="Tablet"/>
    <n v="0"/>
    <n v="4"/>
    <x v="404"/>
    <n v="1"/>
    <x v="1"/>
    <x v="2"/>
    <x v="0"/>
  </r>
  <r>
    <x v="1585"/>
    <s v="C1364"/>
    <d v="2024-03-07T01:00:00"/>
    <n v="6865.17"/>
    <x v="0"/>
    <x v="3"/>
    <s v="Travel"/>
    <x v="4"/>
    <x v="2"/>
    <s v="Desktop"/>
    <n v="0"/>
    <n v="4"/>
    <x v="652"/>
    <n v="1"/>
    <x v="0"/>
    <x v="2"/>
    <x v="0"/>
  </r>
  <r>
    <x v="1586"/>
    <s v="C1352"/>
    <d v="2024-03-07T02:00:00"/>
    <n v="34772.47"/>
    <x v="2"/>
    <x v="0"/>
    <s v="Electronics"/>
    <x v="3"/>
    <x v="1"/>
    <s v="Tablet"/>
    <n v="1"/>
    <n v="3"/>
    <x v="414"/>
    <n v="1"/>
    <x v="1"/>
    <x v="2"/>
    <x v="0"/>
  </r>
  <r>
    <x v="1587"/>
    <s v="C1237"/>
    <d v="2024-03-07T03:00:00"/>
    <n v="20245.72"/>
    <x v="1"/>
    <x v="0"/>
    <s v="Retail"/>
    <x v="4"/>
    <x v="0"/>
    <s v="Tablet"/>
    <n v="0"/>
    <n v="3"/>
    <x v="127"/>
    <n v="1"/>
    <x v="0"/>
    <x v="2"/>
    <x v="0"/>
  </r>
  <r>
    <x v="1588"/>
    <s v="C1415"/>
    <d v="2024-03-07T04:00:00"/>
    <n v="21438.57"/>
    <x v="1"/>
    <x v="0"/>
    <s v="Travel"/>
    <x v="2"/>
    <x v="2"/>
    <s v="Desktop"/>
    <n v="0"/>
    <n v="4"/>
    <x v="535"/>
    <n v="1"/>
    <x v="1"/>
    <x v="2"/>
    <x v="0"/>
  </r>
  <r>
    <x v="1589"/>
    <s v="C1425"/>
    <d v="2024-03-07T05:00:00"/>
    <n v="35894.01"/>
    <x v="0"/>
    <x v="2"/>
    <s v="Electronics"/>
    <x v="0"/>
    <x v="3"/>
    <s v="Tablet"/>
    <n v="0"/>
    <n v="3"/>
    <x v="667"/>
    <n v="1"/>
    <x v="1"/>
    <x v="2"/>
    <x v="0"/>
  </r>
  <r>
    <x v="1590"/>
    <s v="C1291"/>
    <d v="2024-03-07T06:00:00"/>
    <n v="34637.19"/>
    <x v="1"/>
    <x v="2"/>
    <s v="Retail"/>
    <x v="4"/>
    <x v="2"/>
    <s v="Desktop"/>
    <n v="0"/>
    <n v="1"/>
    <x v="161"/>
    <n v="1"/>
    <x v="0"/>
    <x v="2"/>
    <x v="0"/>
  </r>
  <r>
    <x v="1591"/>
    <s v="C1033"/>
    <d v="2024-03-07T07:00:00"/>
    <n v="49563.24"/>
    <x v="1"/>
    <x v="1"/>
    <s v="Entertainment"/>
    <x v="0"/>
    <x v="3"/>
    <s v="Tablet"/>
    <n v="0"/>
    <n v="3"/>
    <x v="373"/>
    <n v="1"/>
    <x v="1"/>
    <x v="2"/>
    <x v="0"/>
  </r>
  <r>
    <x v="1592"/>
    <s v="C1346"/>
    <d v="2024-03-07T08:00:00"/>
    <n v="6463.29"/>
    <x v="2"/>
    <x v="1"/>
    <s v="Electronics"/>
    <x v="4"/>
    <x v="4"/>
    <s v="Desktop"/>
    <n v="0"/>
    <n v="4"/>
    <x v="82"/>
    <n v="1"/>
    <x v="0"/>
    <x v="2"/>
    <x v="0"/>
  </r>
  <r>
    <x v="1593"/>
    <s v="C1089"/>
    <d v="2024-03-07T09:00:00"/>
    <n v="5250.28"/>
    <x v="2"/>
    <x v="0"/>
    <s v="Retail"/>
    <x v="0"/>
    <x v="4"/>
    <s v="Mobile"/>
    <n v="0"/>
    <n v="3"/>
    <x v="645"/>
    <n v="1"/>
    <x v="0"/>
    <x v="2"/>
    <x v="0"/>
  </r>
  <r>
    <x v="1594"/>
    <s v="C1466"/>
    <d v="2024-03-07T10:00:00"/>
    <n v="36230.720000000001"/>
    <x v="2"/>
    <x v="1"/>
    <s v="Food"/>
    <x v="4"/>
    <x v="2"/>
    <s v="Tablet"/>
    <n v="0"/>
    <n v="3"/>
    <x v="525"/>
    <n v="1"/>
    <x v="1"/>
    <x v="2"/>
    <x v="0"/>
  </r>
  <r>
    <x v="1595"/>
    <s v="C1099"/>
    <d v="2024-03-07T11:00:00"/>
    <n v="28940.43"/>
    <x v="3"/>
    <x v="0"/>
    <s v="Food"/>
    <x v="0"/>
    <x v="1"/>
    <s v="Tablet"/>
    <n v="0"/>
    <n v="2"/>
    <x v="212"/>
    <n v="1"/>
    <x v="0"/>
    <x v="2"/>
    <x v="0"/>
  </r>
  <r>
    <x v="1596"/>
    <s v="C1018"/>
    <d v="2024-03-07T12:00:00"/>
    <n v="13744.33"/>
    <x v="3"/>
    <x v="2"/>
    <s v="Retail"/>
    <x v="3"/>
    <x v="0"/>
    <s v="Tablet"/>
    <n v="0"/>
    <n v="2"/>
    <x v="664"/>
    <n v="1"/>
    <x v="0"/>
    <x v="2"/>
    <x v="0"/>
  </r>
  <r>
    <x v="1597"/>
    <s v="C1314"/>
    <d v="2024-03-07T13:00:00"/>
    <n v="4017"/>
    <x v="2"/>
    <x v="2"/>
    <s v="Travel"/>
    <x v="1"/>
    <x v="3"/>
    <s v="Desktop"/>
    <n v="0"/>
    <n v="4"/>
    <x v="268"/>
    <n v="1"/>
    <x v="0"/>
    <x v="2"/>
    <x v="0"/>
  </r>
  <r>
    <x v="1598"/>
    <s v="C1204"/>
    <d v="2024-03-07T14:00:00"/>
    <n v="4328.63"/>
    <x v="2"/>
    <x v="2"/>
    <s v="Travel"/>
    <x v="4"/>
    <x v="0"/>
    <s v="Tablet"/>
    <n v="1"/>
    <n v="1"/>
    <x v="25"/>
    <n v="0"/>
    <x v="2"/>
    <x v="2"/>
    <x v="1"/>
  </r>
  <r>
    <x v="1599"/>
    <s v="C1110"/>
    <d v="2024-03-07T15:00:00"/>
    <n v="44714.83"/>
    <x v="3"/>
    <x v="3"/>
    <s v="Electronics"/>
    <x v="3"/>
    <x v="4"/>
    <s v="Desktop"/>
    <n v="1"/>
    <n v="0"/>
    <x v="766"/>
    <n v="1"/>
    <x v="0"/>
    <x v="2"/>
    <x v="0"/>
  </r>
  <r>
    <x v="1600"/>
    <s v="C1051"/>
    <d v="2024-03-07T16:00:00"/>
    <n v="9633.77"/>
    <x v="0"/>
    <x v="0"/>
    <s v="Food"/>
    <x v="1"/>
    <x v="1"/>
    <s v="Tablet"/>
    <n v="1"/>
    <n v="0"/>
    <x v="19"/>
    <n v="0"/>
    <x v="2"/>
    <x v="2"/>
    <x v="1"/>
  </r>
  <r>
    <x v="1601"/>
    <s v="C1012"/>
    <d v="2024-03-07T17:00:00"/>
    <n v="16202.41"/>
    <x v="1"/>
    <x v="2"/>
    <s v="Travel"/>
    <x v="4"/>
    <x v="1"/>
    <s v="Mobile"/>
    <n v="1"/>
    <n v="4"/>
    <x v="90"/>
    <n v="1"/>
    <x v="1"/>
    <x v="2"/>
    <x v="0"/>
  </r>
  <r>
    <x v="1602"/>
    <s v="C1055"/>
    <d v="2024-03-07T18:00:00"/>
    <n v="11371.49"/>
    <x v="1"/>
    <x v="0"/>
    <s v="Travel"/>
    <x v="3"/>
    <x v="0"/>
    <s v="Tablet"/>
    <n v="0"/>
    <n v="1"/>
    <x v="158"/>
    <n v="0"/>
    <x v="2"/>
    <x v="2"/>
    <x v="1"/>
  </r>
  <r>
    <x v="1603"/>
    <s v="C1401"/>
    <d v="2024-03-07T19:00:00"/>
    <n v="17782.07"/>
    <x v="2"/>
    <x v="1"/>
    <s v="Food"/>
    <x v="3"/>
    <x v="4"/>
    <s v="Mobile"/>
    <n v="0"/>
    <n v="1"/>
    <x v="827"/>
    <n v="0"/>
    <x v="2"/>
    <x v="2"/>
    <x v="1"/>
  </r>
  <r>
    <x v="1604"/>
    <s v="C1426"/>
    <d v="2024-03-07T20:00:00"/>
    <n v="3517.72"/>
    <x v="0"/>
    <x v="1"/>
    <s v="Entertainment"/>
    <x v="3"/>
    <x v="0"/>
    <s v="Desktop"/>
    <n v="0"/>
    <n v="1"/>
    <x v="216"/>
    <n v="0"/>
    <x v="2"/>
    <x v="2"/>
    <x v="1"/>
  </r>
  <r>
    <x v="1605"/>
    <s v="C1263"/>
    <d v="2024-03-07T21:00:00"/>
    <n v="25977.040000000001"/>
    <x v="3"/>
    <x v="2"/>
    <s v="Travel"/>
    <x v="2"/>
    <x v="2"/>
    <s v="Mobile"/>
    <n v="0"/>
    <n v="2"/>
    <x v="468"/>
    <n v="1"/>
    <x v="0"/>
    <x v="2"/>
    <x v="0"/>
  </r>
  <r>
    <x v="1606"/>
    <s v="C1494"/>
    <d v="2024-03-07T22:00:00"/>
    <n v="3427.25"/>
    <x v="2"/>
    <x v="0"/>
    <s v="Retail"/>
    <x v="0"/>
    <x v="1"/>
    <s v="Tablet"/>
    <n v="1"/>
    <n v="4"/>
    <x v="802"/>
    <n v="1"/>
    <x v="1"/>
    <x v="2"/>
    <x v="0"/>
  </r>
  <r>
    <x v="1607"/>
    <s v="C1258"/>
    <d v="2024-03-07T23:00:00"/>
    <n v="40027.81"/>
    <x v="0"/>
    <x v="2"/>
    <s v="Electronics"/>
    <x v="1"/>
    <x v="1"/>
    <s v="Tablet"/>
    <n v="1"/>
    <n v="0"/>
    <x v="613"/>
    <n v="1"/>
    <x v="0"/>
    <x v="2"/>
    <x v="0"/>
  </r>
  <r>
    <x v="1608"/>
    <s v="C1053"/>
    <d v="2024-03-08T00:00:00"/>
    <n v="11723.92"/>
    <x v="0"/>
    <x v="1"/>
    <s v="Travel"/>
    <x v="0"/>
    <x v="2"/>
    <s v="Desktop"/>
    <n v="0"/>
    <n v="1"/>
    <x v="463"/>
    <n v="0"/>
    <x v="2"/>
    <x v="2"/>
    <x v="1"/>
  </r>
  <r>
    <x v="1609"/>
    <s v="C1104"/>
    <d v="2024-03-08T01:00:00"/>
    <n v="27023.599999999999"/>
    <x v="0"/>
    <x v="2"/>
    <s v="Travel"/>
    <x v="0"/>
    <x v="4"/>
    <s v="Tablet"/>
    <n v="0"/>
    <n v="4"/>
    <x v="655"/>
    <n v="1"/>
    <x v="1"/>
    <x v="2"/>
    <x v="0"/>
  </r>
  <r>
    <x v="1610"/>
    <s v="C1372"/>
    <d v="2024-03-08T02:00:00"/>
    <n v="44009.95"/>
    <x v="3"/>
    <x v="0"/>
    <s v="Entertainment"/>
    <x v="0"/>
    <x v="1"/>
    <s v="Tablet"/>
    <n v="0"/>
    <n v="0"/>
    <x v="278"/>
    <n v="1"/>
    <x v="0"/>
    <x v="2"/>
    <x v="0"/>
  </r>
  <r>
    <x v="1611"/>
    <s v="C1144"/>
    <d v="2024-03-08T03:00:00"/>
    <n v="32561.32"/>
    <x v="3"/>
    <x v="1"/>
    <s v="Retail"/>
    <x v="3"/>
    <x v="3"/>
    <s v="Desktop"/>
    <n v="0"/>
    <n v="2"/>
    <x v="500"/>
    <n v="1"/>
    <x v="0"/>
    <x v="2"/>
    <x v="0"/>
  </r>
  <r>
    <x v="1612"/>
    <s v="C1436"/>
    <d v="2024-03-08T04:00:00"/>
    <n v="26671.24"/>
    <x v="1"/>
    <x v="3"/>
    <s v="Electronics"/>
    <x v="0"/>
    <x v="3"/>
    <s v="Desktop"/>
    <n v="0"/>
    <n v="3"/>
    <x v="672"/>
    <n v="1"/>
    <x v="1"/>
    <x v="2"/>
    <x v="0"/>
  </r>
  <r>
    <x v="1613"/>
    <s v="C1359"/>
    <d v="2024-03-08T05:00:00"/>
    <n v="16250.47"/>
    <x v="1"/>
    <x v="1"/>
    <s v="Travel"/>
    <x v="2"/>
    <x v="4"/>
    <s v="Mobile"/>
    <n v="0"/>
    <n v="0"/>
    <x v="828"/>
    <n v="0"/>
    <x v="2"/>
    <x v="2"/>
    <x v="1"/>
  </r>
  <r>
    <x v="1614"/>
    <s v="C1295"/>
    <d v="2024-03-08T06:00:00"/>
    <n v="16683.45"/>
    <x v="0"/>
    <x v="3"/>
    <s v="Electronics"/>
    <x v="4"/>
    <x v="2"/>
    <s v="Desktop"/>
    <n v="1"/>
    <n v="0"/>
    <x v="552"/>
    <n v="0"/>
    <x v="2"/>
    <x v="2"/>
    <x v="1"/>
  </r>
  <r>
    <x v="1615"/>
    <s v="C1114"/>
    <d v="2024-03-08T07:00:00"/>
    <n v="33490.870000000003"/>
    <x v="0"/>
    <x v="2"/>
    <s v="Food"/>
    <x v="3"/>
    <x v="0"/>
    <s v="Tablet"/>
    <n v="0"/>
    <n v="0"/>
    <x v="829"/>
    <n v="0"/>
    <x v="2"/>
    <x v="2"/>
    <x v="1"/>
  </r>
  <r>
    <x v="1616"/>
    <s v="C1094"/>
    <d v="2024-03-08T08:00:00"/>
    <n v="49707.26"/>
    <x v="3"/>
    <x v="2"/>
    <s v="Travel"/>
    <x v="1"/>
    <x v="4"/>
    <s v="Desktop"/>
    <n v="1"/>
    <n v="3"/>
    <x v="830"/>
    <n v="1"/>
    <x v="1"/>
    <x v="2"/>
    <x v="0"/>
  </r>
  <r>
    <x v="1617"/>
    <s v="C1418"/>
    <d v="2024-03-08T09:00:00"/>
    <n v="33108.870000000003"/>
    <x v="1"/>
    <x v="0"/>
    <s v="Travel"/>
    <x v="4"/>
    <x v="0"/>
    <s v="Tablet"/>
    <n v="0"/>
    <n v="1"/>
    <x v="810"/>
    <n v="1"/>
    <x v="0"/>
    <x v="2"/>
    <x v="0"/>
  </r>
  <r>
    <x v="1618"/>
    <s v="C1362"/>
    <d v="2024-03-08T10:00:00"/>
    <n v="27911.279999999999"/>
    <x v="0"/>
    <x v="3"/>
    <s v="Food"/>
    <x v="4"/>
    <x v="4"/>
    <s v="Mobile"/>
    <n v="0"/>
    <n v="3"/>
    <x v="615"/>
    <n v="1"/>
    <x v="1"/>
    <x v="2"/>
    <x v="0"/>
  </r>
  <r>
    <x v="1619"/>
    <s v="C1243"/>
    <d v="2024-03-08T11:00:00"/>
    <n v="36545.99"/>
    <x v="1"/>
    <x v="2"/>
    <s v="Entertainment"/>
    <x v="4"/>
    <x v="3"/>
    <s v="Desktop"/>
    <n v="0"/>
    <n v="0"/>
    <x v="831"/>
    <n v="0"/>
    <x v="2"/>
    <x v="2"/>
    <x v="1"/>
  </r>
  <r>
    <x v="1620"/>
    <s v="C1428"/>
    <d v="2024-03-08T12:00:00"/>
    <n v="23287.02"/>
    <x v="1"/>
    <x v="3"/>
    <s v="Travel"/>
    <x v="0"/>
    <x v="2"/>
    <s v="Tablet"/>
    <n v="1"/>
    <n v="2"/>
    <x v="806"/>
    <n v="1"/>
    <x v="1"/>
    <x v="2"/>
    <x v="0"/>
  </r>
  <r>
    <x v="1621"/>
    <s v="C1452"/>
    <d v="2024-03-08T13:00:00"/>
    <n v="3054.11"/>
    <x v="0"/>
    <x v="2"/>
    <s v="Electronics"/>
    <x v="0"/>
    <x v="3"/>
    <s v="Desktop"/>
    <n v="0"/>
    <n v="0"/>
    <x v="832"/>
    <n v="0"/>
    <x v="2"/>
    <x v="2"/>
    <x v="1"/>
  </r>
  <r>
    <x v="1622"/>
    <s v="C1427"/>
    <d v="2024-03-08T14:00:00"/>
    <n v="28136.73"/>
    <x v="3"/>
    <x v="1"/>
    <s v="Retail"/>
    <x v="3"/>
    <x v="2"/>
    <s v="Desktop"/>
    <n v="1"/>
    <n v="2"/>
    <x v="368"/>
    <n v="1"/>
    <x v="1"/>
    <x v="2"/>
    <x v="0"/>
  </r>
  <r>
    <x v="1623"/>
    <s v="C1108"/>
    <d v="2024-03-08T15:00:00"/>
    <n v="47883.38"/>
    <x v="0"/>
    <x v="2"/>
    <s v="Electronics"/>
    <x v="0"/>
    <x v="0"/>
    <s v="Desktop"/>
    <n v="0"/>
    <n v="4"/>
    <x v="61"/>
    <n v="1"/>
    <x v="1"/>
    <x v="2"/>
    <x v="0"/>
  </r>
  <r>
    <x v="1624"/>
    <s v="C1255"/>
    <d v="2024-03-08T16:00:00"/>
    <n v="8806.3799999999992"/>
    <x v="0"/>
    <x v="0"/>
    <s v="Entertainment"/>
    <x v="0"/>
    <x v="4"/>
    <s v="Desktop"/>
    <n v="0"/>
    <n v="2"/>
    <x v="325"/>
    <n v="0"/>
    <x v="2"/>
    <x v="2"/>
    <x v="1"/>
  </r>
  <r>
    <x v="1625"/>
    <s v="C1101"/>
    <d v="2024-03-08T17:00:00"/>
    <n v="34515.74"/>
    <x v="1"/>
    <x v="1"/>
    <s v="Retail"/>
    <x v="0"/>
    <x v="1"/>
    <s v="Mobile"/>
    <n v="0"/>
    <n v="0"/>
    <x v="246"/>
    <n v="0"/>
    <x v="2"/>
    <x v="2"/>
    <x v="1"/>
  </r>
  <r>
    <x v="1626"/>
    <s v="C1120"/>
    <d v="2024-03-08T18:00:00"/>
    <n v="10086.64"/>
    <x v="0"/>
    <x v="0"/>
    <s v="Electronics"/>
    <x v="3"/>
    <x v="1"/>
    <s v="Tablet"/>
    <n v="0"/>
    <n v="3"/>
    <x v="513"/>
    <n v="1"/>
    <x v="0"/>
    <x v="2"/>
    <x v="0"/>
  </r>
  <r>
    <x v="1627"/>
    <s v="C1291"/>
    <d v="2024-03-08T19:00:00"/>
    <n v="26814.59"/>
    <x v="3"/>
    <x v="1"/>
    <s v="Electronics"/>
    <x v="3"/>
    <x v="2"/>
    <s v="Desktop"/>
    <n v="0"/>
    <n v="0"/>
    <x v="502"/>
    <n v="0"/>
    <x v="2"/>
    <x v="2"/>
    <x v="1"/>
  </r>
  <r>
    <x v="1628"/>
    <s v="C1423"/>
    <d v="2024-03-08T20:00:00"/>
    <n v="4878.99"/>
    <x v="0"/>
    <x v="3"/>
    <s v="Food"/>
    <x v="2"/>
    <x v="2"/>
    <s v="Tablet"/>
    <n v="0"/>
    <n v="0"/>
    <x v="833"/>
    <n v="0"/>
    <x v="2"/>
    <x v="2"/>
    <x v="1"/>
  </r>
  <r>
    <x v="1629"/>
    <s v="C1019"/>
    <d v="2024-03-08T21:00:00"/>
    <n v="22546.03"/>
    <x v="3"/>
    <x v="0"/>
    <s v="Entertainment"/>
    <x v="2"/>
    <x v="3"/>
    <s v="Mobile"/>
    <n v="0"/>
    <n v="4"/>
    <x v="577"/>
    <n v="1"/>
    <x v="1"/>
    <x v="2"/>
    <x v="0"/>
  </r>
  <r>
    <x v="1630"/>
    <s v="C1174"/>
    <d v="2024-03-08T22:00:00"/>
    <n v="37820.36"/>
    <x v="3"/>
    <x v="2"/>
    <s v="Food"/>
    <x v="2"/>
    <x v="1"/>
    <s v="Tablet"/>
    <n v="0"/>
    <n v="1"/>
    <x v="834"/>
    <n v="1"/>
    <x v="0"/>
    <x v="2"/>
    <x v="0"/>
  </r>
  <r>
    <x v="1631"/>
    <s v="C1372"/>
    <d v="2024-03-08T23:00:00"/>
    <n v="17411.2"/>
    <x v="1"/>
    <x v="3"/>
    <s v="Retail"/>
    <x v="2"/>
    <x v="3"/>
    <s v="Tablet"/>
    <n v="1"/>
    <n v="0"/>
    <x v="835"/>
    <n v="0"/>
    <x v="2"/>
    <x v="2"/>
    <x v="1"/>
  </r>
  <r>
    <x v="1632"/>
    <s v="C1083"/>
    <d v="2024-03-09T00:00:00"/>
    <n v="33262.339999999997"/>
    <x v="2"/>
    <x v="2"/>
    <s v="Food"/>
    <x v="4"/>
    <x v="0"/>
    <s v="Mobile"/>
    <n v="0"/>
    <n v="4"/>
    <x v="836"/>
    <n v="1"/>
    <x v="1"/>
    <x v="2"/>
    <x v="0"/>
  </r>
  <r>
    <x v="1633"/>
    <s v="C1192"/>
    <d v="2024-03-09T01:00:00"/>
    <n v="39782.730000000003"/>
    <x v="2"/>
    <x v="1"/>
    <s v="Entertainment"/>
    <x v="4"/>
    <x v="1"/>
    <s v="Desktop"/>
    <n v="1"/>
    <n v="3"/>
    <x v="227"/>
    <n v="1"/>
    <x v="1"/>
    <x v="2"/>
    <x v="0"/>
  </r>
  <r>
    <x v="1634"/>
    <s v="C1335"/>
    <d v="2024-03-09T02:00:00"/>
    <n v="46362.53"/>
    <x v="1"/>
    <x v="1"/>
    <s v="Travel"/>
    <x v="2"/>
    <x v="0"/>
    <s v="Tablet"/>
    <n v="0"/>
    <n v="4"/>
    <x v="837"/>
    <n v="1"/>
    <x v="1"/>
    <x v="2"/>
    <x v="0"/>
  </r>
  <r>
    <x v="1635"/>
    <s v="C1011"/>
    <d v="2024-03-09T03:00:00"/>
    <n v="11770.37"/>
    <x v="0"/>
    <x v="2"/>
    <s v="Travel"/>
    <x v="2"/>
    <x v="4"/>
    <s v="Tablet"/>
    <n v="0"/>
    <n v="4"/>
    <x v="149"/>
    <n v="1"/>
    <x v="1"/>
    <x v="2"/>
    <x v="0"/>
  </r>
  <r>
    <x v="1636"/>
    <s v="C1106"/>
    <d v="2024-03-09T04:00:00"/>
    <n v="19995.830000000002"/>
    <x v="1"/>
    <x v="2"/>
    <s v="Retail"/>
    <x v="1"/>
    <x v="3"/>
    <s v="Desktop"/>
    <n v="0"/>
    <n v="2"/>
    <x v="838"/>
    <n v="1"/>
    <x v="0"/>
    <x v="2"/>
    <x v="0"/>
  </r>
  <r>
    <x v="1637"/>
    <s v="C1313"/>
    <d v="2024-03-09T05:00:00"/>
    <n v="7663.18"/>
    <x v="3"/>
    <x v="3"/>
    <s v="Travel"/>
    <x v="4"/>
    <x v="2"/>
    <s v="Desktop"/>
    <n v="0"/>
    <n v="1"/>
    <x v="684"/>
    <n v="0"/>
    <x v="2"/>
    <x v="2"/>
    <x v="1"/>
  </r>
  <r>
    <x v="1638"/>
    <s v="C1341"/>
    <d v="2024-03-09T06:00:00"/>
    <n v="49624.55"/>
    <x v="2"/>
    <x v="2"/>
    <s v="Food"/>
    <x v="1"/>
    <x v="1"/>
    <s v="Tablet"/>
    <n v="0"/>
    <n v="1"/>
    <x v="110"/>
    <n v="1"/>
    <x v="0"/>
    <x v="2"/>
    <x v="0"/>
  </r>
  <r>
    <x v="1639"/>
    <s v="C1048"/>
    <d v="2024-03-09T07:00:00"/>
    <n v="46353.7"/>
    <x v="1"/>
    <x v="0"/>
    <s v="Retail"/>
    <x v="1"/>
    <x v="3"/>
    <s v="Mobile"/>
    <n v="0"/>
    <n v="3"/>
    <x v="809"/>
    <n v="1"/>
    <x v="1"/>
    <x v="2"/>
    <x v="0"/>
  </r>
  <r>
    <x v="1640"/>
    <s v="C1248"/>
    <d v="2024-03-09T08:00:00"/>
    <n v="27020.86"/>
    <x v="0"/>
    <x v="0"/>
    <s v="Entertainment"/>
    <x v="0"/>
    <x v="2"/>
    <s v="Desktop"/>
    <n v="0"/>
    <n v="4"/>
    <x v="655"/>
    <n v="1"/>
    <x v="1"/>
    <x v="2"/>
    <x v="0"/>
  </r>
  <r>
    <x v="1641"/>
    <s v="C1238"/>
    <d v="2024-03-09T09:00:00"/>
    <n v="42109.56"/>
    <x v="1"/>
    <x v="2"/>
    <s v="Retail"/>
    <x v="3"/>
    <x v="4"/>
    <s v="Desktop"/>
    <n v="0"/>
    <n v="3"/>
    <x v="301"/>
    <n v="1"/>
    <x v="1"/>
    <x v="2"/>
    <x v="0"/>
  </r>
  <r>
    <x v="1642"/>
    <s v="C1144"/>
    <d v="2024-03-09T10:00:00"/>
    <n v="26071.85"/>
    <x v="2"/>
    <x v="0"/>
    <s v="Retail"/>
    <x v="4"/>
    <x v="1"/>
    <s v="Mobile"/>
    <n v="0"/>
    <n v="3"/>
    <x v="151"/>
    <n v="1"/>
    <x v="0"/>
    <x v="2"/>
    <x v="0"/>
  </r>
  <r>
    <x v="1643"/>
    <s v="C1234"/>
    <d v="2024-03-09T11:00:00"/>
    <n v="31198.11"/>
    <x v="1"/>
    <x v="2"/>
    <s v="Electronics"/>
    <x v="2"/>
    <x v="0"/>
    <s v="Tablet"/>
    <n v="0"/>
    <n v="1"/>
    <x v="264"/>
    <n v="1"/>
    <x v="0"/>
    <x v="2"/>
    <x v="0"/>
  </r>
  <r>
    <x v="1644"/>
    <s v="C1391"/>
    <d v="2024-03-09T12:00:00"/>
    <n v="4501.7700000000004"/>
    <x v="1"/>
    <x v="3"/>
    <s v="Electronics"/>
    <x v="2"/>
    <x v="4"/>
    <s v="Desktop"/>
    <n v="0"/>
    <n v="1"/>
    <x v="58"/>
    <n v="0"/>
    <x v="2"/>
    <x v="2"/>
    <x v="1"/>
  </r>
  <r>
    <x v="1645"/>
    <s v="C1161"/>
    <d v="2024-03-09T13:00:00"/>
    <n v="37775.760000000002"/>
    <x v="2"/>
    <x v="0"/>
    <s v="Retail"/>
    <x v="3"/>
    <x v="2"/>
    <s v="Tablet"/>
    <n v="1"/>
    <n v="1"/>
    <x v="498"/>
    <n v="1"/>
    <x v="1"/>
    <x v="2"/>
    <x v="0"/>
  </r>
  <r>
    <x v="1646"/>
    <s v="C1074"/>
    <d v="2024-03-09T14:00:00"/>
    <n v="6429.29"/>
    <x v="3"/>
    <x v="0"/>
    <s v="Travel"/>
    <x v="4"/>
    <x v="1"/>
    <s v="Tablet"/>
    <n v="0"/>
    <n v="0"/>
    <x v="839"/>
    <n v="0"/>
    <x v="2"/>
    <x v="2"/>
    <x v="1"/>
  </r>
  <r>
    <x v="1647"/>
    <s v="C1033"/>
    <d v="2024-03-09T15:00:00"/>
    <n v="41312.080000000002"/>
    <x v="3"/>
    <x v="2"/>
    <s v="Electronics"/>
    <x v="2"/>
    <x v="1"/>
    <s v="Tablet"/>
    <n v="0"/>
    <n v="4"/>
    <x v="333"/>
    <n v="1"/>
    <x v="1"/>
    <x v="2"/>
    <x v="0"/>
  </r>
  <r>
    <x v="1648"/>
    <s v="C1378"/>
    <d v="2024-03-09T16:00:00"/>
    <n v="39112.300000000003"/>
    <x v="2"/>
    <x v="0"/>
    <s v="Entertainment"/>
    <x v="2"/>
    <x v="4"/>
    <s v="Mobile"/>
    <n v="0"/>
    <n v="3"/>
    <x v="796"/>
    <n v="1"/>
    <x v="1"/>
    <x v="2"/>
    <x v="0"/>
  </r>
  <r>
    <x v="1649"/>
    <s v="C1470"/>
    <d v="2024-03-09T17:00:00"/>
    <n v="35451.800000000003"/>
    <x v="1"/>
    <x v="1"/>
    <s v="Food"/>
    <x v="0"/>
    <x v="1"/>
    <s v="Tablet"/>
    <n v="0"/>
    <n v="4"/>
    <x v="840"/>
    <n v="1"/>
    <x v="1"/>
    <x v="2"/>
    <x v="0"/>
  </r>
  <r>
    <x v="1650"/>
    <s v="C1039"/>
    <d v="2024-03-09T18:00:00"/>
    <n v="1856.21"/>
    <x v="2"/>
    <x v="3"/>
    <s v="Electronics"/>
    <x v="1"/>
    <x v="2"/>
    <s v="Tablet"/>
    <n v="0"/>
    <n v="3"/>
    <x v="146"/>
    <n v="1"/>
    <x v="0"/>
    <x v="2"/>
    <x v="0"/>
  </r>
  <r>
    <x v="1651"/>
    <s v="C1318"/>
    <d v="2024-03-09T19:00:00"/>
    <n v="15191.26"/>
    <x v="3"/>
    <x v="3"/>
    <s v="Retail"/>
    <x v="2"/>
    <x v="4"/>
    <s v="Desktop"/>
    <n v="0"/>
    <n v="3"/>
    <x v="841"/>
    <n v="1"/>
    <x v="0"/>
    <x v="2"/>
    <x v="0"/>
  </r>
  <r>
    <x v="1652"/>
    <s v="C1410"/>
    <d v="2024-03-09T20:00:00"/>
    <n v="13192.47"/>
    <x v="0"/>
    <x v="0"/>
    <s v="Travel"/>
    <x v="4"/>
    <x v="0"/>
    <s v="Desktop"/>
    <n v="1"/>
    <n v="3"/>
    <x v="842"/>
    <n v="1"/>
    <x v="1"/>
    <x v="2"/>
    <x v="0"/>
  </r>
  <r>
    <x v="1653"/>
    <s v="C1262"/>
    <d v="2024-03-09T21:00:00"/>
    <n v="18038.810000000001"/>
    <x v="1"/>
    <x v="0"/>
    <s v="Food"/>
    <x v="3"/>
    <x v="4"/>
    <s v="Mobile"/>
    <n v="0"/>
    <n v="3"/>
    <x v="595"/>
    <n v="1"/>
    <x v="0"/>
    <x v="2"/>
    <x v="0"/>
  </r>
  <r>
    <x v="1654"/>
    <s v="C1465"/>
    <d v="2024-03-09T22:00:00"/>
    <n v="4427.76"/>
    <x v="3"/>
    <x v="1"/>
    <s v="Electronics"/>
    <x v="0"/>
    <x v="4"/>
    <s v="Mobile"/>
    <n v="0"/>
    <n v="2"/>
    <x v="670"/>
    <n v="0"/>
    <x v="2"/>
    <x v="2"/>
    <x v="1"/>
  </r>
  <r>
    <x v="1655"/>
    <s v="C1269"/>
    <d v="2024-03-09T23:00:00"/>
    <n v="46851.040000000001"/>
    <x v="1"/>
    <x v="1"/>
    <s v="Travel"/>
    <x v="4"/>
    <x v="0"/>
    <s v="Desktop"/>
    <n v="0"/>
    <n v="2"/>
    <x v="709"/>
    <n v="1"/>
    <x v="1"/>
    <x v="2"/>
    <x v="0"/>
  </r>
  <r>
    <x v="1656"/>
    <s v="C1150"/>
    <d v="2024-03-10T00:00:00"/>
    <n v="27712.42"/>
    <x v="2"/>
    <x v="0"/>
    <s v="Travel"/>
    <x v="0"/>
    <x v="2"/>
    <s v="Desktop"/>
    <n v="0"/>
    <n v="0"/>
    <x v="843"/>
    <n v="0"/>
    <x v="2"/>
    <x v="2"/>
    <x v="1"/>
  </r>
  <r>
    <x v="1657"/>
    <s v="C1398"/>
    <d v="2024-03-10T01:00:00"/>
    <n v="15310.94"/>
    <x v="0"/>
    <x v="0"/>
    <s v="Travel"/>
    <x v="1"/>
    <x v="3"/>
    <s v="Mobile"/>
    <n v="0"/>
    <n v="1"/>
    <x v="183"/>
    <n v="0"/>
    <x v="2"/>
    <x v="2"/>
    <x v="1"/>
  </r>
  <r>
    <x v="1658"/>
    <s v="C1334"/>
    <d v="2024-03-10T02:00:00"/>
    <n v="19879.23"/>
    <x v="2"/>
    <x v="1"/>
    <s v="Retail"/>
    <x v="2"/>
    <x v="3"/>
    <s v="Tablet"/>
    <n v="0"/>
    <n v="3"/>
    <x v="236"/>
    <n v="1"/>
    <x v="0"/>
    <x v="2"/>
    <x v="0"/>
  </r>
  <r>
    <x v="1659"/>
    <s v="C1021"/>
    <d v="2024-03-10T03:00:00"/>
    <n v="22387.77"/>
    <x v="0"/>
    <x v="2"/>
    <s v="Entertainment"/>
    <x v="4"/>
    <x v="0"/>
    <s v="Mobile"/>
    <n v="0"/>
    <n v="4"/>
    <x v="460"/>
    <n v="1"/>
    <x v="1"/>
    <x v="2"/>
    <x v="0"/>
  </r>
  <r>
    <x v="1660"/>
    <s v="C1475"/>
    <d v="2024-03-10T04:00:00"/>
    <n v="30049.69"/>
    <x v="1"/>
    <x v="1"/>
    <s v="Travel"/>
    <x v="3"/>
    <x v="2"/>
    <s v="Tablet"/>
    <n v="0"/>
    <n v="2"/>
    <x v="613"/>
    <n v="1"/>
    <x v="0"/>
    <x v="2"/>
    <x v="0"/>
  </r>
  <r>
    <x v="1661"/>
    <s v="C1043"/>
    <d v="2024-03-10T05:00:00"/>
    <n v="25808.19"/>
    <x v="1"/>
    <x v="2"/>
    <s v="Food"/>
    <x v="1"/>
    <x v="1"/>
    <s v="Desktop"/>
    <n v="0"/>
    <n v="1"/>
    <x v="518"/>
    <n v="1"/>
    <x v="0"/>
    <x v="2"/>
    <x v="0"/>
  </r>
  <r>
    <x v="1662"/>
    <s v="C1072"/>
    <d v="2024-03-10T06:00:00"/>
    <n v="45973.63"/>
    <x v="2"/>
    <x v="3"/>
    <s v="Electronics"/>
    <x v="1"/>
    <x v="0"/>
    <s v="Desktop"/>
    <n v="0"/>
    <n v="0"/>
    <x v="468"/>
    <n v="1"/>
    <x v="0"/>
    <x v="2"/>
    <x v="0"/>
  </r>
  <r>
    <x v="1663"/>
    <s v="C1491"/>
    <d v="2024-03-10T07:00:00"/>
    <n v="24873.33"/>
    <x v="0"/>
    <x v="3"/>
    <s v="Food"/>
    <x v="0"/>
    <x v="3"/>
    <s v="Desktop"/>
    <n v="0"/>
    <n v="1"/>
    <x v="791"/>
    <n v="0"/>
    <x v="2"/>
    <x v="2"/>
    <x v="1"/>
  </r>
  <r>
    <x v="1664"/>
    <s v="C1255"/>
    <d v="2024-03-10T08:00:00"/>
    <n v="49608.29"/>
    <x v="0"/>
    <x v="1"/>
    <s v="Retail"/>
    <x v="1"/>
    <x v="2"/>
    <s v="Tablet"/>
    <n v="0"/>
    <n v="3"/>
    <x v="373"/>
    <n v="1"/>
    <x v="1"/>
    <x v="2"/>
    <x v="0"/>
  </r>
  <r>
    <x v="1665"/>
    <s v="C1325"/>
    <d v="2024-03-10T09:00:00"/>
    <n v="42578.68"/>
    <x v="1"/>
    <x v="2"/>
    <s v="Retail"/>
    <x v="4"/>
    <x v="4"/>
    <s v="Mobile"/>
    <n v="0"/>
    <n v="1"/>
    <x v="692"/>
    <n v="1"/>
    <x v="0"/>
    <x v="2"/>
    <x v="0"/>
  </r>
  <r>
    <x v="1666"/>
    <s v="C1267"/>
    <d v="2024-03-10T10:00:00"/>
    <n v="10465.1"/>
    <x v="2"/>
    <x v="1"/>
    <s v="Food"/>
    <x v="0"/>
    <x v="2"/>
    <s v="Tablet"/>
    <n v="0"/>
    <n v="3"/>
    <x v="136"/>
    <n v="1"/>
    <x v="0"/>
    <x v="2"/>
    <x v="0"/>
  </r>
  <r>
    <x v="1667"/>
    <s v="C1379"/>
    <d v="2024-03-10T11:00:00"/>
    <n v="46533.23"/>
    <x v="0"/>
    <x v="1"/>
    <s v="Entertainment"/>
    <x v="1"/>
    <x v="2"/>
    <s v="Mobile"/>
    <n v="0"/>
    <n v="2"/>
    <x v="621"/>
    <n v="1"/>
    <x v="1"/>
    <x v="2"/>
    <x v="0"/>
  </r>
  <r>
    <x v="1668"/>
    <s v="C1008"/>
    <d v="2024-03-10T12:00:00"/>
    <n v="5862.5"/>
    <x v="1"/>
    <x v="2"/>
    <s v="Retail"/>
    <x v="3"/>
    <x v="3"/>
    <s v="Mobile"/>
    <n v="0"/>
    <n v="2"/>
    <x v="365"/>
    <n v="0"/>
    <x v="2"/>
    <x v="2"/>
    <x v="1"/>
  </r>
  <r>
    <x v="1669"/>
    <s v="C1465"/>
    <d v="2024-03-10T13:00:00"/>
    <n v="40881.61"/>
    <x v="3"/>
    <x v="1"/>
    <s v="Retail"/>
    <x v="4"/>
    <x v="3"/>
    <s v="Mobile"/>
    <n v="0"/>
    <n v="3"/>
    <x v="844"/>
    <n v="1"/>
    <x v="1"/>
    <x v="2"/>
    <x v="0"/>
  </r>
  <r>
    <x v="1670"/>
    <s v="C1408"/>
    <d v="2024-03-10T14:00:00"/>
    <n v="19062.13"/>
    <x v="2"/>
    <x v="3"/>
    <s v="Food"/>
    <x v="3"/>
    <x v="1"/>
    <s v="Desktop"/>
    <n v="0"/>
    <n v="4"/>
    <x v="485"/>
    <n v="1"/>
    <x v="1"/>
    <x v="2"/>
    <x v="0"/>
  </r>
  <r>
    <x v="1671"/>
    <s v="C1369"/>
    <d v="2024-03-10T15:00:00"/>
    <n v="43904.82"/>
    <x v="3"/>
    <x v="0"/>
    <s v="Retail"/>
    <x v="3"/>
    <x v="1"/>
    <s v="Mobile"/>
    <n v="0"/>
    <n v="2"/>
    <x v="168"/>
    <n v="1"/>
    <x v="1"/>
    <x v="2"/>
    <x v="0"/>
  </r>
  <r>
    <x v="1672"/>
    <s v="C1167"/>
    <d v="2024-03-10T16:00:00"/>
    <n v="43409.43"/>
    <x v="2"/>
    <x v="0"/>
    <s v="Entertainment"/>
    <x v="0"/>
    <x v="0"/>
    <s v="Desktop"/>
    <n v="0"/>
    <n v="4"/>
    <x v="600"/>
    <n v="1"/>
    <x v="1"/>
    <x v="2"/>
    <x v="0"/>
  </r>
  <r>
    <x v="1673"/>
    <s v="C1041"/>
    <d v="2024-03-10T17:00:00"/>
    <n v="40305.97"/>
    <x v="1"/>
    <x v="1"/>
    <s v="Entertainment"/>
    <x v="2"/>
    <x v="4"/>
    <s v="Mobile"/>
    <n v="0"/>
    <n v="3"/>
    <x v="349"/>
    <n v="1"/>
    <x v="1"/>
    <x v="2"/>
    <x v="0"/>
  </r>
  <r>
    <x v="1674"/>
    <s v="C1132"/>
    <d v="2024-03-10T18:00:00"/>
    <n v="39512.019999999997"/>
    <x v="0"/>
    <x v="2"/>
    <s v="Entertainment"/>
    <x v="0"/>
    <x v="1"/>
    <s v="Mobile"/>
    <n v="0"/>
    <n v="3"/>
    <x v="231"/>
    <n v="1"/>
    <x v="1"/>
    <x v="2"/>
    <x v="0"/>
  </r>
  <r>
    <x v="1675"/>
    <s v="C1133"/>
    <d v="2024-03-10T19:00:00"/>
    <n v="15268.72"/>
    <x v="0"/>
    <x v="2"/>
    <s v="Electronics"/>
    <x v="4"/>
    <x v="3"/>
    <s v="Desktop"/>
    <n v="0"/>
    <n v="2"/>
    <x v="34"/>
    <n v="1"/>
    <x v="0"/>
    <x v="2"/>
    <x v="0"/>
  </r>
  <r>
    <x v="1676"/>
    <s v="C1042"/>
    <d v="2024-03-10T20:00:00"/>
    <n v="4091.92"/>
    <x v="0"/>
    <x v="3"/>
    <s v="Entertainment"/>
    <x v="4"/>
    <x v="2"/>
    <s v="Desktop"/>
    <n v="0"/>
    <n v="4"/>
    <x v="14"/>
    <n v="1"/>
    <x v="0"/>
    <x v="2"/>
    <x v="0"/>
  </r>
  <r>
    <x v="1677"/>
    <s v="C1320"/>
    <d v="2024-03-10T21:00:00"/>
    <n v="20178.86"/>
    <x v="2"/>
    <x v="2"/>
    <s v="Entertainment"/>
    <x v="0"/>
    <x v="0"/>
    <s v="Tablet"/>
    <n v="0"/>
    <n v="3"/>
    <x v="137"/>
    <n v="1"/>
    <x v="0"/>
    <x v="2"/>
    <x v="0"/>
  </r>
  <r>
    <x v="1678"/>
    <s v="C1074"/>
    <d v="2024-03-10T22:00:00"/>
    <n v="8717.5499999999993"/>
    <x v="1"/>
    <x v="2"/>
    <s v="Electronics"/>
    <x v="2"/>
    <x v="1"/>
    <s v="Mobile"/>
    <n v="0"/>
    <n v="2"/>
    <x v="291"/>
    <n v="0"/>
    <x v="2"/>
    <x v="2"/>
    <x v="1"/>
  </r>
  <r>
    <x v="1679"/>
    <s v="C1487"/>
    <d v="2024-03-10T23:00:00"/>
    <n v="34762.81"/>
    <x v="3"/>
    <x v="3"/>
    <s v="Travel"/>
    <x v="0"/>
    <x v="2"/>
    <s v="Desktop"/>
    <n v="0"/>
    <n v="3"/>
    <x v="376"/>
    <n v="1"/>
    <x v="1"/>
    <x v="2"/>
    <x v="0"/>
  </r>
  <r>
    <x v="1680"/>
    <s v="C1253"/>
    <d v="2024-03-11T00:00:00"/>
    <n v="17337.68"/>
    <x v="1"/>
    <x v="1"/>
    <s v="Retail"/>
    <x v="4"/>
    <x v="2"/>
    <s v="Tablet"/>
    <n v="0"/>
    <n v="1"/>
    <x v="400"/>
    <n v="0"/>
    <x v="2"/>
    <x v="2"/>
    <x v="1"/>
  </r>
  <r>
    <x v="1681"/>
    <s v="C1033"/>
    <d v="2024-03-11T01:00:00"/>
    <n v="48781.73"/>
    <x v="3"/>
    <x v="0"/>
    <s v="Entertainment"/>
    <x v="2"/>
    <x v="1"/>
    <s v="Tablet"/>
    <n v="0"/>
    <n v="1"/>
    <x v="426"/>
    <n v="1"/>
    <x v="0"/>
    <x v="2"/>
    <x v="0"/>
  </r>
  <r>
    <x v="1682"/>
    <s v="C1351"/>
    <d v="2024-03-11T02:00:00"/>
    <n v="32066.560000000001"/>
    <x v="2"/>
    <x v="3"/>
    <s v="Retail"/>
    <x v="4"/>
    <x v="4"/>
    <s v="Desktop"/>
    <n v="0"/>
    <n v="2"/>
    <x v="235"/>
    <n v="1"/>
    <x v="0"/>
    <x v="2"/>
    <x v="0"/>
  </r>
  <r>
    <x v="1683"/>
    <s v="C1149"/>
    <d v="2024-03-11T03:00:00"/>
    <n v="41132.9"/>
    <x v="2"/>
    <x v="1"/>
    <s v="Food"/>
    <x v="2"/>
    <x v="4"/>
    <s v="Mobile"/>
    <n v="1"/>
    <n v="3"/>
    <x v="845"/>
    <n v="1"/>
    <x v="1"/>
    <x v="2"/>
    <x v="0"/>
  </r>
  <r>
    <x v="1684"/>
    <s v="C1360"/>
    <d v="2024-03-11T04:00:00"/>
    <n v="6669.61"/>
    <x v="3"/>
    <x v="3"/>
    <s v="Retail"/>
    <x v="2"/>
    <x v="0"/>
    <s v="Tablet"/>
    <n v="0"/>
    <n v="2"/>
    <x v="552"/>
    <n v="0"/>
    <x v="2"/>
    <x v="2"/>
    <x v="1"/>
  </r>
  <r>
    <x v="1685"/>
    <s v="C1387"/>
    <d v="2024-03-11T05:00:00"/>
    <n v="43107.62"/>
    <x v="3"/>
    <x v="1"/>
    <s v="Electronics"/>
    <x v="0"/>
    <x v="4"/>
    <s v="Mobile"/>
    <n v="0"/>
    <n v="0"/>
    <x v="638"/>
    <n v="1"/>
    <x v="0"/>
    <x v="2"/>
    <x v="0"/>
  </r>
  <r>
    <x v="1686"/>
    <s v="C1437"/>
    <d v="2024-03-11T06:00:00"/>
    <n v="46141.72"/>
    <x v="3"/>
    <x v="3"/>
    <s v="Retail"/>
    <x v="0"/>
    <x v="0"/>
    <s v="Mobile"/>
    <n v="0"/>
    <n v="2"/>
    <x v="537"/>
    <n v="1"/>
    <x v="0"/>
    <x v="2"/>
    <x v="0"/>
  </r>
  <r>
    <x v="1687"/>
    <s v="C1412"/>
    <d v="2024-03-11T07:00:00"/>
    <n v="24378.74"/>
    <x v="1"/>
    <x v="1"/>
    <s v="Retail"/>
    <x v="0"/>
    <x v="3"/>
    <s v="Tablet"/>
    <n v="0"/>
    <n v="2"/>
    <x v="384"/>
    <n v="1"/>
    <x v="0"/>
    <x v="2"/>
    <x v="0"/>
  </r>
  <r>
    <x v="1688"/>
    <s v="C1332"/>
    <d v="2024-03-11T08:00:00"/>
    <n v="30332.33"/>
    <x v="3"/>
    <x v="3"/>
    <s v="Retail"/>
    <x v="2"/>
    <x v="1"/>
    <s v="Desktop"/>
    <n v="0"/>
    <n v="1"/>
    <x v="34"/>
    <n v="1"/>
    <x v="0"/>
    <x v="2"/>
    <x v="0"/>
  </r>
  <r>
    <x v="1689"/>
    <s v="C1461"/>
    <d v="2024-03-11T09:00:00"/>
    <n v="38252.25"/>
    <x v="2"/>
    <x v="1"/>
    <s v="Travel"/>
    <x v="2"/>
    <x v="2"/>
    <s v="Mobile"/>
    <n v="1"/>
    <n v="1"/>
    <x v="219"/>
    <n v="1"/>
    <x v="0"/>
    <x v="2"/>
    <x v="0"/>
  </r>
  <r>
    <x v="1690"/>
    <s v="C1384"/>
    <d v="2024-03-11T10:00:00"/>
    <n v="8783.19"/>
    <x v="2"/>
    <x v="3"/>
    <s v="Travel"/>
    <x v="4"/>
    <x v="0"/>
    <s v="Desktop"/>
    <n v="1"/>
    <n v="3"/>
    <x v="305"/>
    <n v="1"/>
    <x v="1"/>
    <x v="2"/>
    <x v="0"/>
  </r>
  <r>
    <x v="1691"/>
    <s v="C1403"/>
    <d v="2024-03-11T11:00:00"/>
    <n v="25153.18"/>
    <x v="0"/>
    <x v="0"/>
    <s v="Food"/>
    <x v="3"/>
    <x v="4"/>
    <s v="Tablet"/>
    <n v="0"/>
    <n v="2"/>
    <x v="137"/>
    <n v="1"/>
    <x v="0"/>
    <x v="2"/>
    <x v="0"/>
  </r>
  <r>
    <x v="1692"/>
    <s v="C1106"/>
    <d v="2024-03-11T12:00:00"/>
    <n v="19963.22"/>
    <x v="3"/>
    <x v="0"/>
    <s v="Electronics"/>
    <x v="0"/>
    <x v="0"/>
    <s v="Mobile"/>
    <n v="0"/>
    <n v="2"/>
    <x v="294"/>
    <n v="0"/>
    <x v="2"/>
    <x v="2"/>
    <x v="1"/>
  </r>
  <r>
    <x v="1693"/>
    <s v="C1224"/>
    <d v="2024-03-11T13:00:00"/>
    <n v="7361.38"/>
    <x v="1"/>
    <x v="2"/>
    <s v="Retail"/>
    <x v="4"/>
    <x v="0"/>
    <s v="Desktop"/>
    <n v="0"/>
    <n v="3"/>
    <x v="566"/>
    <n v="1"/>
    <x v="0"/>
    <x v="2"/>
    <x v="0"/>
  </r>
  <r>
    <x v="1694"/>
    <s v="C1415"/>
    <d v="2024-03-11T14:00:00"/>
    <n v="18408.34"/>
    <x v="1"/>
    <x v="1"/>
    <s v="Retail"/>
    <x v="4"/>
    <x v="4"/>
    <s v="Desktop"/>
    <n v="0"/>
    <n v="4"/>
    <x v="846"/>
    <n v="1"/>
    <x v="1"/>
    <x v="2"/>
    <x v="0"/>
  </r>
  <r>
    <x v="1695"/>
    <s v="C1402"/>
    <d v="2024-03-11T15:00:00"/>
    <n v="3455.21"/>
    <x v="1"/>
    <x v="3"/>
    <s v="Retail"/>
    <x v="1"/>
    <x v="4"/>
    <s v="Mobile"/>
    <n v="0"/>
    <n v="3"/>
    <x v="847"/>
    <n v="0"/>
    <x v="2"/>
    <x v="2"/>
    <x v="1"/>
  </r>
  <r>
    <x v="1696"/>
    <s v="C1472"/>
    <d v="2024-03-11T16:00:00"/>
    <n v="1339.3"/>
    <x v="0"/>
    <x v="1"/>
    <s v="Retail"/>
    <x v="0"/>
    <x v="1"/>
    <s v="Desktop"/>
    <n v="0"/>
    <n v="1"/>
    <x v="828"/>
    <n v="0"/>
    <x v="2"/>
    <x v="2"/>
    <x v="1"/>
  </r>
  <r>
    <x v="1697"/>
    <s v="C1484"/>
    <d v="2024-03-11T17:00:00"/>
    <n v="6801.56"/>
    <x v="2"/>
    <x v="0"/>
    <s v="Travel"/>
    <x v="4"/>
    <x v="2"/>
    <s v="Desktop"/>
    <n v="0"/>
    <n v="1"/>
    <x v="40"/>
    <n v="0"/>
    <x v="2"/>
    <x v="2"/>
    <x v="1"/>
  </r>
  <r>
    <x v="1698"/>
    <s v="C1414"/>
    <d v="2024-03-11T18:00:00"/>
    <n v="48157.599999999999"/>
    <x v="1"/>
    <x v="1"/>
    <s v="Food"/>
    <x v="1"/>
    <x v="1"/>
    <s v="Tablet"/>
    <n v="0"/>
    <n v="2"/>
    <x v="842"/>
    <n v="1"/>
    <x v="1"/>
    <x v="2"/>
    <x v="0"/>
  </r>
  <r>
    <x v="1699"/>
    <s v="C1426"/>
    <d v="2024-03-11T19:00:00"/>
    <n v="27499"/>
    <x v="2"/>
    <x v="3"/>
    <s v="Entertainment"/>
    <x v="0"/>
    <x v="1"/>
    <s v="Tablet"/>
    <n v="0"/>
    <n v="1"/>
    <x v="275"/>
    <n v="1"/>
    <x v="0"/>
    <x v="2"/>
    <x v="0"/>
  </r>
  <r>
    <x v="1700"/>
    <s v="C1130"/>
    <d v="2024-03-11T20:00:00"/>
    <n v="48292.82"/>
    <x v="0"/>
    <x v="1"/>
    <s v="Electronics"/>
    <x v="2"/>
    <x v="4"/>
    <s v="Desktop"/>
    <n v="1"/>
    <n v="3"/>
    <x v="848"/>
    <n v="1"/>
    <x v="1"/>
    <x v="2"/>
    <x v="0"/>
  </r>
  <r>
    <x v="1701"/>
    <s v="C1082"/>
    <d v="2024-03-11T21:00:00"/>
    <n v="21653.27"/>
    <x v="3"/>
    <x v="3"/>
    <s v="Retail"/>
    <x v="1"/>
    <x v="4"/>
    <s v="Desktop"/>
    <n v="0"/>
    <n v="2"/>
    <x v="849"/>
    <n v="1"/>
    <x v="0"/>
    <x v="2"/>
    <x v="0"/>
  </r>
  <r>
    <x v="1702"/>
    <s v="C1263"/>
    <d v="2024-03-11T22:00:00"/>
    <n v="15625.22"/>
    <x v="3"/>
    <x v="0"/>
    <s v="Food"/>
    <x v="2"/>
    <x v="2"/>
    <s v="Mobile"/>
    <n v="1"/>
    <n v="3"/>
    <x v="157"/>
    <n v="1"/>
    <x v="1"/>
    <x v="2"/>
    <x v="0"/>
  </r>
  <r>
    <x v="1703"/>
    <s v="C1157"/>
    <d v="2024-03-11T23:00:00"/>
    <n v="25331.79"/>
    <x v="3"/>
    <x v="0"/>
    <s v="Entertainment"/>
    <x v="3"/>
    <x v="0"/>
    <s v="Tablet"/>
    <n v="0"/>
    <n v="3"/>
    <x v="817"/>
    <n v="1"/>
    <x v="1"/>
    <x v="2"/>
    <x v="0"/>
  </r>
  <r>
    <x v="1704"/>
    <s v="C1189"/>
    <d v="2024-03-12T00:00:00"/>
    <n v="22003.61"/>
    <x v="1"/>
    <x v="0"/>
    <s v="Food"/>
    <x v="3"/>
    <x v="1"/>
    <s v="Mobile"/>
    <n v="0"/>
    <n v="2"/>
    <x v="267"/>
    <n v="1"/>
    <x v="0"/>
    <x v="2"/>
    <x v="0"/>
  </r>
  <r>
    <x v="1705"/>
    <s v="C1150"/>
    <d v="2024-03-12T01:00:00"/>
    <n v="5327.95"/>
    <x v="3"/>
    <x v="2"/>
    <s v="Travel"/>
    <x v="3"/>
    <x v="2"/>
    <s v="Desktop"/>
    <n v="0"/>
    <n v="4"/>
    <x v="311"/>
    <n v="1"/>
    <x v="0"/>
    <x v="2"/>
    <x v="0"/>
  </r>
  <r>
    <x v="1706"/>
    <s v="C1047"/>
    <d v="2024-03-12T02:00:00"/>
    <n v="32059.27"/>
    <x v="1"/>
    <x v="0"/>
    <s v="Entertainment"/>
    <x v="3"/>
    <x v="1"/>
    <s v="Mobile"/>
    <n v="0"/>
    <n v="1"/>
    <x v="124"/>
    <n v="1"/>
    <x v="0"/>
    <x v="2"/>
    <x v="0"/>
  </r>
  <r>
    <x v="1707"/>
    <s v="C1123"/>
    <d v="2024-03-12T03:00:00"/>
    <n v="10841.11"/>
    <x v="0"/>
    <x v="1"/>
    <s v="Food"/>
    <x v="4"/>
    <x v="0"/>
    <s v="Desktop"/>
    <n v="0"/>
    <n v="0"/>
    <x v="850"/>
    <n v="0"/>
    <x v="2"/>
    <x v="2"/>
    <x v="1"/>
  </r>
  <r>
    <x v="1708"/>
    <s v="C1220"/>
    <d v="2024-03-12T04:00:00"/>
    <n v="30998.42"/>
    <x v="0"/>
    <x v="2"/>
    <s v="Travel"/>
    <x v="3"/>
    <x v="1"/>
    <s v="Tablet"/>
    <n v="1"/>
    <n v="0"/>
    <x v="283"/>
    <n v="1"/>
    <x v="0"/>
    <x v="2"/>
    <x v="0"/>
  </r>
  <r>
    <x v="1709"/>
    <s v="C1105"/>
    <d v="2024-03-12T05:00:00"/>
    <n v="32527.54"/>
    <x v="1"/>
    <x v="0"/>
    <s v="Food"/>
    <x v="4"/>
    <x v="3"/>
    <s v="Tablet"/>
    <n v="1"/>
    <n v="0"/>
    <x v="243"/>
    <n v="1"/>
    <x v="0"/>
    <x v="2"/>
    <x v="0"/>
  </r>
  <r>
    <x v="1710"/>
    <s v="C1079"/>
    <d v="2024-03-12T06:00:00"/>
    <n v="7643.64"/>
    <x v="2"/>
    <x v="1"/>
    <s v="Food"/>
    <x v="4"/>
    <x v="2"/>
    <s v="Desktop"/>
    <n v="0"/>
    <n v="1"/>
    <x v="138"/>
    <n v="0"/>
    <x v="2"/>
    <x v="2"/>
    <x v="1"/>
  </r>
  <r>
    <x v="1711"/>
    <s v="C1138"/>
    <d v="2024-03-12T07:00:00"/>
    <n v="3114.41"/>
    <x v="3"/>
    <x v="1"/>
    <s v="Entertainment"/>
    <x v="0"/>
    <x v="4"/>
    <s v="Tablet"/>
    <n v="0"/>
    <n v="4"/>
    <x v="43"/>
    <n v="1"/>
    <x v="0"/>
    <x v="2"/>
    <x v="0"/>
  </r>
  <r>
    <x v="1712"/>
    <s v="C1105"/>
    <d v="2024-03-12T08:00:00"/>
    <n v="39049.040000000001"/>
    <x v="3"/>
    <x v="1"/>
    <s v="Travel"/>
    <x v="4"/>
    <x v="1"/>
    <s v="Desktop"/>
    <n v="0"/>
    <n v="3"/>
    <x v="687"/>
    <n v="1"/>
    <x v="1"/>
    <x v="2"/>
    <x v="0"/>
  </r>
  <r>
    <x v="1713"/>
    <s v="C1182"/>
    <d v="2024-03-12T09:00:00"/>
    <n v="23017.03"/>
    <x v="3"/>
    <x v="3"/>
    <s v="Retail"/>
    <x v="4"/>
    <x v="2"/>
    <s v="Mobile"/>
    <n v="0"/>
    <n v="2"/>
    <x v="505"/>
    <n v="1"/>
    <x v="0"/>
    <x v="2"/>
    <x v="0"/>
  </r>
  <r>
    <x v="1714"/>
    <s v="C1220"/>
    <d v="2024-03-12T10:00:00"/>
    <n v="2955.28"/>
    <x v="1"/>
    <x v="2"/>
    <s v="Electronics"/>
    <x v="3"/>
    <x v="2"/>
    <s v="Desktop"/>
    <n v="0"/>
    <n v="4"/>
    <x v="595"/>
    <n v="1"/>
    <x v="0"/>
    <x v="2"/>
    <x v="0"/>
  </r>
  <r>
    <x v="1715"/>
    <s v="C1168"/>
    <d v="2024-03-12T11:00:00"/>
    <n v="49743.57"/>
    <x v="0"/>
    <x v="1"/>
    <s v="Entertainment"/>
    <x v="4"/>
    <x v="1"/>
    <s v="Mobile"/>
    <n v="0"/>
    <n v="0"/>
    <x v="361"/>
    <n v="0"/>
    <x v="2"/>
    <x v="2"/>
    <x v="1"/>
  </r>
  <r>
    <x v="1716"/>
    <s v="C1300"/>
    <d v="2024-03-12T12:00:00"/>
    <n v="2936.14"/>
    <x v="3"/>
    <x v="3"/>
    <s v="Travel"/>
    <x v="2"/>
    <x v="4"/>
    <s v="Desktop"/>
    <n v="0"/>
    <n v="1"/>
    <x v="851"/>
    <n v="0"/>
    <x v="2"/>
    <x v="2"/>
    <x v="1"/>
  </r>
  <r>
    <x v="1717"/>
    <s v="C1111"/>
    <d v="2024-03-12T13:00:00"/>
    <n v="34767.01"/>
    <x v="0"/>
    <x v="0"/>
    <s v="Food"/>
    <x v="3"/>
    <x v="4"/>
    <s v="Tablet"/>
    <n v="0"/>
    <n v="1"/>
    <x v="334"/>
    <n v="1"/>
    <x v="0"/>
    <x v="2"/>
    <x v="0"/>
  </r>
  <r>
    <x v="1718"/>
    <s v="C1289"/>
    <d v="2024-03-12T14:00:00"/>
    <n v="49184.76"/>
    <x v="3"/>
    <x v="1"/>
    <s v="Travel"/>
    <x v="1"/>
    <x v="1"/>
    <s v="Desktop"/>
    <n v="0"/>
    <n v="2"/>
    <x v="690"/>
    <n v="1"/>
    <x v="1"/>
    <x v="2"/>
    <x v="0"/>
  </r>
  <r>
    <x v="1719"/>
    <s v="C1348"/>
    <d v="2024-03-12T15:00:00"/>
    <n v="11997.05"/>
    <x v="3"/>
    <x v="3"/>
    <s v="Electronics"/>
    <x v="3"/>
    <x v="2"/>
    <s v="Desktop"/>
    <n v="0"/>
    <n v="3"/>
    <x v="232"/>
    <n v="1"/>
    <x v="0"/>
    <x v="2"/>
    <x v="0"/>
  </r>
  <r>
    <x v="1720"/>
    <s v="C1171"/>
    <d v="2024-03-12T16:00:00"/>
    <n v="7155.36"/>
    <x v="1"/>
    <x v="1"/>
    <s v="Electronics"/>
    <x v="4"/>
    <x v="4"/>
    <s v="Desktop"/>
    <n v="0"/>
    <n v="4"/>
    <x v="307"/>
    <n v="1"/>
    <x v="0"/>
    <x v="2"/>
    <x v="0"/>
  </r>
  <r>
    <x v="1721"/>
    <s v="C1413"/>
    <d v="2024-03-12T17:00:00"/>
    <n v="6113.18"/>
    <x v="2"/>
    <x v="2"/>
    <s v="Retail"/>
    <x v="2"/>
    <x v="1"/>
    <s v="Tablet"/>
    <n v="1"/>
    <n v="4"/>
    <x v="852"/>
    <n v="1"/>
    <x v="1"/>
    <x v="2"/>
    <x v="0"/>
  </r>
  <r>
    <x v="1722"/>
    <s v="C1224"/>
    <d v="2024-03-12T18:00:00"/>
    <n v="15198.59"/>
    <x v="1"/>
    <x v="2"/>
    <s v="Retail"/>
    <x v="3"/>
    <x v="1"/>
    <s v="Desktop"/>
    <n v="0"/>
    <n v="4"/>
    <x v="320"/>
    <n v="1"/>
    <x v="1"/>
    <x v="2"/>
    <x v="0"/>
  </r>
  <r>
    <x v="1723"/>
    <s v="C1413"/>
    <d v="2024-03-12T19:00:00"/>
    <n v="5097.24"/>
    <x v="3"/>
    <x v="0"/>
    <s v="Electronics"/>
    <x v="2"/>
    <x v="1"/>
    <s v="Tablet"/>
    <n v="1"/>
    <n v="3"/>
    <x v="242"/>
    <n v="1"/>
    <x v="1"/>
    <x v="2"/>
    <x v="0"/>
  </r>
  <r>
    <x v="1724"/>
    <s v="C1073"/>
    <d v="2024-03-12T20:00:00"/>
    <n v="34623.46"/>
    <x v="3"/>
    <x v="1"/>
    <s v="Entertainment"/>
    <x v="1"/>
    <x v="2"/>
    <s v="Desktop"/>
    <n v="0"/>
    <n v="3"/>
    <x v="579"/>
    <n v="1"/>
    <x v="1"/>
    <x v="2"/>
    <x v="0"/>
  </r>
  <r>
    <x v="1725"/>
    <s v="C1100"/>
    <d v="2024-03-12T21:00:00"/>
    <n v="3161.48"/>
    <x v="2"/>
    <x v="3"/>
    <s v="Entertainment"/>
    <x v="1"/>
    <x v="4"/>
    <s v="Mobile"/>
    <n v="1"/>
    <n v="3"/>
    <x v="853"/>
    <n v="1"/>
    <x v="0"/>
    <x v="2"/>
    <x v="0"/>
  </r>
  <r>
    <x v="1726"/>
    <s v="C1341"/>
    <d v="2024-03-12T22:00:00"/>
    <n v="25495.64"/>
    <x v="0"/>
    <x v="0"/>
    <s v="Food"/>
    <x v="0"/>
    <x v="2"/>
    <s v="Desktop"/>
    <n v="0"/>
    <n v="2"/>
    <x v="136"/>
    <n v="1"/>
    <x v="0"/>
    <x v="2"/>
    <x v="0"/>
  </r>
  <r>
    <x v="1727"/>
    <s v="C1014"/>
    <d v="2024-03-12T23:00:00"/>
    <n v="49835.01"/>
    <x v="0"/>
    <x v="1"/>
    <s v="Retail"/>
    <x v="0"/>
    <x v="3"/>
    <s v="Mobile"/>
    <n v="0"/>
    <n v="1"/>
    <x v="112"/>
    <n v="1"/>
    <x v="0"/>
    <x v="2"/>
    <x v="0"/>
  </r>
  <r>
    <x v="1728"/>
    <s v="C1155"/>
    <d v="2024-03-13T00:00:00"/>
    <n v="40707.81"/>
    <x v="3"/>
    <x v="0"/>
    <s v="Food"/>
    <x v="3"/>
    <x v="4"/>
    <s v="Tablet"/>
    <n v="1"/>
    <n v="0"/>
    <x v="13"/>
    <n v="1"/>
    <x v="0"/>
    <x v="2"/>
    <x v="0"/>
  </r>
  <r>
    <x v="1729"/>
    <s v="C1091"/>
    <d v="2024-03-13T01:00:00"/>
    <n v="30780.21"/>
    <x v="0"/>
    <x v="3"/>
    <s v="Retail"/>
    <x v="0"/>
    <x v="2"/>
    <s v="Tablet"/>
    <n v="0"/>
    <n v="3"/>
    <x v="854"/>
    <n v="1"/>
    <x v="1"/>
    <x v="2"/>
    <x v="0"/>
  </r>
  <r>
    <x v="1730"/>
    <s v="C1192"/>
    <d v="2024-03-13T02:00:00"/>
    <n v="15347.37"/>
    <x v="3"/>
    <x v="0"/>
    <s v="Electronics"/>
    <x v="2"/>
    <x v="4"/>
    <s v="Desktop"/>
    <n v="0"/>
    <n v="1"/>
    <x v="183"/>
    <n v="0"/>
    <x v="2"/>
    <x v="2"/>
    <x v="1"/>
  </r>
  <r>
    <x v="1731"/>
    <s v="C1402"/>
    <d v="2024-03-13T03:00:00"/>
    <n v="31213.599999999999"/>
    <x v="2"/>
    <x v="0"/>
    <s v="Entertainment"/>
    <x v="0"/>
    <x v="3"/>
    <s v="Tablet"/>
    <n v="1"/>
    <n v="3"/>
    <x v="167"/>
    <n v="1"/>
    <x v="1"/>
    <x v="2"/>
    <x v="0"/>
  </r>
  <r>
    <x v="1732"/>
    <s v="C1270"/>
    <d v="2024-03-13T04:00:00"/>
    <n v="26375.72"/>
    <x v="2"/>
    <x v="0"/>
    <s v="Entertainment"/>
    <x v="2"/>
    <x v="0"/>
    <s v="Desktop"/>
    <n v="0"/>
    <n v="0"/>
    <x v="158"/>
    <n v="0"/>
    <x v="2"/>
    <x v="2"/>
    <x v="1"/>
  </r>
  <r>
    <x v="1733"/>
    <s v="C1317"/>
    <d v="2024-03-13T05:00:00"/>
    <n v="21332.87"/>
    <x v="3"/>
    <x v="1"/>
    <s v="Electronics"/>
    <x v="0"/>
    <x v="1"/>
    <s v="Tablet"/>
    <n v="1"/>
    <n v="3"/>
    <x v="17"/>
    <n v="1"/>
    <x v="1"/>
    <x v="2"/>
    <x v="0"/>
  </r>
  <r>
    <x v="1734"/>
    <s v="C1374"/>
    <d v="2024-03-13T06:00:00"/>
    <n v="6578.98"/>
    <x v="2"/>
    <x v="3"/>
    <s v="Food"/>
    <x v="0"/>
    <x v="2"/>
    <s v="Mobile"/>
    <n v="0"/>
    <n v="1"/>
    <x v="18"/>
    <n v="0"/>
    <x v="2"/>
    <x v="2"/>
    <x v="1"/>
  </r>
  <r>
    <x v="1735"/>
    <s v="C1054"/>
    <d v="2024-03-13T07:00:00"/>
    <n v="44335.88"/>
    <x v="1"/>
    <x v="2"/>
    <s v="Food"/>
    <x v="0"/>
    <x v="3"/>
    <s v="Tablet"/>
    <n v="1"/>
    <n v="2"/>
    <x v="855"/>
    <n v="1"/>
    <x v="1"/>
    <x v="2"/>
    <x v="0"/>
  </r>
  <r>
    <x v="1736"/>
    <s v="C1114"/>
    <d v="2024-03-13T08:00:00"/>
    <n v="22516.74"/>
    <x v="1"/>
    <x v="1"/>
    <s v="Travel"/>
    <x v="4"/>
    <x v="3"/>
    <s v="Mobile"/>
    <n v="0"/>
    <n v="0"/>
    <x v="366"/>
    <n v="0"/>
    <x v="2"/>
    <x v="2"/>
    <x v="1"/>
  </r>
  <r>
    <x v="1737"/>
    <s v="C1361"/>
    <d v="2024-03-13T09:00:00"/>
    <n v="9771.39"/>
    <x v="2"/>
    <x v="2"/>
    <s v="Retail"/>
    <x v="4"/>
    <x v="4"/>
    <s v="Desktop"/>
    <n v="0"/>
    <n v="1"/>
    <x v="683"/>
    <n v="0"/>
    <x v="2"/>
    <x v="2"/>
    <x v="1"/>
  </r>
  <r>
    <x v="1738"/>
    <s v="C1307"/>
    <d v="2024-03-13T10:00:00"/>
    <n v="18419.580000000002"/>
    <x v="3"/>
    <x v="2"/>
    <s v="Food"/>
    <x v="0"/>
    <x v="4"/>
    <s v="Desktop"/>
    <n v="0"/>
    <n v="4"/>
    <x v="846"/>
    <n v="1"/>
    <x v="1"/>
    <x v="2"/>
    <x v="0"/>
  </r>
  <r>
    <x v="1739"/>
    <s v="C1077"/>
    <d v="2024-03-13T11:00:00"/>
    <n v="20735.78"/>
    <x v="3"/>
    <x v="1"/>
    <s v="Electronics"/>
    <x v="2"/>
    <x v="1"/>
    <s v="Desktop"/>
    <n v="1"/>
    <n v="4"/>
    <x v="276"/>
    <n v="1"/>
    <x v="1"/>
    <x v="2"/>
    <x v="0"/>
  </r>
  <r>
    <x v="1740"/>
    <s v="C1415"/>
    <d v="2024-03-13T12:00:00"/>
    <n v="41385.519999999997"/>
    <x v="2"/>
    <x v="1"/>
    <s v="Food"/>
    <x v="3"/>
    <x v="4"/>
    <s v="Mobile"/>
    <n v="0"/>
    <n v="4"/>
    <x v="856"/>
    <n v="1"/>
    <x v="1"/>
    <x v="2"/>
    <x v="0"/>
  </r>
  <r>
    <x v="1741"/>
    <s v="C1151"/>
    <d v="2024-03-13T13:00:00"/>
    <n v="36694.04"/>
    <x v="0"/>
    <x v="3"/>
    <s v="Entertainment"/>
    <x v="1"/>
    <x v="2"/>
    <s v="Desktop"/>
    <n v="0"/>
    <n v="2"/>
    <x v="633"/>
    <n v="1"/>
    <x v="0"/>
    <x v="2"/>
    <x v="0"/>
  </r>
  <r>
    <x v="1742"/>
    <s v="C1369"/>
    <d v="2024-03-13T14:00:00"/>
    <n v="38476.78"/>
    <x v="1"/>
    <x v="3"/>
    <s v="Retail"/>
    <x v="4"/>
    <x v="2"/>
    <s v="Desktop"/>
    <n v="0"/>
    <n v="3"/>
    <x v="48"/>
    <n v="1"/>
    <x v="1"/>
    <x v="2"/>
    <x v="0"/>
  </r>
  <r>
    <x v="1743"/>
    <s v="C1415"/>
    <d v="2024-03-13T15:00:00"/>
    <n v="601.01"/>
    <x v="0"/>
    <x v="0"/>
    <s v="Travel"/>
    <x v="0"/>
    <x v="2"/>
    <s v="Mobile"/>
    <n v="0"/>
    <n v="3"/>
    <x v="241"/>
    <n v="1"/>
    <x v="0"/>
    <x v="2"/>
    <x v="0"/>
  </r>
  <r>
    <x v="1744"/>
    <s v="C1027"/>
    <d v="2024-03-13T16:00:00"/>
    <n v="20836.89"/>
    <x v="3"/>
    <x v="2"/>
    <s v="Retail"/>
    <x v="1"/>
    <x v="0"/>
    <s v="Tablet"/>
    <n v="0"/>
    <n v="3"/>
    <x v="76"/>
    <n v="1"/>
    <x v="0"/>
    <x v="2"/>
    <x v="0"/>
  </r>
  <r>
    <x v="1745"/>
    <s v="C1421"/>
    <d v="2024-03-13T17:00:00"/>
    <n v="24093.14"/>
    <x v="3"/>
    <x v="3"/>
    <s v="Entertainment"/>
    <x v="4"/>
    <x v="2"/>
    <s v="Desktop"/>
    <n v="1"/>
    <n v="2"/>
    <x v="857"/>
    <n v="1"/>
    <x v="1"/>
    <x v="2"/>
    <x v="0"/>
  </r>
  <r>
    <x v="1746"/>
    <s v="C1410"/>
    <d v="2024-03-13T18:00:00"/>
    <n v="1008.65"/>
    <x v="0"/>
    <x v="0"/>
    <s v="Entertainment"/>
    <x v="3"/>
    <x v="4"/>
    <s v="Tablet"/>
    <n v="0"/>
    <n v="4"/>
    <x v="315"/>
    <n v="1"/>
    <x v="0"/>
    <x v="2"/>
    <x v="0"/>
  </r>
  <r>
    <x v="1747"/>
    <s v="C1282"/>
    <d v="2024-03-13T19:00:00"/>
    <n v="13027.67"/>
    <x v="2"/>
    <x v="3"/>
    <s v="Entertainment"/>
    <x v="2"/>
    <x v="4"/>
    <s v="Tablet"/>
    <n v="0"/>
    <n v="3"/>
    <x v="704"/>
    <n v="1"/>
    <x v="0"/>
    <x v="2"/>
    <x v="0"/>
  </r>
  <r>
    <x v="1748"/>
    <s v="C1224"/>
    <d v="2024-03-13T20:00:00"/>
    <n v="38026.480000000003"/>
    <x v="0"/>
    <x v="1"/>
    <s v="Entertainment"/>
    <x v="0"/>
    <x v="2"/>
    <s v="Desktop"/>
    <n v="0"/>
    <n v="2"/>
    <x v="858"/>
    <n v="1"/>
    <x v="0"/>
    <x v="2"/>
    <x v="0"/>
  </r>
  <r>
    <x v="1749"/>
    <s v="C1213"/>
    <d v="2024-03-13T21:00:00"/>
    <n v="6898.63"/>
    <x v="0"/>
    <x v="3"/>
    <s v="Electronics"/>
    <x v="3"/>
    <x v="3"/>
    <s v="Desktop"/>
    <n v="0"/>
    <n v="2"/>
    <x v="563"/>
    <n v="0"/>
    <x v="2"/>
    <x v="2"/>
    <x v="1"/>
  </r>
  <r>
    <x v="1750"/>
    <s v="C1087"/>
    <d v="2024-03-13T22:00:00"/>
    <n v="26788.74"/>
    <x v="1"/>
    <x v="2"/>
    <s v="Travel"/>
    <x v="4"/>
    <x v="3"/>
    <s v="Mobile"/>
    <n v="0"/>
    <n v="1"/>
    <x v="748"/>
    <n v="1"/>
    <x v="0"/>
    <x v="2"/>
    <x v="0"/>
  </r>
  <r>
    <x v="1751"/>
    <s v="C1292"/>
    <d v="2024-03-13T23:00:00"/>
    <n v="10799.33"/>
    <x v="1"/>
    <x v="3"/>
    <s v="Entertainment"/>
    <x v="0"/>
    <x v="3"/>
    <s v="Mobile"/>
    <n v="0"/>
    <n v="3"/>
    <x v="409"/>
    <n v="1"/>
    <x v="0"/>
    <x v="2"/>
    <x v="0"/>
  </r>
  <r>
    <x v="1752"/>
    <s v="C1265"/>
    <d v="2024-03-14T00:00:00"/>
    <n v="655.43"/>
    <x v="0"/>
    <x v="2"/>
    <s v="Entertainment"/>
    <x v="1"/>
    <x v="1"/>
    <s v="Desktop"/>
    <n v="0"/>
    <n v="4"/>
    <x v="13"/>
    <n v="1"/>
    <x v="0"/>
    <x v="2"/>
    <x v="0"/>
  </r>
  <r>
    <x v="1753"/>
    <s v="C1428"/>
    <d v="2024-03-14T01:00:00"/>
    <n v="12098.01"/>
    <x v="0"/>
    <x v="1"/>
    <s v="Food"/>
    <x v="2"/>
    <x v="0"/>
    <s v="Tablet"/>
    <n v="0"/>
    <n v="0"/>
    <x v="859"/>
    <n v="0"/>
    <x v="2"/>
    <x v="2"/>
    <x v="1"/>
  </r>
  <r>
    <x v="1754"/>
    <s v="C1387"/>
    <d v="2024-03-14T02:00:00"/>
    <n v="48794.89"/>
    <x v="3"/>
    <x v="2"/>
    <s v="Travel"/>
    <x v="4"/>
    <x v="2"/>
    <s v="Mobile"/>
    <n v="0"/>
    <n v="2"/>
    <x v="794"/>
    <n v="1"/>
    <x v="1"/>
    <x v="2"/>
    <x v="0"/>
  </r>
  <r>
    <x v="1755"/>
    <s v="C1376"/>
    <d v="2024-03-14T03:00:00"/>
    <n v="40086.78"/>
    <x v="1"/>
    <x v="3"/>
    <s v="Retail"/>
    <x v="2"/>
    <x v="1"/>
    <s v="Mobile"/>
    <n v="0"/>
    <n v="1"/>
    <x v="513"/>
    <n v="1"/>
    <x v="0"/>
    <x v="2"/>
    <x v="0"/>
  </r>
  <r>
    <x v="1756"/>
    <s v="C1234"/>
    <d v="2024-03-14T04:00:00"/>
    <n v="47980.85"/>
    <x v="1"/>
    <x v="0"/>
    <s v="Travel"/>
    <x v="0"/>
    <x v="3"/>
    <s v="Desktop"/>
    <n v="0"/>
    <n v="0"/>
    <x v="75"/>
    <n v="1"/>
    <x v="0"/>
    <x v="2"/>
    <x v="0"/>
  </r>
  <r>
    <x v="1757"/>
    <s v="C1162"/>
    <d v="2024-03-14T05:00:00"/>
    <n v="24418.31"/>
    <x v="3"/>
    <x v="1"/>
    <s v="Travel"/>
    <x v="3"/>
    <x v="2"/>
    <s v="Desktop"/>
    <n v="0"/>
    <n v="2"/>
    <x v="384"/>
    <n v="1"/>
    <x v="0"/>
    <x v="2"/>
    <x v="0"/>
  </r>
  <r>
    <x v="1758"/>
    <s v="C1409"/>
    <d v="2024-03-14T06:00:00"/>
    <n v="5531.32"/>
    <x v="2"/>
    <x v="3"/>
    <s v="Travel"/>
    <x v="2"/>
    <x v="1"/>
    <s v="Desktop"/>
    <n v="0"/>
    <n v="1"/>
    <x v="273"/>
    <n v="0"/>
    <x v="2"/>
    <x v="2"/>
    <x v="1"/>
  </r>
  <r>
    <x v="1759"/>
    <s v="C1359"/>
    <d v="2024-03-14T07:00:00"/>
    <n v="27420.58"/>
    <x v="1"/>
    <x v="1"/>
    <s v="Entertainment"/>
    <x v="1"/>
    <x v="4"/>
    <s v="Desktop"/>
    <n v="0"/>
    <n v="3"/>
    <x v="28"/>
    <n v="1"/>
    <x v="0"/>
    <x v="2"/>
    <x v="0"/>
  </r>
  <r>
    <x v="1760"/>
    <s v="C1367"/>
    <d v="2024-03-14T08:00:00"/>
    <n v="22746.15"/>
    <x v="1"/>
    <x v="1"/>
    <s v="Entertainment"/>
    <x v="4"/>
    <x v="3"/>
    <s v="Mobile"/>
    <n v="0"/>
    <n v="1"/>
    <x v="769"/>
    <n v="0"/>
    <x v="2"/>
    <x v="2"/>
    <x v="1"/>
  </r>
  <r>
    <x v="1761"/>
    <s v="C1116"/>
    <d v="2024-03-14T09:00:00"/>
    <n v="42225.64"/>
    <x v="2"/>
    <x v="3"/>
    <s v="Electronics"/>
    <x v="1"/>
    <x v="1"/>
    <s v="Mobile"/>
    <n v="1"/>
    <n v="2"/>
    <x v="649"/>
    <n v="1"/>
    <x v="1"/>
    <x v="2"/>
    <x v="0"/>
  </r>
  <r>
    <x v="1762"/>
    <s v="C1390"/>
    <d v="2024-03-14T10:00:00"/>
    <n v="4949.22"/>
    <x v="1"/>
    <x v="3"/>
    <s v="Retail"/>
    <x v="2"/>
    <x v="4"/>
    <s v="Mobile"/>
    <n v="0"/>
    <n v="3"/>
    <x v="860"/>
    <n v="1"/>
    <x v="0"/>
    <x v="2"/>
    <x v="0"/>
  </r>
  <r>
    <x v="1763"/>
    <s v="C1069"/>
    <d v="2024-03-14T11:00:00"/>
    <n v="24437.64"/>
    <x v="1"/>
    <x v="0"/>
    <s v="Food"/>
    <x v="3"/>
    <x v="3"/>
    <s v="Tablet"/>
    <n v="0"/>
    <n v="4"/>
    <x v="861"/>
    <n v="1"/>
    <x v="1"/>
    <x v="2"/>
    <x v="0"/>
  </r>
  <r>
    <x v="1764"/>
    <s v="C1363"/>
    <d v="2024-03-14T12:00:00"/>
    <n v="7544.93"/>
    <x v="2"/>
    <x v="1"/>
    <s v="Travel"/>
    <x v="3"/>
    <x v="0"/>
    <s v="Mobile"/>
    <n v="0"/>
    <n v="1"/>
    <x v="366"/>
    <n v="0"/>
    <x v="2"/>
    <x v="2"/>
    <x v="1"/>
  </r>
  <r>
    <x v="1765"/>
    <s v="C1150"/>
    <d v="2024-03-14T13:00:00"/>
    <n v="16267.56"/>
    <x v="2"/>
    <x v="1"/>
    <s v="Retail"/>
    <x v="1"/>
    <x v="3"/>
    <s v="Mobile"/>
    <n v="0"/>
    <n v="0"/>
    <x v="828"/>
    <n v="0"/>
    <x v="2"/>
    <x v="2"/>
    <x v="1"/>
  </r>
  <r>
    <x v="1766"/>
    <s v="C1381"/>
    <d v="2024-03-14T14:00:00"/>
    <n v="36880.99"/>
    <x v="0"/>
    <x v="3"/>
    <s v="Retail"/>
    <x v="0"/>
    <x v="0"/>
    <s v="Desktop"/>
    <n v="0"/>
    <n v="3"/>
    <x v="826"/>
    <n v="1"/>
    <x v="1"/>
    <x v="2"/>
    <x v="0"/>
  </r>
  <r>
    <x v="1767"/>
    <s v="C1463"/>
    <d v="2024-03-14T15:00:00"/>
    <n v="23827.11"/>
    <x v="3"/>
    <x v="2"/>
    <s v="Electronics"/>
    <x v="0"/>
    <x v="0"/>
    <s v="Mobile"/>
    <n v="0"/>
    <n v="3"/>
    <x v="49"/>
    <n v="1"/>
    <x v="0"/>
    <x v="2"/>
    <x v="0"/>
  </r>
  <r>
    <x v="1768"/>
    <s v="C1337"/>
    <d v="2024-03-14T16:00:00"/>
    <n v="18825.62"/>
    <x v="3"/>
    <x v="3"/>
    <s v="Food"/>
    <x v="3"/>
    <x v="0"/>
    <s v="Mobile"/>
    <n v="0"/>
    <n v="4"/>
    <x v="794"/>
    <n v="1"/>
    <x v="1"/>
    <x v="2"/>
    <x v="0"/>
  </r>
  <r>
    <x v="1769"/>
    <s v="C1115"/>
    <d v="2024-03-14T17:00:00"/>
    <n v="19754.09"/>
    <x v="2"/>
    <x v="1"/>
    <s v="Travel"/>
    <x v="1"/>
    <x v="2"/>
    <s v="Mobile"/>
    <n v="0"/>
    <n v="1"/>
    <x v="272"/>
    <n v="0"/>
    <x v="2"/>
    <x v="2"/>
    <x v="1"/>
  </r>
  <r>
    <x v="1770"/>
    <s v="C1343"/>
    <d v="2024-03-14T18:00:00"/>
    <n v="22999.37"/>
    <x v="2"/>
    <x v="3"/>
    <s v="Food"/>
    <x v="1"/>
    <x v="2"/>
    <s v="Desktop"/>
    <n v="0"/>
    <n v="0"/>
    <x v="643"/>
    <n v="0"/>
    <x v="2"/>
    <x v="2"/>
    <x v="1"/>
  </r>
  <r>
    <x v="1771"/>
    <s v="C1130"/>
    <d v="2024-03-14T19:00:00"/>
    <n v="39261.58"/>
    <x v="1"/>
    <x v="0"/>
    <s v="Electronics"/>
    <x v="1"/>
    <x v="0"/>
    <s v="Mobile"/>
    <n v="0"/>
    <n v="4"/>
    <x v="144"/>
    <n v="1"/>
    <x v="1"/>
    <x v="2"/>
    <x v="0"/>
  </r>
  <r>
    <x v="1772"/>
    <s v="C1031"/>
    <d v="2024-03-14T20:00:00"/>
    <n v="44609.63"/>
    <x v="0"/>
    <x v="2"/>
    <s v="Entertainment"/>
    <x v="2"/>
    <x v="4"/>
    <s v="Mobile"/>
    <n v="0"/>
    <n v="1"/>
    <x v="251"/>
    <n v="1"/>
    <x v="0"/>
    <x v="2"/>
    <x v="0"/>
  </r>
  <r>
    <x v="1773"/>
    <s v="C1190"/>
    <d v="2024-03-14T21:00:00"/>
    <n v="47768.97"/>
    <x v="0"/>
    <x v="3"/>
    <s v="Retail"/>
    <x v="0"/>
    <x v="0"/>
    <s v="Tablet"/>
    <n v="0"/>
    <n v="0"/>
    <x v="593"/>
    <n v="0"/>
    <x v="2"/>
    <x v="2"/>
    <x v="1"/>
  </r>
  <r>
    <x v="1774"/>
    <s v="C1165"/>
    <d v="2024-03-14T22:00:00"/>
    <n v="39355.82"/>
    <x v="2"/>
    <x v="0"/>
    <s v="Travel"/>
    <x v="0"/>
    <x v="1"/>
    <s v="Tablet"/>
    <n v="0"/>
    <n v="0"/>
    <x v="531"/>
    <n v="0"/>
    <x v="2"/>
    <x v="2"/>
    <x v="1"/>
  </r>
  <r>
    <x v="1775"/>
    <s v="C1054"/>
    <d v="2024-03-14T23:00:00"/>
    <n v="15804.57"/>
    <x v="1"/>
    <x v="1"/>
    <s v="Entertainment"/>
    <x v="2"/>
    <x v="0"/>
    <s v="Tablet"/>
    <n v="0"/>
    <n v="2"/>
    <x v="217"/>
    <n v="1"/>
    <x v="0"/>
    <x v="2"/>
    <x v="0"/>
  </r>
  <r>
    <x v="1776"/>
    <s v="C1168"/>
    <d v="2024-03-15T00:00:00"/>
    <n v="34422.33"/>
    <x v="1"/>
    <x v="3"/>
    <s v="Electronics"/>
    <x v="4"/>
    <x v="2"/>
    <s v="Tablet"/>
    <n v="0"/>
    <n v="0"/>
    <x v="670"/>
    <n v="0"/>
    <x v="2"/>
    <x v="2"/>
    <x v="1"/>
  </r>
  <r>
    <x v="1777"/>
    <s v="C1233"/>
    <d v="2024-03-15T01:00:00"/>
    <n v="21908.28"/>
    <x v="3"/>
    <x v="1"/>
    <s v="Food"/>
    <x v="2"/>
    <x v="2"/>
    <s v="Desktop"/>
    <n v="0"/>
    <n v="1"/>
    <x v="563"/>
    <n v="0"/>
    <x v="2"/>
    <x v="2"/>
    <x v="1"/>
  </r>
  <r>
    <x v="1778"/>
    <s v="C1142"/>
    <d v="2024-03-15T02:00:00"/>
    <n v="12770.8"/>
    <x v="3"/>
    <x v="0"/>
    <s v="Retail"/>
    <x v="1"/>
    <x v="1"/>
    <s v="Tablet"/>
    <n v="0"/>
    <n v="4"/>
    <x v="498"/>
    <n v="1"/>
    <x v="1"/>
    <x v="2"/>
    <x v="0"/>
  </r>
  <r>
    <x v="1779"/>
    <s v="C1226"/>
    <d v="2024-03-15T03:00:00"/>
    <n v="42051.54"/>
    <x v="1"/>
    <x v="1"/>
    <s v="Travel"/>
    <x v="2"/>
    <x v="1"/>
    <s v="Mobile"/>
    <n v="0"/>
    <n v="4"/>
    <x v="509"/>
    <n v="1"/>
    <x v="1"/>
    <x v="2"/>
    <x v="0"/>
  </r>
  <r>
    <x v="1780"/>
    <s v="C1434"/>
    <d v="2024-03-15T04:00:00"/>
    <n v="1969.4"/>
    <x v="3"/>
    <x v="0"/>
    <s v="Entertainment"/>
    <x v="1"/>
    <x v="3"/>
    <s v="Tablet"/>
    <n v="0"/>
    <n v="2"/>
    <x v="452"/>
    <n v="0"/>
    <x v="2"/>
    <x v="2"/>
    <x v="1"/>
  </r>
  <r>
    <x v="1781"/>
    <s v="C1050"/>
    <d v="2024-03-15T05:00:00"/>
    <n v="45093.01"/>
    <x v="2"/>
    <x v="0"/>
    <s v="Entertainment"/>
    <x v="3"/>
    <x v="4"/>
    <s v="Desktop"/>
    <n v="0"/>
    <n v="1"/>
    <x v="786"/>
    <n v="1"/>
    <x v="0"/>
    <x v="2"/>
    <x v="0"/>
  </r>
  <r>
    <x v="1782"/>
    <s v="C1130"/>
    <d v="2024-03-15T06:00:00"/>
    <n v="23100.799999999999"/>
    <x v="1"/>
    <x v="0"/>
    <s v="Retail"/>
    <x v="1"/>
    <x v="4"/>
    <s v="Tablet"/>
    <n v="0"/>
    <n v="0"/>
    <x v="862"/>
    <n v="0"/>
    <x v="2"/>
    <x v="2"/>
    <x v="1"/>
  </r>
  <r>
    <x v="1783"/>
    <s v="C1351"/>
    <d v="2024-03-15T07:00:00"/>
    <n v="31878.21"/>
    <x v="3"/>
    <x v="3"/>
    <s v="Food"/>
    <x v="0"/>
    <x v="4"/>
    <s v="Tablet"/>
    <n v="1"/>
    <n v="2"/>
    <x v="83"/>
    <n v="1"/>
    <x v="1"/>
    <x v="2"/>
    <x v="0"/>
  </r>
  <r>
    <x v="1784"/>
    <s v="C1070"/>
    <d v="2024-03-15T08:00:00"/>
    <n v="32984.730000000003"/>
    <x v="0"/>
    <x v="1"/>
    <s v="Electronics"/>
    <x v="2"/>
    <x v="2"/>
    <s v="Desktop"/>
    <n v="0"/>
    <n v="3"/>
    <x v="858"/>
    <n v="1"/>
    <x v="0"/>
    <x v="2"/>
    <x v="0"/>
  </r>
  <r>
    <x v="1785"/>
    <s v="C1102"/>
    <d v="2024-03-15T09:00:00"/>
    <n v="44761.13"/>
    <x v="1"/>
    <x v="1"/>
    <s v="Food"/>
    <x v="1"/>
    <x v="4"/>
    <s v="Desktop"/>
    <n v="1"/>
    <n v="1"/>
    <x v="39"/>
    <n v="1"/>
    <x v="0"/>
    <x v="2"/>
    <x v="0"/>
  </r>
  <r>
    <x v="1786"/>
    <s v="C1379"/>
    <d v="2024-03-15T10:00:00"/>
    <n v="31851.65"/>
    <x v="1"/>
    <x v="2"/>
    <s v="Food"/>
    <x v="4"/>
    <x v="3"/>
    <s v="Desktop"/>
    <n v="0"/>
    <n v="2"/>
    <x v="123"/>
    <n v="1"/>
    <x v="0"/>
    <x v="2"/>
    <x v="0"/>
  </r>
  <r>
    <x v="1787"/>
    <s v="C1020"/>
    <d v="2024-03-15T11:00:00"/>
    <n v="30715.98"/>
    <x v="0"/>
    <x v="2"/>
    <s v="Food"/>
    <x v="3"/>
    <x v="3"/>
    <s v="Desktop"/>
    <n v="0"/>
    <n v="4"/>
    <x v="240"/>
    <n v="1"/>
    <x v="1"/>
    <x v="2"/>
    <x v="0"/>
  </r>
  <r>
    <x v="1788"/>
    <s v="C1332"/>
    <d v="2024-03-15T12:00:00"/>
    <n v="3379.27"/>
    <x v="2"/>
    <x v="2"/>
    <s v="Retail"/>
    <x v="4"/>
    <x v="4"/>
    <s v="Desktop"/>
    <n v="0"/>
    <n v="2"/>
    <x v="198"/>
    <n v="0"/>
    <x v="2"/>
    <x v="2"/>
    <x v="1"/>
  </r>
  <r>
    <x v="1789"/>
    <s v="C1050"/>
    <d v="2024-03-15T13:00:00"/>
    <n v="25944.48"/>
    <x v="0"/>
    <x v="2"/>
    <s v="Retail"/>
    <x v="4"/>
    <x v="1"/>
    <s v="Desktop"/>
    <n v="0"/>
    <n v="3"/>
    <x v="233"/>
    <n v="1"/>
    <x v="0"/>
    <x v="2"/>
    <x v="0"/>
  </r>
  <r>
    <x v="1790"/>
    <s v="C1312"/>
    <d v="2024-03-15T14:00:00"/>
    <n v="7550.94"/>
    <x v="1"/>
    <x v="1"/>
    <s v="Electronics"/>
    <x v="4"/>
    <x v="3"/>
    <s v="Mobile"/>
    <n v="0"/>
    <n v="1"/>
    <x v="138"/>
    <n v="0"/>
    <x v="2"/>
    <x v="2"/>
    <x v="1"/>
  </r>
  <r>
    <x v="1791"/>
    <s v="C1472"/>
    <d v="2024-03-15T15:00:00"/>
    <n v="36884.82"/>
    <x v="2"/>
    <x v="0"/>
    <s v="Food"/>
    <x v="3"/>
    <x v="1"/>
    <s v="Tablet"/>
    <n v="0"/>
    <n v="2"/>
    <x v="652"/>
    <n v="1"/>
    <x v="0"/>
    <x v="2"/>
    <x v="0"/>
  </r>
  <r>
    <x v="1792"/>
    <s v="C1082"/>
    <d v="2024-03-15T16:00:00"/>
    <n v="25635.48"/>
    <x v="3"/>
    <x v="0"/>
    <s v="Retail"/>
    <x v="3"/>
    <x v="2"/>
    <s v="Tablet"/>
    <n v="0"/>
    <n v="0"/>
    <x v="822"/>
    <n v="0"/>
    <x v="2"/>
    <x v="2"/>
    <x v="1"/>
  </r>
  <r>
    <x v="1793"/>
    <s v="C1279"/>
    <d v="2024-03-15T17:00:00"/>
    <n v="34027.379999999997"/>
    <x v="3"/>
    <x v="3"/>
    <s v="Electronics"/>
    <x v="3"/>
    <x v="3"/>
    <s v="Desktop"/>
    <n v="0"/>
    <n v="1"/>
    <x v="679"/>
    <n v="0"/>
    <x v="2"/>
    <x v="2"/>
    <x v="1"/>
  </r>
  <r>
    <x v="1794"/>
    <s v="C1423"/>
    <d v="2024-03-15T18:00:00"/>
    <n v="2131.56"/>
    <x v="3"/>
    <x v="0"/>
    <s v="Electronics"/>
    <x v="3"/>
    <x v="1"/>
    <s v="Desktop"/>
    <n v="0"/>
    <n v="2"/>
    <x v="153"/>
    <n v="0"/>
    <x v="2"/>
    <x v="2"/>
    <x v="1"/>
  </r>
  <r>
    <x v="1795"/>
    <s v="C1326"/>
    <d v="2024-03-15T19:00:00"/>
    <n v="4285.3599999999997"/>
    <x v="1"/>
    <x v="1"/>
    <s v="Food"/>
    <x v="4"/>
    <x v="4"/>
    <s v="Mobile"/>
    <n v="1"/>
    <n v="2"/>
    <x v="458"/>
    <n v="1"/>
    <x v="0"/>
    <x v="2"/>
    <x v="0"/>
  </r>
  <r>
    <x v="1796"/>
    <s v="C1156"/>
    <d v="2024-03-15T20:00:00"/>
    <n v="35830.35"/>
    <x v="0"/>
    <x v="1"/>
    <s v="Travel"/>
    <x v="0"/>
    <x v="2"/>
    <s v="Mobile"/>
    <n v="1"/>
    <n v="1"/>
    <x v="70"/>
    <n v="1"/>
    <x v="1"/>
    <x v="2"/>
    <x v="0"/>
  </r>
  <r>
    <x v="1797"/>
    <s v="C1452"/>
    <d v="2024-03-15T21:00:00"/>
    <n v="3650.61"/>
    <x v="2"/>
    <x v="1"/>
    <s v="Food"/>
    <x v="0"/>
    <x v="0"/>
    <s v="Desktop"/>
    <n v="0"/>
    <n v="4"/>
    <x v="290"/>
    <n v="1"/>
    <x v="0"/>
    <x v="2"/>
    <x v="0"/>
  </r>
  <r>
    <x v="1798"/>
    <s v="C1070"/>
    <d v="2024-03-15T22:00:00"/>
    <n v="3609.27"/>
    <x v="3"/>
    <x v="3"/>
    <s v="Travel"/>
    <x v="3"/>
    <x v="0"/>
    <s v="Mobile"/>
    <n v="1"/>
    <n v="0"/>
    <x v="85"/>
    <n v="0"/>
    <x v="2"/>
    <x v="2"/>
    <x v="1"/>
  </r>
  <r>
    <x v="1799"/>
    <s v="C1003"/>
    <d v="2024-03-15T23:00:00"/>
    <n v="654.82000000000005"/>
    <x v="2"/>
    <x v="2"/>
    <s v="Electronics"/>
    <x v="2"/>
    <x v="4"/>
    <s v="Mobile"/>
    <n v="1"/>
    <n v="1"/>
    <x v="166"/>
    <n v="0"/>
    <x v="2"/>
    <x v="2"/>
    <x v="1"/>
  </r>
  <r>
    <x v="1800"/>
    <s v="C1244"/>
    <d v="2024-03-16T00:00:00"/>
    <n v="47827.24"/>
    <x v="1"/>
    <x v="0"/>
    <s v="Retail"/>
    <x v="1"/>
    <x v="2"/>
    <s v="Desktop"/>
    <n v="0"/>
    <n v="0"/>
    <x v="863"/>
    <n v="1"/>
    <x v="0"/>
    <x v="2"/>
    <x v="0"/>
  </r>
  <r>
    <x v="1801"/>
    <s v="C1343"/>
    <d v="2024-03-16T01:00:00"/>
    <n v="36888.54"/>
    <x v="3"/>
    <x v="1"/>
    <s v="Entertainment"/>
    <x v="2"/>
    <x v="2"/>
    <s v="Desktop"/>
    <n v="0"/>
    <n v="0"/>
    <x v="563"/>
    <n v="0"/>
    <x v="2"/>
    <x v="2"/>
    <x v="1"/>
  </r>
  <r>
    <x v="1802"/>
    <s v="C1126"/>
    <d v="2024-03-16T02:00:00"/>
    <n v="17694.91"/>
    <x v="1"/>
    <x v="1"/>
    <s v="Electronics"/>
    <x v="2"/>
    <x v="2"/>
    <s v="Desktop"/>
    <n v="0"/>
    <n v="1"/>
    <x v="684"/>
    <n v="0"/>
    <x v="2"/>
    <x v="2"/>
    <x v="1"/>
  </r>
  <r>
    <x v="1803"/>
    <s v="C1380"/>
    <d v="2024-03-16T03:00:00"/>
    <n v="14861.95"/>
    <x v="0"/>
    <x v="2"/>
    <s v="Retail"/>
    <x v="2"/>
    <x v="2"/>
    <s v="Desktop"/>
    <n v="0"/>
    <n v="2"/>
    <x v="746"/>
    <n v="0"/>
    <x v="2"/>
    <x v="2"/>
    <x v="1"/>
  </r>
  <r>
    <x v="1804"/>
    <s v="C1105"/>
    <d v="2024-03-16T04:00:00"/>
    <n v="17517.68"/>
    <x v="1"/>
    <x v="1"/>
    <s v="Electronics"/>
    <x v="0"/>
    <x v="0"/>
    <s v="Tablet"/>
    <n v="0"/>
    <n v="4"/>
    <x v="676"/>
    <n v="1"/>
    <x v="0"/>
    <x v="2"/>
    <x v="0"/>
  </r>
  <r>
    <x v="1805"/>
    <s v="C1309"/>
    <d v="2024-03-16T05:00:00"/>
    <n v="38743.94"/>
    <x v="1"/>
    <x v="0"/>
    <s v="Food"/>
    <x v="1"/>
    <x v="1"/>
    <s v="Tablet"/>
    <n v="0"/>
    <n v="0"/>
    <x v="291"/>
    <n v="0"/>
    <x v="2"/>
    <x v="2"/>
    <x v="1"/>
  </r>
  <r>
    <x v="1806"/>
    <s v="C1064"/>
    <d v="2024-03-16T06:00:00"/>
    <n v="33085.46"/>
    <x v="0"/>
    <x v="3"/>
    <s v="Travel"/>
    <x v="2"/>
    <x v="2"/>
    <s v="Desktop"/>
    <n v="0"/>
    <n v="0"/>
    <x v="699"/>
    <n v="0"/>
    <x v="2"/>
    <x v="2"/>
    <x v="1"/>
  </r>
  <r>
    <x v="1807"/>
    <s v="C1146"/>
    <d v="2024-03-16T07:00:00"/>
    <n v="9300.52"/>
    <x v="2"/>
    <x v="1"/>
    <s v="Electronics"/>
    <x v="3"/>
    <x v="1"/>
    <s v="Mobile"/>
    <n v="0"/>
    <n v="2"/>
    <x v="25"/>
    <n v="0"/>
    <x v="2"/>
    <x v="2"/>
    <x v="1"/>
  </r>
  <r>
    <x v="1808"/>
    <s v="C1235"/>
    <d v="2024-03-16T08:00:00"/>
    <n v="8746.76"/>
    <x v="0"/>
    <x v="0"/>
    <s v="Retail"/>
    <x v="0"/>
    <x v="2"/>
    <s v="Desktop"/>
    <n v="0"/>
    <n v="1"/>
    <x v="482"/>
    <n v="0"/>
    <x v="2"/>
    <x v="2"/>
    <x v="1"/>
  </r>
  <r>
    <x v="1809"/>
    <s v="C1147"/>
    <d v="2024-03-16T09:00:00"/>
    <n v="4964.8599999999997"/>
    <x v="0"/>
    <x v="1"/>
    <s v="Food"/>
    <x v="3"/>
    <x v="3"/>
    <s v="Tablet"/>
    <n v="0"/>
    <n v="4"/>
    <x v="747"/>
    <n v="1"/>
    <x v="0"/>
    <x v="2"/>
    <x v="0"/>
  </r>
  <r>
    <x v="1810"/>
    <s v="C1400"/>
    <d v="2024-03-16T10:00:00"/>
    <n v="33032.120000000003"/>
    <x v="1"/>
    <x v="2"/>
    <s v="Entertainment"/>
    <x v="3"/>
    <x v="3"/>
    <s v="Mobile"/>
    <n v="0"/>
    <n v="0"/>
    <x v="643"/>
    <n v="0"/>
    <x v="2"/>
    <x v="2"/>
    <x v="1"/>
  </r>
  <r>
    <x v="1811"/>
    <s v="C1450"/>
    <d v="2024-03-16T11:00:00"/>
    <n v="38230.410000000003"/>
    <x v="2"/>
    <x v="1"/>
    <s v="Food"/>
    <x v="2"/>
    <x v="3"/>
    <s v="Tablet"/>
    <n v="1"/>
    <n v="0"/>
    <x v="853"/>
    <n v="1"/>
    <x v="0"/>
    <x v="2"/>
    <x v="0"/>
  </r>
  <r>
    <x v="1812"/>
    <s v="C1116"/>
    <d v="2024-03-16T12:00:00"/>
    <n v="13289.07"/>
    <x v="3"/>
    <x v="1"/>
    <s v="Travel"/>
    <x v="3"/>
    <x v="2"/>
    <s v="Desktop"/>
    <n v="0"/>
    <n v="1"/>
    <x v="688"/>
    <n v="0"/>
    <x v="2"/>
    <x v="2"/>
    <x v="1"/>
  </r>
  <r>
    <x v="1813"/>
    <s v="C1249"/>
    <d v="2024-03-16T13:00:00"/>
    <n v="1096.2"/>
    <x v="0"/>
    <x v="3"/>
    <s v="Food"/>
    <x v="1"/>
    <x v="1"/>
    <s v="Tablet"/>
    <n v="0"/>
    <n v="2"/>
    <x v="864"/>
    <n v="0"/>
    <x v="2"/>
    <x v="2"/>
    <x v="1"/>
  </r>
  <r>
    <x v="1814"/>
    <s v="C1420"/>
    <d v="2024-03-16T14:00:00"/>
    <n v="4154.47"/>
    <x v="2"/>
    <x v="2"/>
    <s v="Entertainment"/>
    <x v="3"/>
    <x v="0"/>
    <s v="Tablet"/>
    <n v="1"/>
    <n v="3"/>
    <x v="865"/>
    <n v="1"/>
    <x v="0"/>
    <x v="2"/>
    <x v="0"/>
  </r>
  <r>
    <x v="1815"/>
    <s v="C1096"/>
    <d v="2024-03-16T15:00:00"/>
    <n v="48394.61"/>
    <x v="0"/>
    <x v="2"/>
    <s v="Retail"/>
    <x v="2"/>
    <x v="4"/>
    <s v="Tablet"/>
    <n v="1"/>
    <n v="2"/>
    <x v="662"/>
    <n v="1"/>
    <x v="1"/>
    <x v="2"/>
    <x v="0"/>
  </r>
  <r>
    <x v="1816"/>
    <s v="C1408"/>
    <d v="2024-03-16T16:00:00"/>
    <n v="14807.47"/>
    <x v="0"/>
    <x v="3"/>
    <s v="Electronics"/>
    <x v="3"/>
    <x v="0"/>
    <s v="Mobile"/>
    <n v="0"/>
    <n v="0"/>
    <x v="866"/>
    <n v="0"/>
    <x v="2"/>
    <x v="2"/>
    <x v="1"/>
  </r>
  <r>
    <x v="1817"/>
    <s v="C1236"/>
    <d v="2024-03-16T17:00:00"/>
    <n v="38472.699999999997"/>
    <x v="0"/>
    <x v="1"/>
    <s v="Travel"/>
    <x v="0"/>
    <x v="2"/>
    <s v="Tablet"/>
    <n v="0"/>
    <n v="0"/>
    <x v="847"/>
    <n v="0"/>
    <x v="2"/>
    <x v="2"/>
    <x v="1"/>
  </r>
  <r>
    <x v="1818"/>
    <s v="C1229"/>
    <d v="2024-03-16T18:00:00"/>
    <n v="31251.95"/>
    <x v="0"/>
    <x v="0"/>
    <s v="Entertainment"/>
    <x v="0"/>
    <x v="3"/>
    <s v="Mobile"/>
    <n v="1"/>
    <n v="4"/>
    <x v="867"/>
    <n v="1"/>
    <x v="1"/>
    <x v="2"/>
    <x v="0"/>
  </r>
  <r>
    <x v="1819"/>
    <s v="C1076"/>
    <d v="2024-03-16T19:00:00"/>
    <n v="19127.89"/>
    <x v="1"/>
    <x v="2"/>
    <s v="Travel"/>
    <x v="0"/>
    <x v="3"/>
    <s v="Desktop"/>
    <n v="0"/>
    <n v="2"/>
    <x v="210"/>
    <n v="1"/>
    <x v="0"/>
    <x v="2"/>
    <x v="0"/>
  </r>
  <r>
    <x v="1820"/>
    <s v="C1473"/>
    <d v="2024-03-16T20:00:00"/>
    <n v="10324.08"/>
    <x v="2"/>
    <x v="2"/>
    <s v="Food"/>
    <x v="4"/>
    <x v="1"/>
    <s v="Desktop"/>
    <n v="0"/>
    <n v="3"/>
    <x v="34"/>
    <n v="1"/>
    <x v="0"/>
    <x v="2"/>
    <x v="0"/>
  </r>
  <r>
    <x v="1821"/>
    <s v="C1338"/>
    <d v="2024-03-16T21:00:00"/>
    <n v="6113.25"/>
    <x v="2"/>
    <x v="1"/>
    <s v="Travel"/>
    <x v="0"/>
    <x v="2"/>
    <s v="Tablet"/>
    <n v="0"/>
    <n v="4"/>
    <x v="537"/>
    <n v="1"/>
    <x v="0"/>
    <x v="2"/>
    <x v="0"/>
  </r>
  <r>
    <x v="1822"/>
    <s v="C1133"/>
    <d v="2024-03-16T22:00:00"/>
    <n v="30769.9"/>
    <x v="2"/>
    <x v="1"/>
    <s v="Entertainment"/>
    <x v="0"/>
    <x v="0"/>
    <s v="Mobile"/>
    <n v="0"/>
    <n v="3"/>
    <x v="76"/>
    <n v="1"/>
    <x v="0"/>
    <x v="2"/>
    <x v="0"/>
  </r>
  <r>
    <x v="1823"/>
    <s v="C1168"/>
    <d v="2024-03-16T23:00:00"/>
    <n v="38742.959999999999"/>
    <x v="0"/>
    <x v="2"/>
    <s v="Electronics"/>
    <x v="4"/>
    <x v="2"/>
    <s v="Desktop"/>
    <n v="0"/>
    <n v="4"/>
    <x v="589"/>
    <n v="1"/>
    <x v="1"/>
    <x v="2"/>
    <x v="0"/>
  </r>
  <r>
    <x v="1824"/>
    <s v="C1423"/>
    <d v="2024-03-17T00:00:00"/>
    <n v="32213.02"/>
    <x v="1"/>
    <x v="1"/>
    <s v="Electronics"/>
    <x v="0"/>
    <x v="2"/>
    <s v="Mobile"/>
    <n v="0"/>
    <n v="2"/>
    <x v="868"/>
    <n v="1"/>
    <x v="0"/>
    <x v="2"/>
    <x v="0"/>
  </r>
  <r>
    <x v="1825"/>
    <s v="C1064"/>
    <d v="2024-03-17T01:00:00"/>
    <n v="26538.59"/>
    <x v="0"/>
    <x v="0"/>
    <s v="Travel"/>
    <x v="2"/>
    <x v="3"/>
    <s v="Mobile"/>
    <n v="1"/>
    <n v="0"/>
    <x v="429"/>
    <n v="1"/>
    <x v="0"/>
    <x v="2"/>
    <x v="0"/>
  </r>
  <r>
    <x v="1826"/>
    <s v="C1093"/>
    <d v="2024-03-17T02:00:00"/>
    <n v="2145.46"/>
    <x v="0"/>
    <x v="2"/>
    <s v="Retail"/>
    <x v="0"/>
    <x v="0"/>
    <s v="Tablet"/>
    <n v="0"/>
    <n v="3"/>
    <x v="64"/>
    <n v="0"/>
    <x v="2"/>
    <x v="2"/>
    <x v="1"/>
  </r>
  <r>
    <x v="1827"/>
    <s v="C1284"/>
    <d v="2024-03-17T03:00:00"/>
    <n v="48426.01"/>
    <x v="2"/>
    <x v="0"/>
    <s v="Travel"/>
    <x v="0"/>
    <x v="4"/>
    <s v="Tablet"/>
    <n v="0"/>
    <n v="2"/>
    <x v="846"/>
    <n v="1"/>
    <x v="1"/>
    <x v="2"/>
    <x v="0"/>
  </r>
  <r>
    <x v="1828"/>
    <s v="C1123"/>
    <d v="2024-03-17T04:00:00"/>
    <n v="39945.769999999997"/>
    <x v="0"/>
    <x v="0"/>
    <s v="Food"/>
    <x v="4"/>
    <x v="3"/>
    <s v="Mobile"/>
    <n v="0"/>
    <n v="3"/>
    <x v="570"/>
    <n v="1"/>
    <x v="1"/>
    <x v="2"/>
    <x v="0"/>
  </r>
  <r>
    <x v="1829"/>
    <s v="C1499"/>
    <d v="2024-03-17T05:00:00"/>
    <n v="14676.46"/>
    <x v="3"/>
    <x v="1"/>
    <s v="Electronics"/>
    <x v="2"/>
    <x v="0"/>
    <s v="Mobile"/>
    <n v="1"/>
    <n v="2"/>
    <x v="766"/>
    <n v="1"/>
    <x v="0"/>
    <x v="2"/>
    <x v="0"/>
  </r>
  <r>
    <x v="1830"/>
    <s v="C1121"/>
    <d v="2024-03-17T06:00:00"/>
    <n v="48999.519999999997"/>
    <x v="0"/>
    <x v="0"/>
    <s v="Electronics"/>
    <x v="3"/>
    <x v="1"/>
    <s v="Tablet"/>
    <n v="0"/>
    <n v="4"/>
    <x v="438"/>
    <n v="1"/>
    <x v="1"/>
    <x v="2"/>
    <x v="0"/>
  </r>
  <r>
    <x v="1831"/>
    <s v="C1411"/>
    <d v="2024-03-17T07:00:00"/>
    <n v="30113.99"/>
    <x v="3"/>
    <x v="1"/>
    <s v="Electronics"/>
    <x v="1"/>
    <x v="3"/>
    <s v="Mobile"/>
    <n v="0"/>
    <n v="2"/>
    <x v="786"/>
    <n v="1"/>
    <x v="0"/>
    <x v="2"/>
    <x v="0"/>
  </r>
  <r>
    <x v="1832"/>
    <s v="C1106"/>
    <d v="2024-03-17T08:00:00"/>
    <n v="29142.01"/>
    <x v="0"/>
    <x v="3"/>
    <s v="Retail"/>
    <x v="2"/>
    <x v="1"/>
    <s v="Tablet"/>
    <n v="1"/>
    <n v="4"/>
    <x v="869"/>
    <n v="1"/>
    <x v="1"/>
    <x v="2"/>
    <x v="0"/>
  </r>
  <r>
    <x v="1833"/>
    <s v="C1303"/>
    <d v="2024-03-17T09:00:00"/>
    <n v="37416.26"/>
    <x v="1"/>
    <x v="1"/>
    <s v="Retail"/>
    <x v="3"/>
    <x v="3"/>
    <s v="Mobile"/>
    <n v="0"/>
    <n v="0"/>
    <x v="417"/>
    <n v="0"/>
    <x v="2"/>
    <x v="2"/>
    <x v="1"/>
  </r>
  <r>
    <x v="1834"/>
    <s v="C1297"/>
    <d v="2024-03-17T10:00:00"/>
    <n v="40597.9"/>
    <x v="1"/>
    <x v="0"/>
    <s v="Entertainment"/>
    <x v="2"/>
    <x v="2"/>
    <s v="Tablet"/>
    <n v="0"/>
    <n v="4"/>
    <x v="823"/>
    <n v="1"/>
    <x v="1"/>
    <x v="2"/>
    <x v="0"/>
  </r>
  <r>
    <x v="1835"/>
    <s v="C1490"/>
    <d v="2024-03-17T11:00:00"/>
    <n v="32841.11"/>
    <x v="2"/>
    <x v="3"/>
    <s v="Travel"/>
    <x v="3"/>
    <x v="0"/>
    <s v="Mobile"/>
    <n v="1"/>
    <n v="1"/>
    <x v="24"/>
    <n v="1"/>
    <x v="0"/>
    <x v="2"/>
    <x v="0"/>
  </r>
  <r>
    <x v="1836"/>
    <s v="C1228"/>
    <d v="2024-03-17T12:00:00"/>
    <n v="6448.38"/>
    <x v="0"/>
    <x v="1"/>
    <s v="Travel"/>
    <x v="3"/>
    <x v="1"/>
    <s v="Tablet"/>
    <n v="1"/>
    <n v="0"/>
    <x v="158"/>
    <n v="0"/>
    <x v="2"/>
    <x v="2"/>
    <x v="1"/>
  </r>
  <r>
    <x v="1837"/>
    <s v="C1390"/>
    <d v="2024-03-17T13:00:00"/>
    <n v="16946.46"/>
    <x v="3"/>
    <x v="0"/>
    <s v="Food"/>
    <x v="2"/>
    <x v="3"/>
    <s v="Mobile"/>
    <n v="0"/>
    <n v="2"/>
    <x v="146"/>
    <n v="1"/>
    <x v="0"/>
    <x v="2"/>
    <x v="0"/>
  </r>
  <r>
    <x v="1838"/>
    <s v="C1010"/>
    <d v="2024-03-17T14:00:00"/>
    <n v="46407.78"/>
    <x v="3"/>
    <x v="2"/>
    <s v="Electronics"/>
    <x v="4"/>
    <x v="1"/>
    <s v="Desktop"/>
    <n v="1"/>
    <n v="2"/>
    <x v="378"/>
    <n v="1"/>
    <x v="1"/>
    <x v="2"/>
    <x v="0"/>
  </r>
  <r>
    <x v="1839"/>
    <s v="C1072"/>
    <d v="2024-03-17T15:00:00"/>
    <n v="11269.55"/>
    <x v="0"/>
    <x v="2"/>
    <s v="Retail"/>
    <x v="2"/>
    <x v="3"/>
    <s v="Desktop"/>
    <n v="0"/>
    <n v="1"/>
    <x v="870"/>
    <n v="0"/>
    <x v="2"/>
    <x v="2"/>
    <x v="1"/>
  </r>
  <r>
    <x v="1840"/>
    <s v="C1342"/>
    <d v="2024-03-17T16:00:00"/>
    <n v="18639.740000000002"/>
    <x v="3"/>
    <x v="1"/>
    <s v="Food"/>
    <x v="2"/>
    <x v="3"/>
    <s v="Mobile"/>
    <n v="0"/>
    <n v="2"/>
    <x v="300"/>
    <n v="1"/>
    <x v="0"/>
    <x v="2"/>
    <x v="0"/>
  </r>
  <r>
    <x v="1841"/>
    <s v="C1131"/>
    <d v="2024-03-17T17:00:00"/>
    <n v="21632.240000000002"/>
    <x v="1"/>
    <x v="1"/>
    <s v="Food"/>
    <x v="3"/>
    <x v="4"/>
    <s v="Desktop"/>
    <n v="1"/>
    <n v="0"/>
    <x v="12"/>
    <n v="1"/>
    <x v="0"/>
    <x v="2"/>
    <x v="0"/>
  </r>
  <r>
    <x v="1842"/>
    <s v="C1420"/>
    <d v="2024-03-17T18:00:00"/>
    <n v="21998.28"/>
    <x v="3"/>
    <x v="2"/>
    <s v="Retail"/>
    <x v="1"/>
    <x v="4"/>
    <s v="Mobile"/>
    <n v="1"/>
    <n v="0"/>
    <x v="452"/>
    <n v="0"/>
    <x v="2"/>
    <x v="2"/>
    <x v="1"/>
  </r>
  <r>
    <x v="1843"/>
    <s v="C1443"/>
    <d v="2024-03-17T19:00:00"/>
    <n v="30666.33"/>
    <x v="2"/>
    <x v="0"/>
    <s v="Travel"/>
    <x v="3"/>
    <x v="4"/>
    <s v="Mobile"/>
    <n v="0"/>
    <n v="4"/>
    <x v="215"/>
    <n v="1"/>
    <x v="1"/>
    <x v="2"/>
    <x v="0"/>
  </r>
  <r>
    <x v="1844"/>
    <s v="C1240"/>
    <d v="2024-03-17T20:00:00"/>
    <n v="47156.639999999999"/>
    <x v="1"/>
    <x v="0"/>
    <s v="Electronics"/>
    <x v="0"/>
    <x v="1"/>
    <s v="Desktop"/>
    <n v="0"/>
    <n v="3"/>
    <x v="649"/>
    <n v="1"/>
    <x v="1"/>
    <x v="2"/>
    <x v="0"/>
  </r>
  <r>
    <x v="1845"/>
    <s v="C1083"/>
    <d v="2024-03-17T21:00:00"/>
    <n v="12072.6"/>
    <x v="1"/>
    <x v="0"/>
    <s v="Travel"/>
    <x v="2"/>
    <x v="2"/>
    <s v="Mobile"/>
    <n v="0"/>
    <n v="2"/>
    <x v="153"/>
    <n v="0"/>
    <x v="2"/>
    <x v="2"/>
    <x v="1"/>
  </r>
  <r>
    <x v="1846"/>
    <s v="C1078"/>
    <d v="2024-03-17T22:00:00"/>
    <n v="6118.99"/>
    <x v="1"/>
    <x v="1"/>
    <s v="Food"/>
    <x v="2"/>
    <x v="3"/>
    <s v="Tablet"/>
    <n v="0"/>
    <n v="1"/>
    <x v="658"/>
    <n v="0"/>
    <x v="2"/>
    <x v="2"/>
    <x v="1"/>
  </r>
  <r>
    <x v="1847"/>
    <s v="C1431"/>
    <d v="2024-03-17T23:00:00"/>
    <n v="9913.65"/>
    <x v="0"/>
    <x v="3"/>
    <s v="Electronics"/>
    <x v="4"/>
    <x v="0"/>
    <s v="Mobile"/>
    <n v="0"/>
    <n v="0"/>
    <x v="487"/>
    <n v="0"/>
    <x v="2"/>
    <x v="2"/>
    <x v="1"/>
  </r>
  <r>
    <x v="1848"/>
    <s v="C1381"/>
    <d v="2024-03-18T00:00:00"/>
    <n v="44351.9"/>
    <x v="0"/>
    <x v="3"/>
    <s v="Entertainment"/>
    <x v="3"/>
    <x v="4"/>
    <s v="Mobile"/>
    <n v="0"/>
    <n v="0"/>
    <x v="109"/>
    <n v="1"/>
    <x v="0"/>
    <x v="2"/>
    <x v="0"/>
  </r>
  <r>
    <x v="1849"/>
    <s v="C1481"/>
    <d v="2024-03-18T01:00:00"/>
    <n v="32308.25"/>
    <x v="1"/>
    <x v="3"/>
    <s v="Food"/>
    <x v="4"/>
    <x v="1"/>
    <s v="Desktop"/>
    <n v="0"/>
    <n v="0"/>
    <x v="565"/>
    <n v="0"/>
    <x v="2"/>
    <x v="2"/>
    <x v="1"/>
  </r>
  <r>
    <x v="1850"/>
    <s v="C1002"/>
    <d v="2024-03-18T02:00:00"/>
    <n v="14331.04"/>
    <x v="0"/>
    <x v="3"/>
    <s v="Travel"/>
    <x v="2"/>
    <x v="1"/>
    <s v="Tablet"/>
    <n v="0"/>
    <n v="3"/>
    <x v="303"/>
    <n v="1"/>
    <x v="0"/>
    <x v="2"/>
    <x v="0"/>
  </r>
  <r>
    <x v="1851"/>
    <s v="C1482"/>
    <d v="2024-03-18T03:00:00"/>
    <n v="40806.550000000003"/>
    <x v="3"/>
    <x v="3"/>
    <s v="Travel"/>
    <x v="3"/>
    <x v="1"/>
    <s v="Mobile"/>
    <n v="0"/>
    <n v="3"/>
    <x v="594"/>
    <n v="1"/>
    <x v="1"/>
    <x v="2"/>
    <x v="0"/>
  </r>
  <r>
    <x v="1852"/>
    <s v="C1249"/>
    <d v="2024-03-18T04:00:00"/>
    <n v="43075.43"/>
    <x v="0"/>
    <x v="1"/>
    <s v="Travel"/>
    <x v="3"/>
    <x v="0"/>
    <s v="Mobile"/>
    <n v="0"/>
    <n v="2"/>
    <x v="88"/>
    <n v="1"/>
    <x v="1"/>
    <x v="2"/>
    <x v="0"/>
  </r>
  <r>
    <x v="1853"/>
    <s v="C1101"/>
    <d v="2024-03-18T05:00:00"/>
    <n v="42333.39"/>
    <x v="0"/>
    <x v="1"/>
    <s v="Retail"/>
    <x v="0"/>
    <x v="0"/>
    <s v="Mobile"/>
    <n v="0"/>
    <n v="1"/>
    <x v="56"/>
    <n v="1"/>
    <x v="0"/>
    <x v="2"/>
    <x v="0"/>
  </r>
  <r>
    <x v="1854"/>
    <s v="C1349"/>
    <d v="2024-03-18T06:00:00"/>
    <n v="45950.38"/>
    <x v="1"/>
    <x v="3"/>
    <s v="Food"/>
    <x v="0"/>
    <x v="4"/>
    <s v="Mobile"/>
    <n v="0"/>
    <n v="3"/>
    <x v="871"/>
    <n v="1"/>
    <x v="1"/>
    <x v="2"/>
    <x v="0"/>
  </r>
  <r>
    <x v="1855"/>
    <s v="C1017"/>
    <d v="2024-03-18T07:00:00"/>
    <n v="12649.44"/>
    <x v="2"/>
    <x v="1"/>
    <s v="Electronics"/>
    <x v="1"/>
    <x v="0"/>
    <s v="Mobile"/>
    <n v="1"/>
    <n v="4"/>
    <x v="821"/>
    <n v="1"/>
    <x v="1"/>
    <x v="2"/>
    <x v="0"/>
  </r>
  <r>
    <x v="1856"/>
    <s v="C1426"/>
    <d v="2024-03-18T08:00:00"/>
    <n v="37764.339999999997"/>
    <x v="2"/>
    <x v="1"/>
    <s v="Travel"/>
    <x v="0"/>
    <x v="4"/>
    <s v="Mobile"/>
    <n v="0"/>
    <n v="3"/>
    <x v="377"/>
    <n v="1"/>
    <x v="1"/>
    <x v="2"/>
    <x v="0"/>
  </r>
  <r>
    <x v="1857"/>
    <s v="C1024"/>
    <d v="2024-03-18T09:00:00"/>
    <n v="23053.95"/>
    <x v="2"/>
    <x v="3"/>
    <s v="Travel"/>
    <x v="3"/>
    <x v="0"/>
    <s v="Tablet"/>
    <n v="0"/>
    <n v="0"/>
    <x v="699"/>
    <n v="0"/>
    <x v="2"/>
    <x v="2"/>
    <x v="1"/>
  </r>
  <r>
    <x v="1858"/>
    <s v="C1065"/>
    <d v="2024-03-18T10:00:00"/>
    <n v="42107.83"/>
    <x v="3"/>
    <x v="0"/>
    <s v="Retail"/>
    <x v="0"/>
    <x v="0"/>
    <s v="Tablet"/>
    <n v="0"/>
    <n v="1"/>
    <x v="124"/>
    <n v="1"/>
    <x v="0"/>
    <x v="2"/>
    <x v="0"/>
  </r>
  <r>
    <x v="1859"/>
    <s v="C1469"/>
    <d v="2024-03-18T11:00:00"/>
    <n v="36438.11"/>
    <x v="0"/>
    <x v="1"/>
    <s v="Electronics"/>
    <x v="1"/>
    <x v="0"/>
    <s v="Mobile"/>
    <n v="0"/>
    <n v="2"/>
    <x v="454"/>
    <n v="1"/>
    <x v="0"/>
    <x v="2"/>
    <x v="0"/>
  </r>
  <r>
    <x v="1860"/>
    <s v="C1142"/>
    <d v="2024-03-18T12:00:00"/>
    <n v="38833.550000000003"/>
    <x v="2"/>
    <x v="0"/>
    <s v="Food"/>
    <x v="2"/>
    <x v="4"/>
    <s v="Mobile"/>
    <n v="0"/>
    <n v="3"/>
    <x v="872"/>
    <n v="1"/>
    <x v="1"/>
    <x v="2"/>
    <x v="0"/>
  </r>
  <r>
    <x v="1861"/>
    <s v="C1110"/>
    <d v="2024-03-18T13:00:00"/>
    <n v="32825.279999999999"/>
    <x v="1"/>
    <x v="1"/>
    <s v="Entertainment"/>
    <x v="0"/>
    <x v="3"/>
    <s v="Desktop"/>
    <n v="0"/>
    <n v="0"/>
    <x v="827"/>
    <n v="0"/>
    <x v="2"/>
    <x v="2"/>
    <x v="1"/>
  </r>
  <r>
    <x v="1862"/>
    <s v="C1247"/>
    <d v="2024-03-18T14:00:00"/>
    <n v="8912.57"/>
    <x v="2"/>
    <x v="1"/>
    <s v="Retail"/>
    <x v="3"/>
    <x v="4"/>
    <s v="Tablet"/>
    <n v="0"/>
    <n v="4"/>
    <x v="101"/>
    <n v="1"/>
    <x v="0"/>
    <x v="2"/>
    <x v="0"/>
  </r>
  <r>
    <x v="1863"/>
    <s v="C1116"/>
    <d v="2024-03-18T15:00:00"/>
    <n v="27274.09"/>
    <x v="2"/>
    <x v="3"/>
    <s v="Food"/>
    <x v="2"/>
    <x v="3"/>
    <s v="Tablet"/>
    <n v="0"/>
    <n v="4"/>
    <x v="316"/>
    <n v="1"/>
    <x v="1"/>
    <x v="2"/>
    <x v="0"/>
  </r>
  <r>
    <x v="1864"/>
    <s v="C1157"/>
    <d v="2024-03-18T16:00:00"/>
    <n v="49234.25"/>
    <x v="0"/>
    <x v="1"/>
    <s v="Entertainment"/>
    <x v="3"/>
    <x v="1"/>
    <s v="Mobile"/>
    <n v="0"/>
    <n v="2"/>
    <x v="690"/>
    <n v="1"/>
    <x v="1"/>
    <x v="2"/>
    <x v="0"/>
  </r>
  <r>
    <x v="1865"/>
    <s v="C1338"/>
    <d v="2024-03-18T17:00:00"/>
    <n v="46872.53"/>
    <x v="0"/>
    <x v="2"/>
    <s v="Travel"/>
    <x v="2"/>
    <x v="1"/>
    <s v="Tablet"/>
    <n v="0"/>
    <n v="2"/>
    <x v="709"/>
    <n v="1"/>
    <x v="1"/>
    <x v="2"/>
    <x v="0"/>
  </r>
  <r>
    <x v="1866"/>
    <s v="C1111"/>
    <d v="2024-03-18T18:00:00"/>
    <n v="2206.5300000000002"/>
    <x v="0"/>
    <x v="2"/>
    <s v="Travel"/>
    <x v="3"/>
    <x v="4"/>
    <s v="Tablet"/>
    <n v="1"/>
    <n v="3"/>
    <x v="307"/>
    <n v="1"/>
    <x v="0"/>
    <x v="2"/>
    <x v="0"/>
  </r>
  <r>
    <x v="1867"/>
    <s v="C1236"/>
    <d v="2024-03-18T19:00:00"/>
    <n v="8282.5"/>
    <x v="3"/>
    <x v="3"/>
    <s v="Electronics"/>
    <x v="0"/>
    <x v="3"/>
    <s v="Desktop"/>
    <n v="0"/>
    <n v="2"/>
    <x v="873"/>
    <n v="0"/>
    <x v="2"/>
    <x v="2"/>
    <x v="1"/>
  </r>
  <r>
    <x v="1868"/>
    <s v="C1328"/>
    <d v="2024-03-18T20:00:00"/>
    <n v="6629.85"/>
    <x v="3"/>
    <x v="0"/>
    <s v="Entertainment"/>
    <x v="0"/>
    <x v="3"/>
    <s v="Desktop"/>
    <n v="0"/>
    <n v="0"/>
    <x v="762"/>
    <n v="0"/>
    <x v="2"/>
    <x v="2"/>
    <x v="1"/>
  </r>
  <r>
    <x v="1869"/>
    <s v="C1195"/>
    <d v="2024-03-18T21:00:00"/>
    <n v="36312.699999999997"/>
    <x v="2"/>
    <x v="0"/>
    <s v="Travel"/>
    <x v="1"/>
    <x v="3"/>
    <s v="Tablet"/>
    <n v="0"/>
    <n v="0"/>
    <x v="395"/>
    <n v="0"/>
    <x v="2"/>
    <x v="2"/>
    <x v="1"/>
  </r>
  <r>
    <x v="1870"/>
    <s v="C1005"/>
    <d v="2024-03-18T22:00:00"/>
    <n v="40898.379999999997"/>
    <x v="0"/>
    <x v="0"/>
    <s v="Travel"/>
    <x v="2"/>
    <x v="1"/>
    <s v="Tablet"/>
    <n v="0"/>
    <n v="0"/>
    <x v="397"/>
    <n v="1"/>
    <x v="0"/>
    <x v="2"/>
    <x v="0"/>
  </r>
  <r>
    <x v="1871"/>
    <s v="C1099"/>
    <d v="2024-03-18T23:00:00"/>
    <n v="10714.89"/>
    <x v="2"/>
    <x v="2"/>
    <s v="Electronics"/>
    <x v="1"/>
    <x v="4"/>
    <s v="Tablet"/>
    <n v="1"/>
    <n v="3"/>
    <x v="874"/>
    <n v="1"/>
    <x v="0"/>
    <x v="2"/>
    <x v="0"/>
  </r>
  <r>
    <x v="1872"/>
    <s v="C1151"/>
    <d v="2024-03-19T00:00:00"/>
    <n v="25317.34"/>
    <x v="1"/>
    <x v="0"/>
    <s v="Food"/>
    <x v="4"/>
    <x v="2"/>
    <s v="Mobile"/>
    <n v="0"/>
    <n v="3"/>
    <x v="817"/>
    <n v="1"/>
    <x v="1"/>
    <x v="2"/>
    <x v="0"/>
  </r>
  <r>
    <x v="1873"/>
    <s v="C1111"/>
    <d v="2024-03-19T01:00:00"/>
    <n v="42043.12"/>
    <x v="1"/>
    <x v="0"/>
    <s v="Travel"/>
    <x v="0"/>
    <x v="3"/>
    <s v="Desktop"/>
    <n v="1"/>
    <n v="2"/>
    <x v="304"/>
    <n v="1"/>
    <x v="1"/>
    <x v="2"/>
    <x v="0"/>
  </r>
  <r>
    <x v="1874"/>
    <s v="C1072"/>
    <d v="2024-03-19T02:00:00"/>
    <n v="36653.440000000002"/>
    <x v="0"/>
    <x v="3"/>
    <s v="Retail"/>
    <x v="2"/>
    <x v="3"/>
    <s v="Mobile"/>
    <n v="0"/>
    <n v="3"/>
    <x v="820"/>
    <n v="1"/>
    <x v="1"/>
    <x v="2"/>
    <x v="0"/>
  </r>
  <r>
    <x v="1875"/>
    <s v="C1254"/>
    <d v="2024-03-19T03:00:00"/>
    <n v="27134.75"/>
    <x v="0"/>
    <x v="0"/>
    <s v="Retail"/>
    <x v="1"/>
    <x v="2"/>
    <s v="Desktop"/>
    <n v="1"/>
    <n v="0"/>
    <x v="124"/>
    <n v="1"/>
    <x v="0"/>
    <x v="2"/>
    <x v="0"/>
  </r>
  <r>
    <x v="1876"/>
    <s v="C1261"/>
    <d v="2024-03-19T04:00:00"/>
    <n v="29537.87"/>
    <x v="1"/>
    <x v="2"/>
    <s v="Food"/>
    <x v="1"/>
    <x v="4"/>
    <s v="Desktop"/>
    <n v="0"/>
    <n v="1"/>
    <x v="246"/>
    <n v="0"/>
    <x v="2"/>
    <x v="2"/>
    <x v="1"/>
  </r>
  <r>
    <x v="1877"/>
    <s v="C1144"/>
    <d v="2024-03-19T05:00:00"/>
    <n v="25442.61"/>
    <x v="0"/>
    <x v="2"/>
    <s v="Entertainment"/>
    <x v="4"/>
    <x v="3"/>
    <s v="Desktop"/>
    <n v="0"/>
    <n v="0"/>
    <x v="9"/>
    <n v="0"/>
    <x v="2"/>
    <x v="2"/>
    <x v="1"/>
  </r>
  <r>
    <x v="1878"/>
    <s v="C1071"/>
    <d v="2024-03-19T06:00:00"/>
    <n v="14912.55"/>
    <x v="3"/>
    <x v="2"/>
    <s v="Electronics"/>
    <x v="1"/>
    <x v="4"/>
    <s v="Tablet"/>
    <n v="0"/>
    <n v="1"/>
    <x v="229"/>
    <n v="0"/>
    <x v="2"/>
    <x v="2"/>
    <x v="1"/>
  </r>
  <r>
    <x v="1879"/>
    <s v="C1002"/>
    <d v="2024-03-19T07:00:00"/>
    <n v="28272.85"/>
    <x v="3"/>
    <x v="3"/>
    <s v="Retail"/>
    <x v="3"/>
    <x v="3"/>
    <s v="Desktop"/>
    <n v="0"/>
    <n v="2"/>
    <x v="23"/>
    <n v="1"/>
    <x v="0"/>
    <x v="2"/>
    <x v="0"/>
  </r>
  <r>
    <x v="1880"/>
    <s v="C1080"/>
    <d v="2024-03-19T08:00:00"/>
    <n v="34459.82"/>
    <x v="0"/>
    <x v="3"/>
    <s v="Retail"/>
    <x v="0"/>
    <x v="0"/>
    <s v="Mobile"/>
    <n v="0"/>
    <n v="4"/>
    <x v="231"/>
    <n v="1"/>
    <x v="1"/>
    <x v="2"/>
    <x v="0"/>
  </r>
  <r>
    <x v="1881"/>
    <s v="C1225"/>
    <d v="2024-03-19T09:00:00"/>
    <n v="43672.480000000003"/>
    <x v="1"/>
    <x v="1"/>
    <s v="Food"/>
    <x v="1"/>
    <x v="3"/>
    <s v="Desktop"/>
    <n v="0"/>
    <n v="3"/>
    <x v="623"/>
    <n v="1"/>
    <x v="1"/>
    <x v="2"/>
    <x v="0"/>
  </r>
  <r>
    <x v="1882"/>
    <s v="C1381"/>
    <d v="2024-03-19T10:00:00"/>
    <n v="31832.75"/>
    <x v="2"/>
    <x v="0"/>
    <s v="Entertainment"/>
    <x v="1"/>
    <x v="0"/>
    <s v="Mobile"/>
    <n v="0"/>
    <n v="3"/>
    <x v="527"/>
    <n v="1"/>
    <x v="1"/>
    <x v="2"/>
    <x v="0"/>
  </r>
  <r>
    <x v="1883"/>
    <s v="C1343"/>
    <d v="2024-03-19T11:00:00"/>
    <n v="38068.019999999997"/>
    <x v="0"/>
    <x v="3"/>
    <s v="Entertainment"/>
    <x v="4"/>
    <x v="4"/>
    <s v="Desktop"/>
    <n v="1"/>
    <n v="0"/>
    <x v="181"/>
    <n v="1"/>
    <x v="0"/>
    <x v="2"/>
    <x v="0"/>
  </r>
  <r>
    <x v="1884"/>
    <s v="C1465"/>
    <d v="2024-03-19T12:00:00"/>
    <n v="8045.58"/>
    <x v="0"/>
    <x v="2"/>
    <s v="Food"/>
    <x v="3"/>
    <x v="3"/>
    <s v="Desktop"/>
    <n v="0"/>
    <n v="0"/>
    <x v="875"/>
    <n v="0"/>
    <x v="2"/>
    <x v="2"/>
    <x v="1"/>
  </r>
  <r>
    <x v="1885"/>
    <s v="C1391"/>
    <d v="2024-03-19T13:00:00"/>
    <n v="23104.799999999999"/>
    <x v="2"/>
    <x v="2"/>
    <s v="Retail"/>
    <x v="1"/>
    <x v="1"/>
    <s v="Tablet"/>
    <n v="0"/>
    <n v="1"/>
    <x v="542"/>
    <n v="0"/>
    <x v="2"/>
    <x v="2"/>
    <x v="1"/>
  </r>
  <r>
    <x v="1886"/>
    <s v="C1052"/>
    <d v="2024-03-19T14:00:00"/>
    <n v="516.11"/>
    <x v="0"/>
    <x v="3"/>
    <s v="Electronics"/>
    <x v="0"/>
    <x v="1"/>
    <s v="Mobile"/>
    <n v="1"/>
    <n v="3"/>
    <x v="114"/>
    <n v="1"/>
    <x v="0"/>
    <x v="2"/>
    <x v="0"/>
  </r>
  <r>
    <x v="1887"/>
    <s v="C1240"/>
    <d v="2024-03-19T15:00:00"/>
    <n v="12371.61"/>
    <x v="2"/>
    <x v="3"/>
    <s v="Retail"/>
    <x v="0"/>
    <x v="2"/>
    <s v="Desktop"/>
    <n v="1"/>
    <n v="2"/>
    <x v="28"/>
    <n v="1"/>
    <x v="0"/>
    <x v="2"/>
    <x v="0"/>
  </r>
  <r>
    <x v="1888"/>
    <s v="C1086"/>
    <d v="2024-03-19T16:00:00"/>
    <n v="36336.76"/>
    <x v="1"/>
    <x v="3"/>
    <s v="Entertainment"/>
    <x v="1"/>
    <x v="1"/>
    <s v="Desktop"/>
    <n v="0"/>
    <n v="0"/>
    <x v="395"/>
    <n v="0"/>
    <x v="2"/>
    <x v="2"/>
    <x v="1"/>
  </r>
  <r>
    <x v="1889"/>
    <s v="C1386"/>
    <d v="2024-03-19T17:00:00"/>
    <n v="49590.91"/>
    <x v="3"/>
    <x v="1"/>
    <s v="Retail"/>
    <x v="3"/>
    <x v="0"/>
    <s v="Mobile"/>
    <n v="0"/>
    <n v="3"/>
    <x v="373"/>
    <n v="1"/>
    <x v="1"/>
    <x v="2"/>
    <x v="0"/>
  </r>
  <r>
    <x v="1890"/>
    <s v="C1280"/>
    <d v="2024-03-19T18:00:00"/>
    <n v="5003.95"/>
    <x v="1"/>
    <x v="2"/>
    <s v="Electronics"/>
    <x v="0"/>
    <x v="1"/>
    <s v="Desktop"/>
    <n v="0"/>
    <n v="4"/>
    <x v="522"/>
    <n v="1"/>
    <x v="0"/>
    <x v="2"/>
    <x v="0"/>
  </r>
  <r>
    <x v="1891"/>
    <s v="C1346"/>
    <d v="2024-03-19T19:00:00"/>
    <n v="20104.64"/>
    <x v="3"/>
    <x v="1"/>
    <s v="Travel"/>
    <x v="0"/>
    <x v="1"/>
    <s v="Tablet"/>
    <n v="0"/>
    <n v="1"/>
    <x v="541"/>
    <n v="0"/>
    <x v="2"/>
    <x v="2"/>
    <x v="1"/>
  </r>
  <r>
    <x v="1892"/>
    <s v="C1140"/>
    <d v="2024-03-19T20:00:00"/>
    <n v="40013.54"/>
    <x v="2"/>
    <x v="1"/>
    <s v="Retail"/>
    <x v="3"/>
    <x v="1"/>
    <s v="Mobile"/>
    <n v="0"/>
    <n v="0"/>
    <x v="294"/>
    <n v="0"/>
    <x v="2"/>
    <x v="2"/>
    <x v="1"/>
  </r>
  <r>
    <x v="1893"/>
    <s v="C1341"/>
    <d v="2024-03-19T21:00:00"/>
    <n v="10241.58"/>
    <x v="3"/>
    <x v="0"/>
    <s v="Food"/>
    <x v="3"/>
    <x v="3"/>
    <s v="Tablet"/>
    <n v="0"/>
    <n v="0"/>
    <x v="876"/>
    <n v="0"/>
    <x v="2"/>
    <x v="2"/>
    <x v="1"/>
  </r>
  <r>
    <x v="1894"/>
    <s v="C1198"/>
    <d v="2024-03-19T22:00:00"/>
    <n v="27776.49"/>
    <x v="1"/>
    <x v="2"/>
    <s v="Travel"/>
    <x v="1"/>
    <x v="2"/>
    <s v="Mobile"/>
    <n v="0"/>
    <n v="2"/>
    <x v="587"/>
    <n v="1"/>
    <x v="0"/>
    <x v="2"/>
    <x v="0"/>
  </r>
  <r>
    <x v="1895"/>
    <s v="C1238"/>
    <d v="2024-03-19T23:00:00"/>
    <n v="36666.910000000003"/>
    <x v="3"/>
    <x v="2"/>
    <s v="Food"/>
    <x v="2"/>
    <x v="4"/>
    <s v="Mobile"/>
    <n v="0"/>
    <n v="0"/>
    <x v="552"/>
    <n v="0"/>
    <x v="2"/>
    <x v="2"/>
    <x v="1"/>
  </r>
  <r>
    <x v="1896"/>
    <s v="C1240"/>
    <d v="2024-03-20T00:00:00"/>
    <n v="30818.47"/>
    <x v="2"/>
    <x v="3"/>
    <s v="Food"/>
    <x v="4"/>
    <x v="2"/>
    <s v="Mobile"/>
    <n v="1"/>
    <n v="3"/>
    <x v="647"/>
    <n v="1"/>
    <x v="1"/>
    <x v="2"/>
    <x v="0"/>
  </r>
  <r>
    <x v="1897"/>
    <s v="C1117"/>
    <d v="2024-03-20T01:00:00"/>
    <n v="9441.84"/>
    <x v="3"/>
    <x v="3"/>
    <s v="Food"/>
    <x v="2"/>
    <x v="0"/>
    <s v="Desktop"/>
    <n v="0"/>
    <n v="3"/>
    <x v="384"/>
    <n v="1"/>
    <x v="0"/>
    <x v="2"/>
    <x v="0"/>
  </r>
  <r>
    <x v="1898"/>
    <s v="C1151"/>
    <d v="2024-03-20T02:00:00"/>
    <n v="17801.46"/>
    <x v="0"/>
    <x v="0"/>
    <s v="Retail"/>
    <x v="2"/>
    <x v="3"/>
    <s v="Mobile"/>
    <n v="0"/>
    <n v="3"/>
    <x v="298"/>
    <n v="1"/>
    <x v="0"/>
    <x v="2"/>
    <x v="0"/>
  </r>
  <r>
    <x v="1899"/>
    <s v="C1211"/>
    <d v="2024-03-20T03:00:00"/>
    <n v="39200.400000000001"/>
    <x v="1"/>
    <x v="1"/>
    <s v="Entertainment"/>
    <x v="0"/>
    <x v="3"/>
    <s v="Mobile"/>
    <n v="0"/>
    <n v="4"/>
    <x v="877"/>
    <n v="1"/>
    <x v="1"/>
    <x v="2"/>
    <x v="0"/>
  </r>
  <r>
    <x v="1900"/>
    <s v="C1046"/>
    <d v="2024-03-20T04:00:00"/>
    <n v="27733.61"/>
    <x v="0"/>
    <x v="3"/>
    <s v="Travel"/>
    <x v="3"/>
    <x v="1"/>
    <s v="Mobile"/>
    <n v="0"/>
    <n v="4"/>
    <x v="281"/>
    <n v="1"/>
    <x v="1"/>
    <x v="2"/>
    <x v="0"/>
  </r>
  <r>
    <x v="1901"/>
    <s v="C1026"/>
    <d v="2024-03-20T05:00:00"/>
    <n v="311.22000000000003"/>
    <x v="2"/>
    <x v="3"/>
    <s v="Electronics"/>
    <x v="0"/>
    <x v="1"/>
    <s v="Tablet"/>
    <n v="0"/>
    <n v="0"/>
    <x v="69"/>
    <n v="0"/>
    <x v="2"/>
    <x v="2"/>
    <x v="1"/>
  </r>
  <r>
    <x v="1902"/>
    <s v="C1195"/>
    <d v="2024-03-20T06:00:00"/>
    <n v="38061.49"/>
    <x v="3"/>
    <x v="2"/>
    <s v="Entertainment"/>
    <x v="4"/>
    <x v="0"/>
    <s v="Mobile"/>
    <n v="0"/>
    <n v="4"/>
    <x v="130"/>
    <n v="1"/>
    <x v="1"/>
    <x v="2"/>
    <x v="0"/>
  </r>
  <r>
    <x v="1903"/>
    <s v="C1074"/>
    <d v="2024-03-20T07:00:00"/>
    <n v="1813.8"/>
    <x v="0"/>
    <x v="2"/>
    <s v="Retail"/>
    <x v="1"/>
    <x v="3"/>
    <s v="Desktop"/>
    <n v="1"/>
    <n v="4"/>
    <x v="799"/>
    <n v="1"/>
    <x v="1"/>
    <x v="2"/>
    <x v="0"/>
  </r>
  <r>
    <x v="1904"/>
    <s v="C1205"/>
    <d v="2024-03-20T08:00:00"/>
    <n v="37299.4"/>
    <x v="0"/>
    <x v="3"/>
    <s v="Food"/>
    <x v="4"/>
    <x v="4"/>
    <s v="Mobile"/>
    <n v="0"/>
    <n v="2"/>
    <x v="719"/>
    <n v="1"/>
    <x v="0"/>
    <x v="2"/>
    <x v="0"/>
  </r>
  <r>
    <x v="1905"/>
    <s v="C1298"/>
    <d v="2024-03-20T09:00:00"/>
    <n v="10163.9"/>
    <x v="3"/>
    <x v="2"/>
    <s v="Electronics"/>
    <x v="0"/>
    <x v="2"/>
    <s v="Mobile"/>
    <n v="0"/>
    <n v="4"/>
    <x v="785"/>
    <n v="1"/>
    <x v="1"/>
    <x v="2"/>
    <x v="0"/>
  </r>
  <r>
    <x v="1906"/>
    <s v="C1276"/>
    <d v="2024-03-20T10:00:00"/>
    <n v="47905.77"/>
    <x v="3"/>
    <x v="0"/>
    <s v="Travel"/>
    <x v="0"/>
    <x v="3"/>
    <s v="Tablet"/>
    <n v="0"/>
    <n v="1"/>
    <x v="680"/>
    <n v="1"/>
    <x v="0"/>
    <x v="2"/>
    <x v="0"/>
  </r>
  <r>
    <x v="1907"/>
    <s v="C1024"/>
    <d v="2024-03-20T11:00:00"/>
    <n v="18428.64"/>
    <x v="1"/>
    <x v="3"/>
    <s v="Entertainment"/>
    <x v="0"/>
    <x v="4"/>
    <s v="Desktop"/>
    <n v="0"/>
    <n v="1"/>
    <x v="198"/>
    <n v="0"/>
    <x v="2"/>
    <x v="2"/>
    <x v="1"/>
  </r>
  <r>
    <x v="1908"/>
    <s v="C1483"/>
    <d v="2024-03-20T12:00:00"/>
    <n v="16380.23"/>
    <x v="0"/>
    <x v="2"/>
    <s v="Entertainment"/>
    <x v="0"/>
    <x v="4"/>
    <s v="Desktop"/>
    <n v="0"/>
    <n v="1"/>
    <x v="467"/>
    <n v="0"/>
    <x v="2"/>
    <x v="2"/>
    <x v="1"/>
  </r>
  <r>
    <x v="1909"/>
    <s v="C1364"/>
    <d v="2024-03-20T13:00:00"/>
    <n v="7486.96"/>
    <x v="0"/>
    <x v="0"/>
    <s v="Electronics"/>
    <x v="2"/>
    <x v="2"/>
    <s v="Desktop"/>
    <n v="0"/>
    <n v="0"/>
    <x v="878"/>
    <n v="0"/>
    <x v="2"/>
    <x v="2"/>
    <x v="1"/>
  </r>
  <r>
    <x v="1910"/>
    <s v="C1264"/>
    <d v="2024-03-20T14:00:00"/>
    <n v="15314.93"/>
    <x v="2"/>
    <x v="2"/>
    <s v="Retail"/>
    <x v="1"/>
    <x v="4"/>
    <s v="Mobile"/>
    <n v="0"/>
    <n v="3"/>
    <x v="645"/>
    <n v="1"/>
    <x v="0"/>
    <x v="2"/>
    <x v="0"/>
  </r>
  <r>
    <x v="1911"/>
    <s v="C1391"/>
    <d v="2024-03-20T15:00:00"/>
    <n v="43838.71"/>
    <x v="1"/>
    <x v="2"/>
    <s v="Travel"/>
    <x v="2"/>
    <x v="0"/>
    <s v="Mobile"/>
    <n v="0"/>
    <n v="2"/>
    <x v="305"/>
    <n v="1"/>
    <x v="1"/>
    <x v="2"/>
    <x v="0"/>
  </r>
  <r>
    <x v="1912"/>
    <s v="C1158"/>
    <d v="2024-03-20T16:00:00"/>
    <n v="49816.9"/>
    <x v="2"/>
    <x v="2"/>
    <s v="Electronics"/>
    <x v="0"/>
    <x v="4"/>
    <s v="Desktop"/>
    <n v="0"/>
    <n v="0"/>
    <x v="334"/>
    <n v="1"/>
    <x v="0"/>
    <x v="2"/>
    <x v="0"/>
  </r>
  <r>
    <x v="1913"/>
    <s v="C1160"/>
    <d v="2024-03-20T17:00:00"/>
    <n v="18447.060000000001"/>
    <x v="0"/>
    <x v="3"/>
    <s v="Food"/>
    <x v="3"/>
    <x v="0"/>
    <s v="Desktop"/>
    <n v="0"/>
    <n v="3"/>
    <x v="443"/>
    <n v="1"/>
    <x v="0"/>
    <x v="2"/>
    <x v="0"/>
  </r>
  <r>
    <x v="1914"/>
    <s v="C1139"/>
    <d v="2024-03-20T18:00:00"/>
    <n v="22458.1"/>
    <x v="2"/>
    <x v="1"/>
    <s v="Travel"/>
    <x v="2"/>
    <x v="4"/>
    <s v="Tablet"/>
    <n v="0"/>
    <n v="2"/>
    <x v="243"/>
    <n v="1"/>
    <x v="0"/>
    <x v="2"/>
    <x v="0"/>
  </r>
  <r>
    <x v="1915"/>
    <s v="C1002"/>
    <d v="2024-03-20T19:00:00"/>
    <n v="36117.440000000002"/>
    <x v="0"/>
    <x v="2"/>
    <s v="Entertainment"/>
    <x v="0"/>
    <x v="1"/>
    <s v="Desktop"/>
    <n v="0"/>
    <n v="2"/>
    <x v="537"/>
    <n v="1"/>
    <x v="0"/>
    <x v="2"/>
    <x v="0"/>
  </r>
  <r>
    <x v="1916"/>
    <s v="C1194"/>
    <d v="2024-03-20T20:00:00"/>
    <n v="44315.48"/>
    <x v="0"/>
    <x v="0"/>
    <s v="Electronics"/>
    <x v="0"/>
    <x v="4"/>
    <s v="Mobile"/>
    <n v="0"/>
    <n v="2"/>
    <x v="134"/>
    <n v="1"/>
    <x v="1"/>
    <x v="2"/>
    <x v="0"/>
  </r>
  <r>
    <x v="1917"/>
    <s v="C1481"/>
    <d v="2024-03-20T21:00:00"/>
    <n v="29672.560000000001"/>
    <x v="2"/>
    <x v="3"/>
    <s v="Entertainment"/>
    <x v="1"/>
    <x v="0"/>
    <s v="Mobile"/>
    <n v="0"/>
    <n v="1"/>
    <x v="602"/>
    <n v="1"/>
    <x v="0"/>
    <x v="2"/>
    <x v="0"/>
  </r>
  <r>
    <x v="1918"/>
    <s v="C1248"/>
    <d v="2024-03-20T22:00:00"/>
    <n v="19606.71"/>
    <x v="2"/>
    <x v="3"/>
    <s v="Entertainment"/>
    <x v="4"/>
    <x v="4"/>
    <s v="Mobile"/>
    <n v="1"/>
    <n v="1"/>
    <x v="764"/>
    <n v="1"/>
    <x v="0"/>
    <x v="2"/>
    <x v="0"/>
  </r>
  <r>
    <x v="1919"/>
    <s v="C1348"/>
    <d v="2024-03-20T23:00:00"/>
    <n v="20660.46"/>
    <x v="3"/>
    <x v="0"/>
    <s v="Entertainment"/>
    <x v="2"/>
    <x v="4"/>
    <s v="Tablet"/>
    <n v="0"/>
    <n v="1"/>
    <x v="166"/>
    <n v="0"/>
    <x v="2"/>
    <x v="2"/>
    <x v="1"/>
  </r>
  <r>
    <x v="1920"/>
    <s v="C1393"/>
    <d v="2024-03-21T00:00:00"/>
    <n v="34796.129999999997"/>
    <x v="3"/>
    <x v="2"/>
    <s v="Retail"/>
    <x v="2"/>
    <x v="4"/>
    <s v="Desktop"/>
    <n v="0"/>
    <n v="2"/>
    <x v="112"/>
    <n v="1"/>
    <x v="0"/>
    <x v="2"/>
    <x v="0"/>
  </r>
  <r>
    <x v="1921"/>
    <s v="C1350"/>
    <d v="2024-03-21T01:00:00"/>
    <n v="210.75"/>
    <x v="3"/>
    <x v="1"/>
    <s v="Entertainment"/>
    <x v="2"/>
    <x v="0"/>
    <s v="Mobile"/>
    <n v="0"/>
    <n v="2"/>
    <x v="16"/>
    <n v="0"/>
    <x v="2"/>
    <x v="2"/>
    <x v="1"/>
  </r>
  <r>
    <x v="1922"/>
    <s v="C1217"/>
    <d v="2024-03-21T02:00:00"/>
    <n v="30998.49"/>
    <x v="0"/>
    <x v="2"/>
    <s v="Food"/>
    <x v="0"/>
    <x v="4"/>
    <s v="Tablet"/>
    <n v="0"/>
    <n v="1"/>
    <x v="468"/>
    <n v="1"/>
    <x v="0"/>
    <x v="2"/>
    <x v="0"/>
  </r>
  <r>
    <x v="1923"/>
    <s v="C1037"/>
    <d v="2024-03-21T03:00:00"/>
    <n v="17806.88"/>
    <x v="2"/>
    <x v="0"/>
    <s v="Food"/>
    <x v="1"/>
    <x v="2"/>
    <s v="Tablet"/>
    <n v="0"/>
    <n v="2"/>
    <x v="863"/>
    <n v="1"/>
    <x v="0"/>
    <x v="2"/>
    <x v="0"/>
  </r>
  <r>
    <x v="1924"/>
    <s v="C1337"/>
    <d v="2024-03-21T04:00:00"/>
    <n v="39720.160000000003"/>
    <x v="1"/>
    <x v="3"/>
    <s v="Travel"/>
    <x v="0"/>
    <x v="2"/>
    <s v="Mobile"/>
    <n v="0"/>
    <n v="1"/>
    <x v="202"/>
    <n v="1"/>
    <x v="0"/>
    <x v="2"/>
    <x v="0"/>
  </r>
  <r>
    <x v="1925"/>
    <s v="C1053"/>
    <d v="2024-03-21T05:00:00"/>
    <n v="4694.88"/>
    <x v="0"/>
    <x v="1"/>
    <s v="Entertainment"/>
    <x v="0"/>
    <x v="0"/>
    <s v="Tablet"/>
    <n v="0"/>
    <n v="1"/>
    <x v="879"/>
    <n v="0"/>
    <x v="2"/>
    <x v="2"/>
    <x v="1"/>
  </r>
  <r>
    <x v="1926"/>
    <s v="C1137"/>
    <d v="2024-03-21T06:00:00"/>
    <n v="29430.7"/>
    <x v="1"/>
    <x v="3"/>
    <s v="Entertainment"/>
    <x v="3"/>
    <x v="1"/>
    <s v="Tablet"/>
    <n v="0"/>
    <n v="1"/>
    <x v="109"/>
    <n v="1"/>
    <x v="0"/>
    <x v="2"/>
    <x v="0"/>
  </r>
  <r>
    <x v="1927"/>
    <s v="C1003"/>
    <d v="2024-03-21T07:00:00"/>
    <n v="24074.6"/>
    <x v="2"/>
    <x v="0"/>
    <s v="Electronics"/>
    <x v="1"/>
    <x v="2"/>
    <s v="Mobile"/>
    <n v="0"/>
    <n v="3"/>
    <x v="406"/>
    <n v="1"/>
    <x v="0"/>
    <x v="2"/>
    <x v="0"/>
  </r>
  <r>
    <x v="1928"/>
    <s v="C1226"/>
    <d v="2024-03-21T08:00:00"/>
    <n v="32134.16"/>
    <x v="0"/>
    <x v="2"/>
    <s v="Retail"/>
    <x v="2"/>
    <x v="3"/>
    <s v="Tablet"/>
    <n v="0"/>
    <n v="2"/>
    <x v="235"/>
    <n v="1"/>
    <x v="0"/>
    <x v="2"/>
    <x v="0"/>
  </r>
  <r>
    <x v="1929"/>
    <s v="C1097"/>
    <d v="2024-03-21T09:00:00"/>
    <n v="3289.44"/>
    <x v="1"/>
    <x v="1"/>
    <s v="Travel"/>
    <x v="4"/>
    <x v="2"/>
    <s v="Mobile"/>
    <n v="0"/>
    <n v="0"/>
    <x v="581"/>
    <n v="0"/>
    <x v="2"/>
    <x v="2"/>
    <x v="1"/>
  </r>
  <r>
    <x v="1930"/>
    <s v="C1108"/>
    <d v="2024-03-21T10:00:00"/>
    <n v="29020.19"/>
    <x v="1"/>
    <x v="3"/>
    <s v="Entertainment"/>
    <x v="2"/>
    <x v="3"/>
    <s v="Mobile"/>
    <n v="0"/>
    <n v="1"/>
    <x v="278"/>
    <n v="1"/>
    <x v="0"/>
    <x v="2"/>
    <x v="0"/>
  </r>
  <r>
    <x v="1931"/>
    <s v="C1449"/>
    <d v="2024-03-21T11:00:00"/>
    <n v="28096.16"/>
    <x v="3"/>
    <x v="3"/>
    <s v="Electronics"/>
    <x v="0"/>
    <x v="0"/>
    <s v="Tablet"/>
    <n v="1"/>
    <n v="0"/>
    <x v="542"/>
    <n v="0"/>
    <x v="2"/>
    <x v="2"/>
    <x v="1"/>
  </r>
  <r>
    <x v="1932"/>
    <s v="C1242"/>
    <d v="2024-03-21T12:00:00"/>
    <n v="28054.97"/>
    <x v="3"/>
    <x v="3"/>
    <s v="Retail"/>
    <x v="1"/>
    <x v="1"/>
    <s v="Mobile"/>
    <n v="1"/>
    <n v="3"/>
    <x v="425"/>
    <n v="1"/>
    <x v="1"/>
    <x v="2"/>
    <x v="0"/>
  </r>
  <r>
    <x v="1933"/>
    <s v="C1018"/>
    <d v="2024-03-21T13:00:00"/>
    <n v="30194.21"/>
    <x v="3"/>
    <x v="2"/>
    <s v="Travel"/>
    <x v="1"/>
    <x v="3"/>
    <s v="Mobile"/>
    <n v="0"/>
    <n v="2"/>
    <x v="841"/>
    <n v="1"/>
    <x v="0"/>
    <x v="2"/>
    <x v="0"/>
  </r>
  <r>
    <x v="1934"/>
    <s v="C1173"/>
    <d v="2024-03-21T14:00:00"/>
    <n v="33839.57"/>
    <x v="0"/>
    <x v="1"/>
    <s v="Travel"/>
    <x v="1"/>
    <x v="3"/>
    <s v="Desktop"/>
    <n v="0"/>
    <n v="1"/>
    <x v="66"/>
    <n v="1"/>
    <x v="0"/>
    <x v="2"/>
    <x v="0"/>
  </r>
  <r>
    <x v="1935"/>
    <s v="C1459"/>
    <d v="2024-03-21T15:00:00"/>
    <n v="40259.199999999997"/>
    <x v="2"/>
    <x v="2"/>
    <s v="Entertainment"/>
    <x v="3"/>
    <x v="2"/>
    <s v="Mobile"/>
    <n v="0"/>
    <n v="1"/>
    <x v="545"/>
    <n v="1"/>
    <x v="0"/>
    <x v="2"/>
    <x v="0"/>
  </r>
  <r>
    <x v="1936"/>
    <s v="C1341"/>
    <d v="2024-03-21T16:00:00"/>
    <n v="13527.54"/>
    <x v="2"/>
    <x v="2"/>
    <s v="Travel"/>
    <x v="2"/>
    <x v="3"/>
    <s v="Desktop"/>
    <n v="1"/>
    <n v="1"/>
    <x v="488"/>
    <n v="1"/>
    <x v="0"/>
    <x v="2"/>
    <x v="0"/>
  </r>
  <r>
    <x v="1937"/>
    <s v="C1256"/>
    <d v="2024-03-21T17:00:00"/>
    <n v="41261.22"/>
    <x v="3"/>
    <x v="2"/>
    <s v="Electronics"/>
    <x v="3"/>
    <x v="0"/>
    <s v="Desktop"/>
    <n v="0"/>
    <n v="0"/>
    <x v="567"/>
    <n v="1"/>
    <x v="0"/>
    <x v="2"/>
    <x v="0"/>
  </r>
  <r>
    <x v="1938"/>
    <s v="C1432"/>
    <d v="2024-03-21T18:00:00"/>
    <n v="24937.87"/>
    <x v="3"/>
    <x v="0"/>
    <s v="Travel"/>
    <x v="4"/>
    <x v="0"/>
    <s v="Desktop"/>
    <n v="1"/>
    <n v="3"/>
    <x v="660"/>
    <n v="1"/>
    <x v="1"/>
    <x v="2"/>
    <x v="0"/>
  </r>
  <r>
    <x v="1939"/>
    <s v="C1091"/>
    <d v="2024-03-21T19:00:00"/>
    <n v="3899.06"/>
    <x v="3"/>
    <x v="0"/>
    <s v="Food"/>
    <x v="0"/>
    <x v="0"/>
    <s v="Desktop"/>
    <n v="0"/>
    <n v="2"/>
    <x v="569"/>
    <n v="0"/>
    <x v="2"/>
    <x v="2"/>
    <x v="1"/>
  </r>
  <r>
    <x v="1940"/>
    <s v="C1316"/>
    <d v="2024-03-21T20:00:00"/>
    <n v="2974.62"/>
    <x v="1"/>
    <x v="0"/>
    <s v="Electronics"/>
    <x v="3"/>
    <x v="2"/>
    <s v="Tablet"/>
    <n v="0"/>
    <n v="3"/>
    <x v="75"/>
    <n v="1"/>
    <x v="0"/>
    <x v="2"/>
    <x v="0"/>
  </r>
  <r>
    <x v="1941"/>
    <s v="C1334"/>
    <d v="2024-03-21T21:00:00"/>
    <n v="16745.2"/>
    <x v="3"/>
    <x v="1"/>
    <s v="Retail"/>
    <x v="3"/>
    <x v="1"/>
    <s v="Tablet"/>
    <n v="1"/>
    <n v="1"/>
    <x v="293"/>
    <n v="1"/>
    <x v="0"/>
    <x v="2"/>
    <x v="0"/>
  </r>
  <r>
    <x v="1942"/>
    <s v="C1226"/>
    <d v="2024-03-21T22:00:00"/>
    <n v="39255.599999999999"/>
    <x v="1"/>
    <x v="2"/>
    <s v="Retail"/>
    <x v="0"/>
    <x v="2"/>
    <s v="Mobile"/>
    <n v="0"/>
    <n v="3"/>
    <x v="180"/>
    <n v="1"/>
    <x v="1"/>
    <x v="2"/>
    <x v="0"/>
  </r>
  <r>
    <x v="1943"/>
    <s v="C1117"/>
    <d v="2024-03-21T23:00:00"/>
    <n v="35398.660000000003"/>
    <x v="2"/>
    <x v="2"/>
    <s v="Entertainment"/>
    <x v="1"/>
    <x v="0"/>
    <s v="Mobile"/>
    <n v="0"/>
    <n v="0"/>
    <x v="880"/>
    <n v="0"/>
    <x v="2"/>
    <x v="2"/>
    <x v="1"/>
  </r>
  <r>
    <x v="1944"/>
    <s v="C1168"/>
    <d v="2024-03-22T00:00:00"/>
    <n v="39441.32"/>
    <x v="0"/>
    <x v="0"/>
    <s v="Entertainment"/>
    <x v="0"/>
    <x v="2"/>
    <s v="Mobile"/>
    <n v="0"/>
    <n v="4"/>
    <x v="881"/>
    <n v="1"/>
    <x v="1"/>
    <x v="2"/>
    <x v="0"/>
  </r>
  <r>
    <x v="1945"/>
    <s v="C1139"/>
    <d v="2024-03-22T01:00:00"/>
    <n v="25887.59"/>
    <x v="0"/>
    <x v="2"/>
    <s v="Food"/>
    <x v="2"/>
    <x v="0"/>
    <s v="Tablet"/>
    <n v="0"/>
    <n v="4"/>
    <x v="844"/>
    <n v="1"/>
    <x v="1"/>
    <x v="2"/>
    <x v="0"/>
  </r>
  <r>
    <x v="1946"/>
    <s v="C1203"/>
    <d v="2024-03-22T02:00:00"/>
    <n v="22037.94"/>
    <x v="0"/>
    <x v="2"/>
    <s v="Retail"/>
    <x v="0"/>
    <x v="4"/>
    <s v="Desktop"/>
    <n v="0"/>
    <n v="2"/>
    <x v="267"/>
    <n v="1"/>
    <x v="0"/>
    <x v="2"/>
    <x v="0"/>
  </r>
  <r>
    <x v="1947"/>
    <s v="C1172"/>
    <d v="2024-03-22T03:00:00"/>
    <n v="7415.25"/>
    <x v="0"/>
    <x v="3"/>
    <s v="Retail"/>
    <x v="1"/>
    <x v="4"/>
    <s v="Tablet"/>
    <n v="0"/>
    <n v="2"/>
    <x v="417"/>
    <n v="0"/>
    <x v="2"/>
    <x v="2"/>
    <x v="1"/>
  </r>
  <r>
    <x v="1948"/>
    <s v="C1168"/>
    <d v="2024-03-22T04:00:00"/>
    <n v="16443.23"/>
    <x v="1"/>
    <x v="2"/>
    <s v="Retail"/>
    <x v="0"/>
    <x v="3"/>
    <s v="Tablet"/>
    <n v="0"/>
    <n v="3"/>
    <x v="743"/>
    <n v="1"/>
    <x v="0"/>
    <x v="2"/>
    <x v="0"/>
  </r>
  <r>
    <x v="1949"/>
    <s v="C1091"/>
    <d v="2024-03-22T05:00:00"/>
    <n v="21729.27"/>
    <x v="1"/>
    <x v="3"/>
    <s v="Retail"/>
    <x v="3"/>
    <x v="1"/>
    <s v="Mobile"/>
    <n v="0"/>
    <n v="2"/>
    <x v="293"/>
    <n v="1"/>
    <x v="0"/>
    <x v="2"/>
    <x v="0"/>
  </r>
  <r>
    <x v="1950"/>
    <s v="C1296"/>
    <d v="2024-03-22T06:00:00"/>
    <n v="4475.59"/>
    <x v="3"/>
    <x v="2"/>
    <s v="Travel"/>
    <x v="4"/>
    <x v="4"/>
    <s v="Mobile"/>
    <n v="0"/>
    <n v="0"/>
    <x v="882"/>
    <n v="0"/>
    <x v="2"/>
    <x v="2"/>
    <x v="1"/>
  </r>
  <r>
    <x v="1951"/>
    <s v="C1278"/>
    <d v="2024-03-22T07:00:00"/>
    <n v="11069.57"/>
    <x v="1"/>
    <x v="1"/>
    <s v="Electronics"/>
    <x v="3"/>
    <x v="0"/>
    <s v="Mobile"/>
    <n v="1"/>
    <n v="1"/>
    <x v="435"/>
    <n v="1"/>
    <x v="0"/>
    <x v="2"/>
    <x v="0"/>
  </r>
  <r>
    <x v="1952"/>
    <s v="C1094"/>
    <d v="2024-03-22T08:00:00"/>
    <n v="29931.35"/>
    <x v="3"/>
    <x v="0"/>
    <s v="Electronics"/>
    <x v="4"/>
    <x v="2"/>
    <s v="Desktop"/>
    <n v="0"/>
    <n v="1"/>
    <x v="132"/>
    <n v="1"/>
    <x v="0"/>
    <x v="2"/>
    <x v="0"/>
  </r>
  <r>
    <x v="1953"/>
    <s v="C1205"/>
    <d v="2024-03-22T09:00:00"/>
    <n v="36796.370000000003"/>
    <x v="3"/>
    <x v="3"/>
    <s v="Food"/>
    <x v="0"/>
    <x v="2"/>
    <s v="Desktop"/>
    <n v="0"/>
    <n v="3"/>
    <x v="799"/>
    <n v="1"/>
    <x v="1"/>
    <x v="2"/>
    <x v="0"/>
  </r>
  <r>
    <x v="1954"/>
    <s v="C1178"/>
    <d v="2024-03-22T10:00:00"/>
    <n v="49917.46"/>
    <x v="0"/>
    <x v="0"/>
    <s v="Travel"/>
    <x v="2"/>
    <x v="3"/>
    <s v="Tablet"/>
    <n v="0"/>
    <n v="1"/>
    <x v="236"/>
    <n v="1"/>
    <x v="0"/>
    <x v="2"/>
    <x v="0"/>
  </r>
  <r>
    <x v="1955"/>
    <s v="C1257"/>
    <d v="2024-03-22T11:00:00"/>
    <n v="46659.01"/>
    <x v="1"/>
    <x v="3"/>
    <s v="Retail"/>
    <x v="0"/>
    <x v="2"/>
    <s v="Desktop"/>
    <n v="0"/>
    <n v="3"/>
    <x v="439"/>
    <n v="1"/>
    <x v="1"/>
    <x v="2"/>
    <x v="0"/>
  </r>
  <r>
    <x v="1956"/>
    <s v="C1337"/>
    <d v="2024-03-22T12:00:00"/>
    <n v="32146.13"/>
    <x v="1"/>
    <x v="3"/>
    <s v="Retail"/>
    <x v="1"/>
    <x v="4"/>
    <s v="Mobile"/>
    <n v="1"/>
    <n v="2"/>
    <x v="749"/>
    <n v="1"/>
    <x v="1"/>
    <x v="2"/>
    <x v="0"/>
  </r>
  <r>
    <x v="1957"/>
    <s v="C1456"/>
    <d v="2024-03-22T13:00:00"/>
    <n v="21091.34"/>
    <x v="3"/>
    <x v="3"/>
    <s v="Entertainment"/>
    <x v="0"/>
    <x v="2"/>
    <s v="Desktop"/>
    <n v="0"/>
    <n v="2"/>
    <x v="814"/>
    <n v="1"/>
    <x v="0"/>
    <x v="2"/>
    <x v="0"/>
  </r>
  <r>
    <x v="1958"/>
    <s v="C1049"/>
    <d v="2024-03-22T14:00:00"/>
    <n v="31827.06"/>
    <x v="3"/>
    <x v="1"/>
    <s v="Entertainment"/>
    <x v="4"/>
    <x v="4"/>
    <s v="Desktop"/>
    <n v="0"/>
    <n v="0"/>
    <x v="295"/>
    <n v="0"/>
    <x v="2"/>
    <x v="2"/>
    <x v="1"/>
  </r>
  <r>
    <x v="1959"/>
    <s v="C1123"/>
    <d v="2024-03-22T15:00:00"/>
    <n v="39293.300000000003"/>
    <x v="2"/>
    <x v="2"/>
    <s v="Food"/>
    <x v="3"/>
    <x v="4"/>
    <s v="Desktop"/>
    <n v="0"/>
    <n v="1"/>
    <x v="458"/>
    <n v="1"/>
    <x v="0"/>
    <x v="2"/>
    <x v="0"/>
  </r>
  <r>
    <x v="1960"/>
    <s v="C1180"/>
    <d v="2024-03-22T16:00:00"/>
    <n v="5960.89"/>
    <x v="2"/>
    <x v="3"/>
    <s v="Retail"/>
    <x v="2"/>
    <x v="1"/>
    <s v="Desktop"/>
    <n v="0"/>
    <n v="0"/>
    <x v="883"/>
    <n v="0"/>
    <x v="2"/>
    <x v="2"/>
    <x v="1"/>
  </r>
  <r>
    <x v="1961"/>
    <s v="C1293"/>
    <d v="2024-03-22T17:00:00"/>
    <n v="20524.75"/>
    <x v="3"/>
    <x v="1"/>
    <s v="Food"/>
    <x v="0"/>
    <x v="3"/>
    <s v="Mobile"/>
    <n v="1"/>
    <n v="4"/>
    <x v="238"/>
    <n v="1"/>
    <x v="1"/>
    <x v="2"/>
    <x v="0"/>
  </r>
  <r>
    <x v="1962"/>
    <s v="C1227"/>
    <d v="2024-03-22T18:00:00"/>
    <n v="41998.12"/>
    <x v="2"/>
    <x v="3"/>
    <s v="Travel"/>
    <x v="0"/>
    <x v="0"/>
    <s v="Mobile"/>
    <n v="1"/>
    <n v="0"/>
    <x v="267"/>
    <n v="1"/>
    <x v="0"/>
    <x v="2"/>
    <x v="0"/>
  </r>
  <r>
    <x v="1963"/>
    <s v="C1390"/>
    <d v="2024-03-22T19:00:00"/>
    <n v="19222.46"/>
    <x v="2"/>
    <x v="2"/>
    <s v="Electronics"/>
    <x v="3"/>
    <x v="4"/>
    <s v="Tablet"/>
    <n v="0"/>
    <n v="3"/>
    <x v="36"/>
    <n v="1"/>
    <x v="0"/>
    <x v="2"/>
    <x v="0"/>
  </r>
  <r>
    <x v="1964"/>
    <s v="C1122"/>
    <d v="2024-03-22T20:00:00"/>
    <n v="28615.02"/>
    <x v="3"/>
    <x v="3"/>
    <s v="Retail"/>
    <x v="2"/>
    <x v="3"/>
    <s v="Tablet"/>
    <n v="1"/>
    <n v="3"/>
    <x v="884"/>
    <n v="1"/>
    <x v="1"/>
    <x v="2"/>
    <x v="0"/>
  </r>
  <r>
    <x v="1965"/>
    <s v="C1207"/>
    <d v="2024-03-22T21:00:00"/>
    <n v="29409.08"/>
    <x v="3"/>
    <x v="1"/>
    <s v="Travel"/>
    <x v="0"/>
    <x v="0"/>
    <s v="Tablet"/>
    <n v="0"/>
    <n v="0"/>
    <x v="744"/>
    <n v="0"/>
    <x v="2"/>
    <x v="2"/>
    <x v="1"/>
  </r>
  <r>
    <x v="1966"/>
    <s v="C1236"/>
    <d v="2024-03-22T22:00:00"/>
    <n v="9264.59"/>
    <x v="1"/>
    <x v="2"/>
    <s v="Retail"/>
    <x v="0"/>
    <x v="2"/>
    <s v="Desktop"/>
    <n v="0"/>
    <n v="2"/>
    <x v="25"/>
    <n v="0"/>
    <x v="2"/>
    <x v="2"/>
    <x v="1"/>
  </r>
  <r>
    <x v="1967"/>
    <s v="C1320"/>
    <d v="2024-03-22T23:00:00"/>
    <n v="18143.66"/>
    <x v="3"/>
    <x v="1"/>
    <s v="Entertainment"/>
    <x v="4"/>
    <x v="3"/>
    <s v="Desktop"/>
    <n v="0"/>
    <n v="4"/>
    <x v="368"/>
    <n v="1"/>
    <x v="1"/>
    <x v="2"/>
    <x v="0"/>
  </r>
  <r>
    <x v="1968"/>
    <s v="C1362"/>
    <d v="2024-03-23T00:00:00"/>
    <n v="16758.84"/>
    <x v="3"/>
    <x v="2"/>
    <s v="Food"/>
    <x v="4"/>
    <x v="3"/>
    <s v="Mobile"/>
    <n v="0"/>
    <n v="0"/>
    <x v="770"/>
    <n v="0"/>
    <x v="2"/>
    <x v="2"/>
    <x v="1"/>
  </r>
  <r>
    <x v="1969"/>
    <s v="C1291"/>
    <d v="2024-03-23T01:00:00"/>
    <n v="1358.53"/>
    <x v="0"/>
    <x v="2"/>
    <s v="Entertainment"/>
    <x v="1"/>
    <x v="3"/>
    <s v="Tablet"/>
    <n v="0"/>
    <n v="2"/>
    <x v="467"/>
    <n v="0"/>
    <x v="2"/>
    <x v="2"/>
    <x v="1"/>
  </r>
  <r>
    <x v="1970"/>
    <s v="C1085"/>
    <d v="2024-03-23T02:00:00"/>
    <n v="1258.3800000000001"/>
    <x v="1"/>
    <x v="0"/>
    <s v="Electronics"/>
    <x v="3"/>
    <x v="2"/>
    <s v="Mobile"/>
    <n v="1"/>
    <n v="0"/>
    <x v="614"/>
    <n v="0"/>
    <x v="2"/>
    <x v="2"/>
    <x v="1"/>
  </r>
  <r>
    <x v="1971"/>
    <s v="C1436"/>
    <d v="2024-03-23T03:00:00"/>
    <n v="41593.269999999997"/>
    <x v="1"/>
    <x v="0"/>
    <s v="Entertainment"/>
    <x v="2"/>
    <x v="2"/>
    <s v="Tablet"/>
    <n v="0"/>
    <n v="1"/>
    <x v="94"/>
    <n v="1"/>
    <x v="0"/>
    <x v="2"/>
    <x v="0"/>
  </r>
  <r>
    <x v="1972"/>
    <s v="C1409"/>
    <d v="2024-03-23T04:00:00"/>
    <n v="13689.89"/>
    <x v="1"/>
    <x v="0"/>
    <s v="Retail"/>
    <x v="0"/>
    <x v="3"/>
    <s v="Tablet"/>
    <n v="0"/>
    <n v="3"/>
    <x v="292"/>
    <n v="1"/>
    <x v="0"/>
    <x v="2"/>
    <x v="0"/>
  </r>
  <r>
    <x v="1973"/>
    <s v="C1267"/>
    <d v="2024-03-23T05:00:00"/>
    <n v="25928.03"/>
    <x v="0"/>
    <x v="2"/>
    <s v="Entertainment"/>
    <x v="0"/>
    <x v="1"/>
    <s v="Tablet"/>
    <n v="0"/>
    <n v="1"/>
    <x v="397"/>
    <n v="1"/>
    <x v="0"/>
    <x v="2"/>
    <x v="0"/>
  </r>
  <r>
    <x v="1974"/>
    <s v="C1170"/>
    <d v="2024-03-23T06:00:00"/>
    <n v="14971.34"/>
    <x v="3"/>
    <x v="3"/>
    <s v="Retail"/>
    <x v="1"/>
    <x v="4"/>
    <s v="Desktop"/>
    <n v="0"/>
    <n v="1"/>
    <x v="885"/>
    <n v="0"/>
    <x v="2"/>
    <x v="2"/>
    <x v="1"/>
  </r>
  <r>
    <x v="1975"/>
    <s v="C1475"/>
    <d v="2024-03-23T07:00:00"/>
    <n v="47036.93"/>
    <x v="1"/>
    <x v="1"/>
    <s v="Electronics"/>
    <x v="0"/>
    <x v="2"/>
    <s v="Tablet"/>
    <n v="0"/>
    <n v="4"/>
    <x v="50"/>
    <n v="1"/>
    <x v="1"/>
    <x v="2"/>
    <x v="0"/>
  </r>
  <r>
    <x v="1976"/>
    <s v="C1272"/>
    <d v="2024-03-23T08:00:00"/>
    <n v="13001.87"/>
    <x v="1"/>
    <x v="1"/>
    <s v="Entertainment"/>
    <x v="3"/>
    <x v="1"/>
    <s v="Tablet"/>
    <n v="0"/>
    <n v="2"/>
    <x v="886"/>
    <n v="1"/>
    <x v="0"/>
    <x v="2"/>
    <x v="0"/>
  </r>
  <r>
    <x v="1977"/>
    <s v="C1280"/>
    <d v="2024-03-23T09:00:00"/>
    <n v="21511.360000000001"/>
    <x v="2"/>
    <x v="1"/>
    <s v="Food"/>
    <x v="1"/>
    <x v="2"/>
    <s v="Desktop"/>
    <n v="0"/>
    <n v="3"/>
    <x v="82"/>
    <n v="1"/>
    <x v="0"/>
    <x v="2"/>
    <x v="0"/>
  </r>
  <r>
    <x v="1978"/>
    <s v="C1448"/>
    <d v="2024-03-23T10:00:00"/>
    <n v="43642.879999999997"/>
    <x v="1"/>
    <x v="0"/>
    <s v="Food"/>
    <x v="3"/>
    <x v="3"/>
    <s v="Tablet"/>
    <n v="0"/>
    <n v="1"/>
    <x v="300"/>
    <n v="1"/>
    <x v="0"/>
    <x v="2"/>
    <x v="0"/>
  </r>
  <r>
    <x v="1979"/>
    <s v="C1478"/>
    <d v="2024-03-23T11:00:00"/>
    <n v="42104.58"/>
    <x v="3"/>
    <x v="2"/>
    <s v="Food"/>
    <x v="1"/>
    <x v="1"/>
    <s v="Desktop"/>
    <n v="0"/>
    <n v="3"/>
    <x v="301"/>
    <n v="1"/>
    <x v="1"/>
    <x v="2"/>
    <x v="0"/>
  </r>
  <r>
    <x v="1980"/>
    <s v="C1109"/>
    <d v="2024-03-23T12:00:00"/>
    <n v="9345.77"/>
    <x v="3"/>
    <x v="0"/>
    <s v="Entertainment"/>
    <x v="0"/>
    <x v="0"/>
    <s v="Desktop"/>
    <n v="1"/>
    <n v="2"/>
    <x v="259"/>
    <n v="1"/>
    <x v="0"/>
    <x v="2"/>
    <x v="0"/>
  </r>
  <r>
    <x v="1981"/>
    <s v="C1443"/>
    <d v="2024-03-23T13:00:00"/>
    <n v="40142.03"/>
    <x v="2"/>
    <x v="3"/>
    <s v="Entertainment"/>
    <x v="1"/>
    <x v="4"/>
    <s v="Mobile"/>
    <n v="0"/>
    <n v="0"/>
    <x v="887"/>
    <n v="0"/>
    <x v="2"/>
    <x v="2"/>
    <x v="1"/>
  </r>
  <r>
    <x v="1982"/>
    <s v="C1387"/>
    <d v="2024-03-23T14:00:00"/>
    <n v="22936.43"/>
    <x v="1"/>
    <x v="2"/>
    <s v="Entertainment"/>
    <x v="4"/>
    <x v="4"/>
    <s v="Desktop"/>
    <n v="0"/>
    <n v="1"/>
    <x v="411"/>
    <n v="0"/>
    <x v="2"/>
    <x v="2"/>
    <x v="1"/>
  </r>
  <r>
    <x v="1983"/>
    <s v="C1006"/>
    <d v="2024-03-23T15:00:00"/>
    <n v="24174.3"/>
    <x v="1"/>
    <x v="1"/>
    <s v="Retail"/>
    <x v="2"/>
    <x v="2"/>
    <s v="Desktop"/>
    <n v="0"/>
    <n v="2"/>
    <x v="379"/>
    <n v="1"/>
    <x v="0"/>
    <x v="2"/>
    <x v="0"/>
  </r>
  <r>
    <x v="1984"/>
    <s v="C1114"/>
    <d v="2024-03-23T16:00:00"/>
    <n v="6717.32"/>
    <x v="1"/>
    <x v="0"/>
    <s v="Electronics"/>
    <x v="0"/>
    <x v="4"/>
    <s v="Desktop"/>
    <n v="0"/>
    <n v="3"/>
    <x v="293"/>
    <n v="1"/>
    <x v="0"/>
    <x v="2"/>
    <x v="0"/>
  </r>
  <r>
    <x v="1985"/>
    <s v="C1430"/>
    <d v="2024-03-23T17:00:00"/>
    <n v="4076.05"/>
    <x v="0"/>
    <x v="0"/>
    <s v="Food"/>
    <x v="2"/>
    <x v="0"/>
    <s v="Tablet"/>
    <n v="1"/>
    <n v="2"/>
    <x v="455"/>
    <n v="1"/>
    <x v="0"/>
    <x v="2"/>
    <x v="0"/>
  </r>
  <r>
    <x v="1986"/>
    <s v="C1490"/>
    <d v="2024-03-23T18:00:00"/>
    <n v="36410.57"/>
    <x v="1"/>
    <x v="3"/>
    <s v="Retail"/>
    <x v="0"/>
    <x v="1"/>
    <s v="Mobile"/>
    <n v="0"/>
    <n v="0"/>
    <x v="91"/>
    <n v="0"/>
    <x v="2"/>
    <x v="2"/>
    <x v="1"/>
  </r>
  <r>
    <x v="1987"/>
    <s v="C1201"/>
    <d v="2024-03-23T19:00:00"/>
    <n v="24848.23"/>
    <x v="3"/>
    <x v="3"/>
    <s v="Food"/>
    <x v="2"/>
    <x v="1"/>
    <s v="Tablet"/>
    <n v="0"/>
    <n v="2"/>
    <x v="512"/>
    <n v="1"/>
    <x v="0"/>
    <x v="2"/>
    <x v="0"/>
  </r>
  <r>
    <x v="1988"/>
    <s v="C1077"/>
    <d v="2024-03-23T20:00:00"/>
    <n v="21870.69"/>
    <x v="3"/>
    <x v="0"/>
    <s v="Retail"/>
    <x v="4"/>
    <x v="3"/>
    <s v="Desktop"/>
    <n v="1"/>
    <n v="3"/>
    <x v="686"/>
    <n v="1"/>
    <x v="1"/>
    <x v="2"/>
    <x v="0"/>
  </r>
  <r>
    <x v="1989"/>
    <s v="C1031"/>
    <d v="2024-03-23T21:00:00"/>
    <n v="36488.94"/>
    <x v="0"/>
    <x v="3"/>
    <s v="Entertainment"/>
    <x v="2"/>
    <x v="1"/>
    <s v="Desktop"/>
    <n v="0"/>
    <n v="1"/>
    <x v="419"/>
    <n v="1"/>
    <x v="0"/>
    <x v="2"/>
    <x v="0"/>
  </r>
  <r>
    <x v="1990"/>
    <s v="C1234"/>
    <d v="2024-03-23T22:00:00"/>
    <n v="38287.370000000003"/>
    <x v="0"/>
    <x v="1"/>
    <s v="Food"/>
    <x v="1"/>
    <x v="2"/>
    <s v="Mobile"/>
    <n v="0"/>
    <n v="1"/>
    <x v="31"/>
    <n v="1"/>
    <x v="0"/>
    <x v="2"/>
    <x v="0"/>
  </r>
  <r>
    <x v="1991"/>
    <s v="C1498"/>
    <d v="2024-03-23T23:00:00"/>
    <n v="7987.46"/>
    <x v="1"/>
    <x v="3"/>
    <s v="Entertainment"/>
    <x v="2"/>
    <x v="0"/>
    <s v="Mobile"/>
    <n v="0"/>
    <n v="4"/>
    <x v="858"/>
    <n v="1"/>
    <x v="0"/>
    <x v="2"/>
    <x v="0"/>
  </r>
  <r>
    <x v="1992"/>
    <s v="C1412"/>
    <d v="2024-03-24T00:00:00"/>
    <n v="30530.75"/>
    <x v="2"/>
    <x v="3"/>
    <s v="Food"/>
    <x v="0"/>
    <x v="3"/>
    <s v="Desktop"/>
    <n v="0"/>
    <n v="3"/>
    <x v="403"/>
    <n v="1"/>
    <x v="1"/>
    <x v="2"/>
    <x v="0"/>
  </r>
  <r>
    <x v="1993"/>
    <s v="C1230"/>
    <d v="2024-03-24T01:00:00"/>
    <n v="6810.94"/>
    <x v="0"/>
    <x v="0"/>
    <s v="Travel"/>
    <x v="3"/>
    <x v="2"/>
    <s v="Desktop"/>
    <n v="0"/>
    <n v="4"/>
    <x v="551"/>
    <n v="1"/>
    <x v="0"/>
    <x v="2"/>
    <x v="0"/>
  </r>
  <r>
    <x v="1994"/>
    <s v="C1166"/>
    <d v="2024-03-24T02:00:00"/>
    <n v="37581.19"/>
    <x v="0"/>
    <x v="0"/>
    <s v="Retail"/>
    <x v="2"/>
    <x v="2"/>
    <s v="Tablet"/>
    <n v="0"/>
    <n v="4"/>
    <x v="888"/>
    <n v="1"/>
    <x v="1"/>
    <x v="2"/>
    <x v="0"/>
  </r>
  <r>
    <x v="1995"/>
    <s v="C1398"/>
    <d v="2024-03-24T03:00:00"/>
    <n v="32864.910000000003"/>
    <x v="1"/>
    <x v="2"/>
    <s v="Travel"/>
    <x v="2"/>
    <x v="2"/>
    <s v="Desktop"/>
    <n v="1"/>
    <n v="0"/>
    <x v="489"/>
    <n v="1"/>
    <x v="0"/>
    <x v="2"/>
    <x v="0"/>
  </r>
  <r>
    <x v="1996"/>
    <s v="C1195"/>
    <d v="2024-03-24T04:00:00"/>
    <n v="47832.9"/>
    <x v="1"/>
    <x v="2"/>
    <s v="Retail"/>
    <x v="2"/>
    <x v="4"/>
    <s v="Tablet"/>
    <n v="0"/>
    <n v="3"/>
    <x v="889"/>
    <n v="1"/>
    <x v="1"/>
    <x v="2"/>
    <x v="0"/>
  </r>
  <r>
    <x v="1997"/>
    <s v="C1241"/>
    <d v="2024-03-24T05:00:00"/>
    <n v="3494.45"/>
    <x v="0"/>
    <x v="0"/>
    <s v="Electronics"/>
    <x v="0"/>
    <x v="2"/>
    <s v="Mobile"/>
    <n v="0"/>
    <n v="1"/>
    <x v="216"/>
    <n v="0"/>
    <x v="2"/>
    <x v="2"/>
    <x v="1"/>
  </r>
  <r>
    <x v="1998"/>
    <s v="C1205"/>
    <d v="2024-03-24T06:00:00"/>
    <n v="2899.88"/>
    <x v="2"/>
    <x v="3"/>
    <s v="Food"/>
    <x v="2"/>
    <x v="4"/>
    <s v="Tablet"/>
    <n v="0"/>
    <n v="3"/>
    <x v="226"/>
    <n v="1"/>
    <x v="0"/>
    <x v="2"/>
    <x v="0"/>
  </r>
  <r>
    <x v="1999"/>
    <s v="C1471"/>
    <d v="2024-03-24T07:00:00"/>
    <n v="14145.24"/>
    <x v="0"/>
    <x v="3"/>
    <s v="Electronics"/>
    <x v="0"/>
    <x v="1"/>
    <s v="Desktop"/>
    <n v="0"/>
    <n v="0"/>
    <x v="890"/>
    <n v="0"/>
    <x v="2"/>
    <x v="2"/>
    <x v="1"/>
  </r>
  <r>
    <x v="2000"/>
    <s v="C1002"/>
    <d v="2024-03-24T08:00:00"/>
    <n v="13122.2"/>
    <x v="1"/>
    <x v="2"/>
    <s v="Electronics"/>
    <x v="0"/>
    <x v="4"/>
    <s v="Tablet"/>
    <n v="0"/>
    <n v="3"/>
    <x v="181"/>
    <n v="1"/>
    <x v="0"/>
    <x v="2"/>
    <x v="0"/>
  </r>
  <r>
    <x v="2001"/>
    <s v="C1012"/>
    <d v="2024-03-24T09:00:00"/>
    <n v="12386.59"/>
    <x v="1"/>
    <x v="2"/>
    <s v="Retail"/>
    <x v="3"/>
    <x v="2"/>
    <s v="Tablet"/>
    <n v="0"/>
    <n v="3"/>
    <x v="891"/>
    <n v="1"/>
    <x v="0"/>
    <x v="2"/>
    <x v="0"/>
  </r>
  <r>
    <x v="2002"/>
    <s v="C1467"/>
    <d v="2024-03-24T10:00:00"/>
    <n v="45317.42"/>
    <x v="0"/>
    <x v="2"/>
    <s v="Travel"/>
    <x v="1"/>
    <x v="0"/>
    <s v="Mobile"/>
    <n v="0"/>
    <n v="4"/>
    <x v="892"/>
    <n v="1"/>
    <x v="1"/>
    <x v="2"/>
    <x v="0"/>
  </r>
  <r>
    <x v="2003"/>
    <s v="C1055"/>
    <d v="2024-03-24T11:00:00"/>
    <n v="12514.83"/>
    <x v="2"/>
    <x v="1"/>
    <s v="Entertainment"/>
    <x v="0"/>
    <x v="0"/>
    <s v="Tablet"/>
    <n v="0"/>
    <n v="3"/>
    <x v="174"/>
    <n v="1"/>
    <x v="0"/>
    <x v="2"/>
    <x v="0"/>
  </r>
  <r>
    <x v="2004"/>
    <s v="C1142"/>
    <d v="2024-03-24T12:00:00"/>
    <n v="13633.89"/>
    <x v="0"/>
    <x v="1"/>
    <s v="Retail"/>
    <x v="4"/>
    <x v="1"/>
    <s v="Desktop"/>
    <n v="0"/>
    <n v="4"/>
    <x v="590"/>
    <n v="1"/>
    <x v="0"/>
    <x v="2"/>
    <x v="0"/>
  </r>
  <r>
    <x v="2005"/>
    <s v="C1398"/>
    <d v="2024-03-24T13:00:00"/>
    <n v="37981.94"/>
    <x v="0"/>
    <x v="2"/>
    <s v="Entertainment"/>
    <x v="2"/>
    <x v="2"/>
    <s v="Tablet"/>
    <n v="0"/>
    <n v="4"/>
    <x v="586"/>
    <n v="1"/>
    <x v="1"/>
    <x v="2"/>
    <x v="0"/>
  </r>
  <r>
    <x v="2006"/>
    <s v="C1118"/>
    <d v="2024-03-24T14:00:00"/>
    <n v="22514.51"/>
    <x v="1"/>
    <x v="3"/>
    <s v="Electronics"/>
    <x v="4"/>
    <x v="4"/>
    <s v="Tablet"/>
    <n v="0"/>
    <n v="2"/>
    <x v="243"/>
    <n v="1"/>
    <x v="0"/>
    <x v="2"/>
    <x v="0"/>
  </r>
  <r>
    <x v="2007"/>
    <s v="C1490"/>
    <d v="2024-03-24T15:00:00"/>
    <n v="38846.69"/>
    <x v="2"/>
    <x v="2"/>
    <s v="Entertainment"/>
    <x v="2"/>
    <x v="0"/>
    <s v="Tablet"/>
    <n v="0"/>
    <n v="0"/>
    <x v="325"/>
    <n v="0"/>
    <x v="2"/>
    <x v="2"/>
    <x v="1"/>
  </r>
  <r>
    <x v="2008"/>
    <s v="C1180"/>
    <d v="2024-03-24T16:00:00"/>
    <n v="3315.04"/>
    <x v="3"/>
    <x v="1"/>
    <s v="Travel"/>
    <x v="3"/>
    <x v="3"/>
    <s v="Desktop"/>
    <n v="0"/>
    <n v="4"/>
    <x v="31"/>
    <n v="1"/>
    <x v="0"/>
    <x v="2"/>
    <x v="0"/>
  </r>
  <r>
    <x v="2009"/>
    <s v="C1406"/>
    <d v="2024-03-24T17:00:00"/>
    <n v="24404.18"/>
    <x v="2"/>
    <x v="3"/>
    <s v="Retail"/>
    <x v="0"/>
    <x v="2"/>
    <s v="Tablet"/>
    <n v="0"/>
    <n v="3"/>
    <x v="162"/>
    <n v="1"/>
    <x v="0"/>
    <x v="2"/>
    <x v="0"/>
  </r>
  <r>
    <x v="2010"/>
    <s v="C1020"/>
    <d v="2024-03-24T18:00:00"/>
    <n v="1729"/>
    <x v="0"/>
    <x v="1"/>
    <s v="Travel"/>
    <x v="1"/>
    <x v="2"/>
    <s v="Desktop"/>
    <n v="0"/>
    <n v="4"/>
    <x v="106"/>
    <n v="1"/>
    <x v="0"/>
    <x v="2"/>
    <x v="0"/>
  </r>
  <r>
    <x v="2011"/>
    <s v="C1283"/>
    <d v="2024-03-24T19:00:00"/>
    <n v="3179.53"/>
    <x v="0"/>
    <x v="3"/>
    <s v="Travel"/>
    <x v="0"/>
    <x v="3"/>
    <s v="Tablet"/>
    <n v="1"/>
    <n v="4"/>
    <x v="385"/>
    <n v="1"/>
    <x v="1"/>
    <x v="2"/>
    <x v="0"/>
  </r>
  <r>
    <x v="2012"/>
    <s v="C1466"/>
    <d v="2024-03-24T20:00:00"/>
    <n v="45326.55"/>
    <x v="0"/>
    <x v="1"/>
    <s v="Retail"/>
    <x v="2"/>
    <x v="0"/>
    <s v="Mobile"/>
    <n v="0"/>
    <n v="4"/>
    <x v="892"/>
    <n v="1"/>
    <x v="1"/>
    <x v="2"/>
    <x v="0"/>
  </r>
  <r>
    <x v="2013"/>
    <s v="C1498"/>
    <d v="2024-03-24T21:00:00"/>
    <n v="7005.31"/>
    <x v="2"/>
    <x v="3"/>
    <s v="Travel"/>
    <x v="1"/>
    <x v="3"/>
    <s v="Mobile"/>
    <n v="0"/>
    <n v="1"/>
    <x v="442"/>
    <n v="0"/>
    <x v="2"/>
    <x v="2"/>
    <x v="1"/>
  </r>
  <r>
    <x v="2014"/>
    <s v="C1338"/>
    <d v="2024-03-24T22:00:00"/>
    <n v="26644.41"/>
    <x v="1"/>
    <x v="3"/>
    <s v="Food"/>
    <x v="0"/>
    <x v="1"/>
    <s v="Mobile"/>
    <n v="0"/>
    <n v="1"/>
    <x v="12"/>
    <n v="1"/>
    <x v="0"/>
    <x v="2"/>
    <x v="0"/>
  </r>
  <r>
    <x v="2015"/>
    <s v="C1394"/>
    <d v="2024-03-24T23:00:00"/>
    <n v="20584.23"/>
    <x v="0"/>
    <x v="3"/>
    <s v="Food"/>
    <x v="1"/>
    <x v="4"/>
    <s v="Desktop"/>
    <n v="0"/>
    <n v="1"/>
    <x v="822"/>
    <n v="0"/>
    <x v="2"/>
    <x v="2"/>
    <x v="1"/>
  </r>
  <r>
    <x v="2016"/>
    <s v="C1214"/>
    <d v="2024-03-25T00:00:00"/>
    <n v="17399.8"/>
    <x v="0"/>
    <x v="3"/>
    <s v="Food"/>
    <x v="2"/>
    <x v="4"/>
    <s v="Desktop"/>
    <n v="0"/>
    <n v="1"/>
    <x v="284"/>
    <n v="0"/>
    <x v="2"/>
    <x v="2"/>
    <x v="1"/>
  </r>
  <r>
    <x v="2017"/>
    <s v="C1485"/>
    <d v="2024-03-25T01:00:00"/>
    <n v="44996.68"/>
    <x v="2"/>
    <x v="0"/>
    <s v="Entertainment"/>
    <x v="3"/>
    <x v="0"/>
    <s v="Desktop"/>
    <n v="0"/>
    <n v="2"/>
    <x v="622"/>
    <n v="1"/>
    <x v="1"/>
    <x v="2"/>
    <x v="0"/>
  </r>
  <r>
    <x v="2018"/>
    <s v="C1025"/>
    <d v="2024-03-25T02:00:00"/>
    <n v="1140.08"/>
    <x v="3"/>
    <x v="1"/>
    <s v="Travel"/>
    <x v="3"/>
    <x v="3"/>
    <s v="Tablet"/>
    <n v="0"/>
    <n v="4"/>
    <x v="814"/>
    <n v="1"/>
    <x v="0"/>
    <x v="2"/>
    <x v="0"/>
  </r>
  <r>
    <x v="2019"/>
    <s v="C1173"/>
    <d v="2024-03-25T03:00:00"/>
    <n v="33206.29"/>
    <x v="3"/>
    <x v="1"/>
    <s v="Retail"/>
    <x v="0"/>
    <x v="2"/>
    <s v="Desktop"/>
    <n v="0"/>
    <n v="2"/>
    <x v="128"/>
    <n v="1"/>
    <x v="0"/>
    <x v="2"/>
    <x v="0"/>
  </r>
  <r>
    <x v="2020"/>
    <s v="C1349"/>
    <d v="2024-03-25T04:00:00"/>
    <n v="48171.55"/>
    <x v="1"/>
    <x v="0"/>
    <s v="Retail"/>
    <x v="4"/>
    <x v="2"/>
    <s v="Desktop"/>
    <n v="0"/>
    <n v="3"/>
    <x v="370"/>
    <n v="1"/>
    <x v="1"/>
    <x v="2"/>
    <x v="0"/>
  </r>
  <r>
    <x v="2021"/>
    <s v="C1103"/>
    <d v="2024-03-25T05:00:00"/>
    <n v="28030.400000000001"/>
    <x v="1"/>
    <x v="3"/>
    <s v="Entertainment"/>
    <x v="2"/>
    <x v="2"/>
    <s v="Desktop"/>
    <n v="0"/>
    <n v="0"/>
    <x v="6"/>
    <n v="0"/>
    <x v="2"/>
    <x v="2"/>
    <x v="1"/>
  </r>
  <r>
    <x v="2022"/>
    <s v="C1335"/>
    <d v="2024-03-25T06:00:00"/>
    <n v="46844.28"/>
    <x v="0"/>
    <x v="3"/>
    <s v="Retail"/>
    <x v="0"/>
    <x v="1"/>
    <s v="Desktop"/>
    <n v="0"/>
    <n v="2"/>
    <x v="527"/>
    <n v="1"/>
    <x v="1"/>
    <x v="2"/>
    <x v="0"/>
  </r>
  <r>
    <x v="2023"/>
    <s v="C1053"/>
    <d v="2024-03-25T07:00:00"/>
    <n v="2660.28"/>
    <x v="2"/>
    <x v="1"/>
    <s v="Food"/>
    <x v="0"/>
    <x v="1"/>
    <s v="Mobile"/>
    <n v="0"/>
    <n v="1"/>
    <x v="825"/>
    <n v="0"/>
    <x v="2"/>
    <x v="2"/>
    <x v="1"/>
  </r>
  <r>
    <x v="2024"/>
    <s v="C1272"/>
    <d v="2024-03-25T08:00:00"/>
    <n v="20968.73"/>
    <x v="0"/>
    <x v="0"/>
    <s v="Travel"/>
    <x v="3"/>
    <x v="2"/>
    <s v="Tablet"/>
    <n v="1"/>
    <n v="1"/>
    <x v="558"/>
    <n v="1"/>
    <x v="0"/>
    <x v="2"/>
    <x v="0"/>
  </r>
  <r>
    <x v="2025"/>
    <s v="C1405"/>
    <d v="2024-03-25T09:00:00"/>
    <n v="13044.88"/>
    <x v="1"/>
    <x v="3"/>
    <s v="Retail"/>
    <x v="1"/>
    <x v="0"/>
    <s v="Mobile"/>
    <n v="0"/>
    <n v="3"/>
    <x v="704"/>
    <n v="1"/>
    <x v="0"/>
    <x v="2"/>
    <x v="0"/>
  </r>
  <r>
    <x v="2026"/>
    <s v="C1099"/>
    <d v="2024-03-25T10:00:00"/>
    <n v="36554.51"/>
    <x v="2"/>
    <x v="3"/>
    <s v="Retail"/>
    <x v="2"/>
    <x v="1"/>
    <s v="Tablet"/>
    <n v="0"/>
    <n v="4"/>
    <x v="893"/>
    <n v="1"/>
    <x v="1"/>
    <x v="2"/>
    <x v="0"/>
  </r>
  <r>
    <x v="2027"/>
    <s v="C1194"/>
    <d v="2024-03-25T11:00:00"/>
    <n v="49065.79"/>
    <x v="2"/>
    <x v="3"/>
    <s v="Electronics"/>
    <x v="1"/>
    <x v="1"/>
    <s v="Tablet"/>
    <n v="0"/>
    <n v="0"/>
    <x v="210"/>
    <n v="1"/>
    <x v="0"/>
    <x v="2"/>
    <x v="0"/>
  </r>
  <r>
    <x v="2028"/>
    <s v="C1202"/>
    <d v="2024-03-25T12:00:00"/>
    <n v="12863.68"/>
    <x v="1"/>
    <x v="2"/>
    <s v="Electronics"/>
    <x v="2"/>
    <x v="4"/>
    <s v="Mobile"/>
    <n v="0"/>
    <n v="2"/>
    <x v="489"/>
    <n v="1"/>
    <x v="0"/>
    <x v="2"/>
    <x v="0"/>
  </r>
  <r>
    <x v="2029"/>
    <s v="C1303"/>
    <d v="2024-03-25T13:00:00"/>
    <n v="32726.02"/>
    <x v="3"/>
    <x v="0"/>
    <s v="Electronics"/>
    <x v="4"/>
    <x v="4"/>
    <s v="Desktop"/>
    <n v="0"/>
    <n v="4"/>
    <x v="894"/>
    <n v="1"/>
    <x v="1"/>
    <x v="2"/>
    <x v="0"/>
  </r>
  <r>
    <x v="2030"/>
    <s v="C1487"/>
    <d v="2024-03-25T14:00:00"/>
    <n v="9944.98"/>
    <x v="3"/>
    <x v="3"/>
    <s v="Travel"/>
    <x v="3"/>
    <x v="0"/>
    <s v="Mobile"/>
    <n v="0"/>
    <n v="4"/>
    <x v="756"/>
    <n v="1"/>
    <x v="0"/>
    <x v="2"/>
    <x v="0"/>
  </r>
  <r>
    <x v="2031"/>
    <s v="C1035"/>
    <d v="2024-03-25T15:00:00"/>
    <n v="28288.25"/>
    <x v="2"/>
    <x v="2"/>
    <s v="Food"/>
    <x v="4"/>
    <x v="1"/>
    <s v="Tablet"/>
    <n v="0"/>
    <n v="2"/>
    <x v="23"/>
    <n v="1"/>
    <x v="0"/>
    <x v="2"/>
    <x v="0"/>
  </r>
  <r>
    <x v="2032"/>
    <s v="C1004"/>
    <d v="2024-03-25T16:00:00"/>
    <n v="23223.43"/>
    <x v="0"/>
    <x v="0"/>
    <s v="Food"/>
    <x v="0"/>
    <x v="1"/>
    <s v="Tablet"/>
    <n v="0"/>
    <n v="2"/>
    <x v="519"/>
    <n v="1"/>
    <x v="0"/>
    <x v="2"/>
    <x v="0"/>
  </r>
  <r>
    <x v="2033"/>
    <s v="C1010"/>
    <d v="2024-03-25T17:00:00"/>
    <n v="48601.67"/>
    <x v="3"/>
    <x v="3"/>
    <s v="Food"/>
    <x v="3"/>
    <x v="3"/>
    <s v="Desktop"/>
    <n v="0"/>
    <n v="2"/>
    <x v="30"/>
    <n v="1"/>
    <x v="0"/>
    <x v="2"/>
    <x v="0"/>
  </r>
  <r>
    <x v="2034"/>
    <s v="C1034"/>
    <d v="2024-03-25T18:00:00"/>
    <n v="30445.94"/>
    <x v="0"/>
    <x v="1"/>
    <s v="Travel"/>
    <x v="0"/>
    <x v="0"/>
    <s v="Mobile"/>
    <n v="0"/>
    <n v="2"/>
    <x v="696"/>
    <n v="1"/>
    <x v="0"/>
    <x v="2"/>
    <x v="0"/>
  </r>
  <r>
    <x v="2035"/>
    <s v="C1344"/>
    <d v="2024-03-25T19:00:00"/>
    <n v="17507.84"/>
    <x v="3"/>
    <x v="2"/>
    <s v="Travel"/>
    <x v="4"/>
    <x v="0"/>
    <s v="Tablet"/>
    <n v="0"/>
    <n v="1"/>
    <x v="775"/>
    <n v="0"/>
    <x v="2"/>
    <x v="2"/>
    <x v="1"/>
  </r>
  <r>
    <x v="2036"/>
    <s v="C1163"/>
    <d v="2024-03-25T20:00:00"/>
    <n v="5749.08"/>
    <x v="3"/>
    <x v="2"/>
    <s v="Electronics"/>
    <x v="2"/>
    <x v="3"/>
    <s v="Mobile"/>
    <n v="1"/>
    <n v="4"/>
    <x v="86"/>
    <n v="1"/>
    <x v="1"/>
    <x v="2"/>
    <x v="0"/>
  </r>
  <r>
    <x v="2037"/>
    <s v="C1450"/>
    <d v="2024-03-25T21:00:00"/>
    <n v="7604.78"/>
    <x v="0"/>
    <x v="3"/>
    <s v="Retail"/>
    <x v="0"/>
    <x v="3"/>
    <s v="Desktop"/>
    <n v="0"/>
    <n v="4"/>
    <x v="568"/>
    <n v="1"/>
    <x v="0"/>
    <x v="2"/>
    <x v="0"/>
  </r>
  <r>
    <x v="2038"/>
    <s v="C1302"/>
    <d v="2024-03-25T22:00:00"/>
    <n v="11304.58"/>
    <x v="1"/>
    <x v="3"/>
    <s v="Entertainment"/>
    <x v="1"/>
    <x v="4"/>
    <s v="Desktop"/>
    <n v="0"/>
    <n v="1"/>
    <x v="828"/>
    <n v="0"/>
    <x v="2"/>
    <x v="2"/>
    <x v="1"/>
  </r>
  <r>
    <x v="2039"/>
    <s v="C1070"/>
    <d v="2024-03-25T23:00:00"/>
    <n v="12585.78"/>
    <x v="3"/>
    <x v="2"/>
    <s v="Entertainment"/>
    <x v="2"/>
    <x v="0"/>
    <s v="Tablet"/>
    <n v="0"/>
    <n v="4"/>
    <x v="131"/>
    <n v="1"/>
    <x v="1"/>
    <x v="2"/>
    <x v="0"/>
  </r>
  <r>
    <x v="2040"/>
    <s v="C1483"/>
    <d v="2024-03-26T00:00:00"/>
    <n v="42538.27"/>
    <x v="3"/>
    <x v="1"/>
    <s v="Retail"/>
    <x v="2"/>
    <x v="0"/>
    <s v="Desktop"/>
    <n v="0"/>
    <n v="2"/>
    <x v="695"/>
    <n v="1"/>
    <x v="1"/>
    <x v="2"/>
    <x v="0"/>
  </r>
  <r>
    <x v="2041"/>
    <s v="C1169"/>
    <d v="2024-03-26T01:00:00"/>
    <n v="28083.08"/>
    <x v="0"/>
    <x v="1"/>
    <s v="Electronics"/>
    <x v="4"/>
    <x v="3"/>
    <s v="Tablet"/>
    <n v="0"/>
    <n v="0"/>
    <x v="895"/>
    <n v="0"/>
    <x v="2"/>
    <x v="2"/>
    <x v="1"/>
  </r>
  <r>
    <x v="2042"/>
    <s v="C1153"/>
    <d v="2024-03-26T02:00:00"/>
    <n v="26193.38"/>
    <x v="1"/>
    <x v="0"/>
    <s v="Retail"/>
    <x v="4"/>
    <x v="2"/>
    <s v="Tablet"/>
    <n v="0"/>
    <n v="4"/>
    <x v="90"/>
    <n v="1"/>
    <x v="1"/>
    <x v="2"/>
    <x v="0"/>
  </r>
  <r>
    <x v="2043"/>
    <s v="C1208"/>
    <d v="2024-03-26T03:00:00"/>
    <n v="5782.71"/>
    <x v="3"/>
    <x v="3"/>
    <s v="Retail"/>
    <x v="3"/>
    <x v="2"/>
    <s v="Desktop"/>
    <n v="0"/>
    <n v="0"/>
    <x v="896"/>
    <n v="0"/>
    <x v="2"/>
    <x v="2"/>
    <x v="1"/>
  </r>
  <r>
    <x v="2044"/>
    <s v="C1236"/>
    <d v="2024-03-26T04:00:00"/>
    <n v="43013.98"/>
    <x v="3"/>
    <x v="1"/>
    <s v="Entertainment"/>
    <x v="3"/>
    <x v="4"/>
    <s v="Desktop"/>
    <n v="1"/>
    <n v="0"/>
    <x v="595"/>
    <n v="1"/>
    <x v="0"/>
    <x v="2"/>
    <x v="0"/>
  </r>
  <r>
    <x v="2045"/>
    <s v="C1465"/>
    <d v="2024-03-26T05:00:00"/>
    <n v="36154.57"/>
    <x v="1"/>
    <x v="0"/>
    <s v="Electronics"/>
    <x v="1"/>
    <x v="2"/>
    <s v="Mobile"/>
    <n v="0"/>
    <n v="1"/>
    <x v="897"/>
    <n v="1"/>
    <x v="0"/>
    <x v="2"/>
    <x v="0"/>
  </r>
  <r>
    <x v="2046"/>
    <s v="C1131"/>
    <d v="2024-03-26T06:00:00"/>
    <n v="3430.03"/>
    <x v="3"/>
    <x v="1"/>
    <s v="Travel"/>
    <x v="2"/>
    <x v="2"/>
    <s v="Mobile"/>
    <n v="0"/>
    <n v="3"/>
    <x v="666"/>
    <n v="0"/>
    <x v="2"/>
    <x v="2"/>
    <x v="1"/>
  </r>
  <r>
    <x v="2047"/>
    <s v="C1487"/>
    <d v="2024-03-26T07:00:00"/>
    <n v="35406.36"/>
    <x v="1"/>
    <x v="3"/>
    <s v="Entertainment"/>
    <x v="1"/>
    <x v="2"/>
    <s v="Tablet"/>
    <n v="0"/>
    <n v="4"/>
    <x v="71"/>
    <n v="1"/>
    <x v="1"/>
    <x v="2"/>
    <x v="0"/>
  </r>
  <r>
    <x v="2048"/>
    <s v="C1480"/>
    <d v="2024-03-26T08:00:00"/>
    <n v="27199.73"/>
    <x v="1"/>
    <x v="0"/>
    <s v="Travel"/>
    <x v="1"/>
    <x v="1"/>
    <s v="Mobile"/>
    <n v="0"/>
    <n v="1"/>
    <x v="496"/>
    <n v="1"/>
    <x v="0"/>
    <x v="2"/>
    <x v="0"/>
  </r>
  <r>
    <x v="2049"/>
    <s v="C1391"/>
    <d v="2024-03-26T09:00:00"/>
    <n v="4132.18"/>
    <x v="0"/>
    <x v="0"/>
    <s v="Electronics"/>
    <x v="4"/>
    <x v="4"/>
    <s v="Tablet"/>
    <n v="0"/>
    <n v="1"/>
    <x v="898"/>
    <n v="0"/>
    <x v="2"/>
    <x v="2"/>
    <x v="1"/>
  </r>
  <r>
    <x v="2050"/>
    <s v="C1011"/>
    <d v="2024-03-26T10:00:00"/>
    <n v="22942.12"/>
    <x v="2"/>
    <x v="0"/>
    <s v="Retail"/>
    <x v="1"/>
    <x v="3"/>
    <s v="Desktop"/>
    <n v="0"/>
    <n v="0"/>
    <x v="195"/>
    <n v="0"/>
    <x v="2"/>
    <x v="2"/>
    <x v="1"/>
  </r>
  <r>
    <x v="2051"/>
    <s v="C1464"/>
    <d v="2024-03-26T11:00:00"/>
    <n v="24260.58"/>
    <x v="1"/>
    <x v="1"/>
    <s v="Food"/>
    <x v="1"/>
    <x v="2"/>
    <s v="Desktop"/>
    <n v="0"/>
    <n v="4"/>
    <x v="180"/>
    <n v="1"/>
    <x v="1"/>
    <x v="2"/>
    <x v="0"/>
  </r>
  <r>
    <x v="2052"/>
    <s v="C1288"/>
    <d v="2024-03-26T12:00:00"/>
    <n v="8330.44"/>
    <x v="0"/>
    <x v="3"/>
    <s v="Food"/>
    <x v="0"/>
    <x v="1"/>
    <s v="Mobile"/>
    <n v="0"/>
    <n v="1"/>
    <x v="514"/>
    <n v="0"/>
    <x v="2"/>
    <x v="2"/>
    <x v="1"/>
  </r>
  <r>
    <x v="2053"/>
    <s v="C1489"/>
    <d v="2024-03-26T13:00:00"/>
    <n v="47287.62"/>
    <x v="2"/>
    <x v="0"/>
    <s v="Electronics"/>
    <x v="3"/>
    <x v="2"/>
    <s v="Tablet"/>
    <n v="1"/>
    <n v="2"/>
    <x v="899"/>
    <n v="1"/>
    <x v="1"/>
    <x v="2"/>
    <x v="0"/>
  </r>
  <r>
    <x v="2054"/>
    <s v="C1427"/>
    <d v="2024-03-26T14:00:00"/>
    <n v="42506.27"/>
    <x v="3"/>
    <x v="2"/>
    <s v="Food"/>
    <x v="3"/>
    <x v="1"/>
    <s v="Tablet"/>
    <n v="0"/>
    <n v="1"/>
    <x v="98"/>
    <n v="1"/>
    <x v="0"/>
    <x v="2"/>
    <x v="0"/>
  </r>
  <r>
    <x v="2055"/>
    <s v="C1442"/>
    <d v="2024-03-26T15:00:00"/>
    <n v="33467.67"/>
    <x v="2"/>
    <x v="3"/>
    <s v="Travel"/>
    <x v="2"/>
    <x v="4"/>
    <s v="Mobile"/>
    <n v="0"/>
    <n v="2"/>
    <x v="371"/>
    <n v="1"/>
    <x v="0"/>
    <x v="2"/>
    <x v="0"/>
  </r>
  <r>
    <x v="2056"/>
    <s v="C1450"/>
    <d v="2024-03-26T16:00:00"/>
    <n v="23141.66"/>
    <x v="1"/>
    <x v="2"/>
    <s v="Food"/>
    <x v="3"/>
    <x v="2"/>
    <s v="Tablet"/>
    <n v="0"/>
    <n v="3"/>
    <x v="87"/>
    <n v="1"/>
    <x v="0"/>
    <x v="2"/>
    <x v="0"/>
  </r>
  <r>
    <x v="2057"/>
    <s v="C1101"/>
    <d v="2024-03-26T17:00:00"/>
    <n v="20617.689999999999"/>
    <x v="1"/>
    <x v="2"/>
    <s v="Electronics"/>
    <x v="2"/>
    <x v="1"/>
    <s v="Tablet"/>
    <n v="0"/>
    <n v="2"/>
    <x v="813"/>
    <n v="1"/>
    <x v="0"/>
    <x v="2"/>
    <x v="0"/>
  </r>
  <r>
    <x v="2058"/>
    <s v="C1114"/>
    <d v="2024-03-26T18:00:00"/>
    <n v="32566.12"/>
    <x v="1"/>
    <x v="0"/>
    <s v="Electronics"/>
    <x v="0"/>
    <x v="0"/>
    <s v="Desktop"/>
    <n v="0"/>
    <n v="2"/>
    <x v="500"/>
    <n v="1"/>
    <x v="0"/>
    <x v="2"/>
    <x v="0"/>
  </r>
  <r>
    <x v="2059"/>
    <s v="C1354"/>
    <d v="2024-03-26T19:00:00"/>
    <n v="27294.32"/>
    <x v="1"/>
    <x v="0"/>
    <s v="Travel"/>
    <x v="3"/>
    <x v="0"/>
    <s v="Tablet"/>
    <n v="0"/>
    <n v="0"/>
    <x v="309"/>
    <n v="0"/>
    <x v="2"/>
    <x v="2"/>
    <x v="1"/>
  </r>
  <r>
    <x v="2060"/>
    <s v="C1414"/>
    <d v="2024-03-26T20:00:00"/>
    <n v="3160.54"/>
    <x v="1"/>
    <x v="1"/>
    <s v="Food"/>
    <x v="0"/>
    <x v="1"/>
    <s v="Tablet"/>
    <n v="0"/>
    <n v="1"/>
    <x v="572"/>
    <n v="0"/>
    <x v="2"/>
    <x v="2"/>
    <x v="1"/>
  </r>
  <r>
    <x v="2061"/>
    <s v="C1046"/>
    <d v="2024-03-26T21:00:00"/>
    <n v="25649.51"/>
    <x v="0"/>
    <x v="1"/>
    <s v="Food"/>
    <x v="3"/>
    <x v="2"/>
    <s v="Tablet"/>
    <n v="0"/>
    <n v="3"/>
    <x v="157"/>
    <n v="1"/>
    <x v="1"/>
    <x v="2"/>
    <x v="0"/>
  </r>
  <r>
    <x v="2062"/>
    <s v="C1078"/>
    <d v="2024-03-26T22:00:00"/>
    <n v="40329.86"/>
    <x v="1"/>
    <x v="1"/>
    <s v="Retail"/>
    <x v="3"/>
    <x v="2"/>
    <s v="Mobile"/>
    <n v="0"/>
    <n v="1"/>
    <x v="545"/>
    <n v="1"/>
    <x v="0"/>
    <x v="2"/>
    <x v="0"/>
  </r>
  <r>
    <x v="2063"/>
    <s v="C1091"/>
    <d v="2024-03-26T23:00:00"/>
    <n v="22989.03"/>
    <x v="0"/>
    <x v="3"/>
    <s v="Entertainment"/>
    <x v="0"/>
    <x v="4"/>
    <s v="Mobile"/>
    <n v="0"/>
    <n v="2"/>
    <x v="505"/>
    <n v="1"/>
    <x v="0"/>
    <x v="2"/>
    <x v="0"/>
  </r>
  <r>
    <x v="2064"/>
    <s v="C1276"/>
    <d v="2024-03-27T00:00:00"/>
    <n v="2645.23"/>
    <x v="3"/>
    <x v="1"/>
    <s v="Electronics"/>
    <x v="1"/>
    <x v="4"/>
    <s v="Mobile"/>
    <n v="0"/>
    <n v="2"/>
    <x v="138"/>
    <n v="0"/>
    <x v="2"/>
    <x v="2"/>
    <x v="1"/>
  </r>
  <r>
    <x v="2065"/>
    <s v="C1028"/>
    <d v="2024-03-27T01:00:00"/>
    <n v="39324.6"/>
    <x v="1"/>
    <x v="2"/>
    <s v="Retail"/>
    <x v="1"/>
    <x v="3"/>
    <s v="Tablet"/>
    <n v="1"/>
    <n v="1"/>
    <x v="134"/>
    <n v="1"/>
    <x v="1"/>
    <x v="2"/>
    <x v="0"/>
  </r>
  <r>
    <x v="2066"/>
    <s v="C1448"/>
    <d v="2024-03-27T02:00:00"/>
    <n v="10108.120000000001"/>
    <x v="1"/>
    <x v="1"/>
    <s v="Electronics"/>
    <x v="1"/>
    <x v="4"/>
    <s v="Tablet"/>
    <n v="0"/>
    <n v="3"/>
    <x v="900"/>
    <n v="1"/>
    <x v="0"/>
    <x v="2"/>
    <x v="0"/>
  </r>
  <r>
    <x v="2067"/>
    <s v="C1397"/>
    <d v="2024-03-27T03:00:00"/>
    <n v="12968.11"/>
    <x v="2"/>
    <x v="0"/>
    <s v="Retail"/>
    <x v="1"/>
    <x v="2"/>
    <s v="Mobile"/>
    <n v="0"/>
    <n v="3"/>
    <x v="704"/>
    <n v="1"/>
    <x v="0"/>
    <x v="2"/>
    <x v="0"/>
  </r>
  <r>
    <x v="2068"/>
    <s v="C1043"/>
    <d v="2024-03-27T04:00:00"/>
    <n v="8277.08"/>
    <x v="3"/>
    <x v="1"/>
    <s v="Entertainment"/>
    <x v="3"/>
    <x v="3"/>
    <s v="Mobile"/>
    <n v="0"/>
    <n v="0"/>
    <x v="901"/>
    <n v="0"/>
    <x v="2"/>
    <x v="2"/>
    <x v="1"/>
  </r>
  <r>
    <x v="2069"/>
    <s v="C1124"/>
    <d v="2024-03-27T05:00:00"/>
    <n v="16544.240000000002"/>
    <x v="1"/>
    <x v="3"/>
    <s v="Retail"/>
    <x v="4"/>
    <x v="4"/>
    <s v="Tablet"/>
    <n v="1"/>
    <n v="2"/>
    <x v="82"/>
    <n v="1"/>
    <x v="0"/>
    <x v="2"/>
    <x v="0"/>
  </r>
  <r>
    <x v="2070"/>
    <s v="C1431"/>
    <d v="2024-03-27T06:00:00"/>
    <n v="37849.74"/>
    <x v="1"/>
    <x v="3"/>
    <s v="Electronics"/>
    <x v="0"/>
    <x v="1"/>
    <s v="Tablet"/>
    <n v="0"/>
    <n v="2"/>
    <x v="24"/>
    <n v="1"/>
    <x v="0"/>
    <x v="2"/>
    <x v="0"/>
  </r>
  <r>
    <x v="2071"/>
    <s v="C1363"/>
    <d v="2024-03-27T07:00:00"/>
    <n v="25993.32"/>
    <x v="3"/>
    <x v="2"/>
    <s v="Food"/>
    <x v="4"/>
    <x v="0"/>
    <s v="Desktop"/>
    <n v="0"/>
    <n v="0"/>
    <x v="126"/>
    <n v="0"/>
    <x v="2"/>
    <x v="2"/>
    <x v="1"/>
  </r>
  <r>
    <x v="2072"/>
    <s v="C1487"/>
    <d v="2024-03-27T08:00:00"/>
    <n v="10283.82"/>
    <x v="0"/>
    <x v="3"/>
    <s v="Electronics"/>
    <x v="4"/>
    <x v="4"/>
    <s v="Mobile"/>
    <n v="0"/>
    <n v="1"/>
    <x v="902"/>
    <n v="0"/>
    <x v="2"/>
    <x v="2"/>
    <x v="1"/>
  </r>
  <r>
    <x v="2073"/>
    <s v="C1433"/>
    <d v="2024-03-27T09:00:00"/>
    <n v="43897.61"/>
    <x v="1"/>
    <x v="1"/>
    <s v="Travel"/>
    <x v="2"/>
    <x v="4"/>
    <s v="Tablet"/>
    <n v="0"/>
    <n v="2"/>
    <x v="168"/>
    <n v="1"/>
    <x v="1"/>
    <x v="2"/>
    <x v="0"/>
  </r>
  <r>
    <x v="2074"/>
    <s v="C1139"/>
    <d v="2024-03-27T10:00:00"/>
    <n v="43985.11"/>
    <x v="2"/>
    <x v="0"/>
    <s v="Travel"/>
    <x v="1"/>
    <x v="1"/>
    <s v="Mobile"/>
    <n v="0"/>
    <n v="1"/>
    <x v="697"/>
    <n v="1"/>
    <x v="0"/>
    <x v="2"/>
    <x v="0"/>
  </r>
  <r>
    <x v="2075"/>
    <s v="C1400"/>
    <d v="2024-03-27T11:00:00"/>
    <n v="43535.39"/>
    <x v="1"/>
    <x v="3"/>
    <s v="Travel"/>
    <x v="3"/>
    <x v="2"/>
    <s v="Mobile"/>
    <n v="0"/>
    <n v="3"/>
    <x v="765"/>
    <n v="1"/>
    <x v="1"/>
    <x v="2"/>
    <x v="0"/>
  </r>
  <r>
    <x v="2076"/>
    <s v="C1302"/>
    <d v="2024-03-27T12:00:00"/>
    <n v="11977.87"/>
    <x v="2"/>
    <x v="2"/>
    <s v="Travel"/>
    <x v="1"/>
    <x v="1"/>
    <s v="Mobile"/>
    <n v="0"/>
    <n v="4"/>
    <x v="111"/>
    <n v="1"/>
    <x v="1"/>
    <x v="2"/>
    <x v="0"/>
  </r>
  <r>
    <x v="2077"/>
    <s v="C1106"/>
    <d v="2024-03-27T13:00:00"/>
    <n v="22589.41"/>
    <x v="2"/>
    <x v="1"/>
    <s v="Entertainment"/>
    <x v="1"/>
    <x v="4"/>
    <s v="Desktop"/>
    <n v="0"/>
    <n v="0"/>
    <x v="418"/>
    <n v="0"/>
    <x v="2"/>
    <x v="2"/>
    <x v="1"/>
  </r>
  <r>
    <x v="2078"/>
    <s v="C1080"/>
    <d v="2024-03-27T14:00:00"/>
    <n v="49250.23"/>
    <x v="1"/>
    <x v="2"/>
    <s v="Food"/>
    <x v="4"/>
    <x v="2"/>
    <s v="Tablet"/>
    <n v="0"/>
    <n v="2"/>
    <x v="389"/>
    <n v="1"/>
    <x v="1"/>
    <x v="2"/>
    <x v="0"/>
  </r>
  <r>
    <x v="2079"/>
    <s v="C1061"/>
    <d v="2024-03-27T15:00:00"/>
    <n v="38612.019999999997"/>
    <x v="1"/>
    <x v="3"/>
    <s v="Food"/>
    <x v="2"/>
    <x v="3"/>
    <s v="Tablet"/>
    <n v="0"/>
    <n v="0"/>
    <x v="903"/>
    <n v="0"/>
    <x v="2"/>
    <x v="2"/>
    <x v="1"/>
  </r>
  <r>
    <x v="2080"/>
    <s v="C1046"/>
    <d v="2024-03-27T16:00:00"/>
    <n v="1407.01"/>
    <x v="2"/>
    <x v="3"/>
    <s v="Electronics"/>
    <x v="1"/>
    <x v="4"/>
    <s v="Mobile"/>
    <n v="0"/>
    <n v="3"/>
    <x v="91"/>
    <n v="0"/>
    <x v="2"/>
    <x v="2"/>
    <x v="1"/>
  </r>
  <r>
    <x v="2081"/>
    <s v="C1336"/>
    <d v="2024-03-27T17:00:00"/>
    <n v="3306.97"/>
    <x v="3"/>
    <x v="2"/>
    <s v="Retail"/>
    <x v="0"/>
    <x v="1"/>
    <s v="Tablet"/>
    <n v="1"/>
    <n v="3"/>
    <x v="904"/>
    <n v="1"/>
    <x v="0"/>
    <x v="2"/>
    <x v="0"/>
  </r>
  <r>
    <x v="2082"/>
    <s v="C1358"/>
    <d v="2024-03-27T18:00:00"/>
    <n v="23223.37"/>
    <x v="3"/>
    <x v="1"/>
    <s v="Electronics"/>
    <x v="0"/>
    <x v="3"/>
    <s v="Desktop"/>
    <n v="1"/>
    <n v="3"/>
    <x v="729"/>
    <n v="1"/>
    <x v="1"/>
    <x v="2"/>
    <x v="0"/>
  </r>
  <r>
    <x v="2083"/>
    <s v="C1064"/>
    <d v="2024-03-27T19:00:00"/>
    <n v="45465.55"/>
    <x v="1"/>
    <x v="3"/>
    <s v="Electronics"/>
    <x v="1"/>
    <x v="0"/>
    <s v="Mobile"/>
    <n v="0"/>
    <n v="3"/>
    <x v="97"/>
    <n v="1"/>
    <x v="1"/>
    <x v="2"/>
    <x v="0"/>
  </r>
  <r>
    <x v="2084"/>
    <s v="C1164"/>
    <d v="2024-03-27T20:00:00"/>
    <n v="26958.15"/>
    <x v="0"/>
    <x v="0"/>
    <s v="Electronics"/>
    <x v="4"/>
    <x v="3"/>
    <s v="Desktop"/>
    <n v="0"/>
    <n v="4"/>
    <x v="655"/>
    <n v="1"/>
    <x v="1"/>
    <x v="2"/>
    <x v="0"/>
  </r>
  <r>
    <x v="2085"/>
    <s v="C1216"/>
    <d v="2024-03-27T21:00:00"/>
    <n v="24915.73"/>
    <x v="3"/>
    <x v="3"/>
    <s v="Electronics"/>
    <x v="4"/>
    <x v="1"/>
    <s v="Desktop"/>
    <n v="0"/>
    <n v="1"/>
    <x v="52"/>
    <n v="0"/>
    <x v="2"/>
    <x v="2"/>
    <x v="1"/>
  </r>
  <r>
    <x v="2086"/>
    <s v="C1258"/>
    <d v="2024-03-27T22:00:00"/>
    <n v="5318.41"/>
    <x v="1"/>
    <x v="1"/>
    <s v="Food"/>
    <x v="3"/>
    <x v="3"/>
    <s v="Tablet"/>
    <n v="0"/>
    <n v="1"/>
    <x v="905"/>
    <n v="0"/>
    <x v="2"/>
    <x v="2"/>
    <x v="1"/>
  </r>
  <r>
    <x v="2087"/>
    <s v="C1254"/>
    <d v="2024-03-27T23:00:00"/>
    <n v="32856.17"/>
    <x v="3"/>
    <x v="3"/>
    <s v="Retail"/>
    <x v="2"/>
    <x v="1"/>
    <s v="Tablet"/>
    <n v="0"/>
    <n v="4"/>
    <x v="906"/>
    <n v="1"/>
    <x v="1"/>
    <x v="2"/>
    <x v="0"/>
  </r>
  <r>
    <x v="2088"/>
    <s v="C1055"/>
    <d v="2024-03-28T00:00:00"/>
    <n v="41114.050000000003"/>
    <x v="0"/>
    <x v="2"/>
    <s v="Electronics"/>
    <x v="4"/>
    <x v="4"/>
    <s v="Desktop"/>
    <n v="0"/>
    <n v="1"/>
    <x v="255"/>
    <n v="1"/>
    <x v="0"/>
    <x v="2"/>
    <x v="0"/>
  </r>
  <r>
    <x v="2089"/>
    <s v="C1228"/>
    <d v="2024-03-28T01:00:00"/>
    <n v="19051.98"/>
    <x v="1"/>
    <x v="3"/>
    <s v="Food"/>
    <x v="3"/>
    <x v="2"/>
    <s v="Tablet"/>
    <n v="1"/>
    <n v="3"/>
    <x v="796"/>
    <n v="1"/>
    <x v="1"/>
    <x v="2"/>
    <x v="0"/>
  </r>
  <r>
    <x v="2090"/>
    <s v="C1204"/>
    <d v="2024-03-28T02:00:00"/>
    <n v="38791.81"/>
    <x v="0"/>
    <x v="3"/>
    <s v="Electronics"/>
    <x v="0"/>
    <x v="0"/>
    <s v="Desktop"/>
    <n v="1"/>
    <n v="1"/>
    <x v="426"/>
    <n v="1"/>
    <x v="0"/>
    <x v="2"/>
    <x v="0"/>
  </r>
  <r>
    <x v="2091"/>
    <s v="C1283"/>
    <d v="2024-03-28T03:00:00"/>
    <n v="48225.61"/>
    <x v="1"/>
    <x v="1"/>
    <s v="Travel"/>
    <x v="0"/>
    <x v="2"/>
    <s v="Desktop"/>
    <n v="0"/>
    <n v="0"/>
    <x v="220"/>
    <n v="1"/>
    <x v="0"/>
    <x v="2"/>
    <x v="0"/>
  </r>
  <r>
    <x v="2092"/>
    <s v="C1349"/>
    <d v="2024-03-28T04:00:00"/>
    <n v="10228.129999999999"/>
    <x v="0"/>
    <x v="2"/>
    <s v="Electronics"/>
    <x v="0"/>
    <x v="2"/>
    <s v="Mobile"/>
    <n v="0"/>
    <n v="1"/>
    <x v="907"/>
    <n v="0"/>
    <x v="2"/>
    <x v="2"/>
    <x v="1"/>
  </r>
  <r>
    <x v="2093"/>
    <s v="C1048"/>
    <d v="2024-03-28T05:00:00"/>
    <n v="26190.32"/>
    <x v="3"/>
    <x v="1"/>
    <s v="Electronics"/>
    <x v="1"/>
    <x v="2"/>
    <s v="Desktop"/>
    <n v="1"/>
    <n v="0"/>
    <x v="264"/>
    <n v="1"/>
    <x v="0"/>
    <x v="2"/>
    <x v="0"/>
  </r>
  <r>
    <x v="2094"/>
    <s v="C1437"/>
    <d v="2024-03-28T06:00:00"/>
    <n v="14392.54"/>
    <x v="3"/>
    <x v="3"/>
    <s v="Entertainment"/>
    <x v="2"/>
    <x v="1"/>
    <s v="Desktop"/>
    <n v="1"/>
    <n v="2"/>
    <x v="84"/>
    <n v="1"/>
    <x v="0"/>
    <x v="2"/>
    <x v="0"/>
  </r>
  <r>
    <x v="2095"/>
    <s v="C1004"/>
    <d v="2024-03-28T07:00:00"/>
    <n v="39653.08"/>
    <x v="0"/>
    <x v="0"/>
    <s v="Travel"/>
    <x v="3"/>
    <x v="1"/>
    <s v="Tablet"/>
    <n v="1"/>
    <n v="0"/>
    <x v="207"/>
    <n v="1"/>
    <x v="0"/>
    <x v="2"/>
    <x v="0"/>
  </r>
  <r>
    <x v="2096"/>
    <s v="C1481"/>
    <d v="2024-03-28T08:00:00"/>
    <n v="28900.79"/>
    <x v="0"/>
    <x v="3"/>
    <s v="Retail"/>
    <x v="2"/>
    <x v="0"/>
    <s v="Mobile"/>
    <n v="0"/>
    <n v="0"/>
    <x v="206"/>
    <n v="0"/>
    <x v="2"/>
    <x v="2"/>
    <x v="1"/>
  </r>
  <r>
    <x v="2097"/>
    <s v="C1465"/>
    <d v="2024-03-28T09:00:00"/>
    <n v="31747.39"/>
    <x v="0"/>
    <x v="1"/>
    <s v="Electronics"/>
    <x v="1"/>
    <x v="1"/>
    <s v="Tablet"/>
    <n v="0"/>
    <n v="3"/>
    <x v="173"/>
    <n v="1"/>
    <x v="1"/>
    <x v="2"/>
    <x v="0"/>
  </r>
  <r>
    <x v="2098"/>
    <s v="C1420"/>
    <d v="2024-03-28T10:00:00"/>
    <n v="39905.81"/>
    <x v="1"/>
    <x v="0"/>
    <s v="Retail"/>
    <x v="3"/>
    <x v="1"/>
    <s v="Mobile"/>
    <n v="0"/>
    <n v="3"/>
    <x v="570"/>
    <n v="1"/>
    <x v="1"/>
    <x v="2"/>
    <x v="0"/>
  </r>
  <r>
    <x v="2099"/>
    <s v="C1227"/>
    <d v="2024-03-28T11:00:00"/>
    <n v="19828.73"/>
    <x v="3"/>
    <x v="1"/>
    <s v="Travel"/>
    <x v="3"/>
    <x v="1"/>
    <s v="Tablet"/>
    <n v="0"/>
    <n v="3"/>
    <x v="112"/>
    <n v="1"/>
    <x v="0"/>
    <x v="2"/>
    <x v="0"/>
  </r>
  <r>
    <x v="2100"/>
    <s v="C1043"/>
    <d v="2024-03-28T12:00:00"/>
    <n v="45758.75"/>
    <x v="1"/>
    <x v="1"/>
    <s v="Electronics"/>
    <x v="4"/>
    <x v="1"/>
    <s v="Desktop"/>
    <n v="0"/>
    <n v="0"/>
    <x v="575"/>
    <n v="0"/>
    <x v="2"/>
    <x v="2"/>
    <x v="1"/>
  </r>
  <r>
    <x v="2101"/>
    <s v="C1221"/>
    <d v="2024-03-28T13:00:00"/>
    <n v="26674.79"/>
    <x v="3"/>
    <x v="2"/>
    <s v="Entertainment"/>
    <x v="2"/>
    <x v="4"/>
    <s v="Mobile"/>
    <n v="0"/>
    <n v="4"/>
    <x v="805"/>
    <n v="1"/>
    <x v="1"/>
    <x v="2"/>
    <x v="0"/>
  </r>
  <r>
    <x v="2102"/>
    <s v="C1405"/>
    <d v="2024-03-28T14:00:00"/>
    <n v="7939.84"/>
    <x v="2"/>
    <x v="0"/>
    <s v="Food"/>
    <x v="2"/>
    <x v="0"/>
    <s v="Mobile"/>
    <n v="1"/>
    <n v="3"/>
    <x v="615"/>
    <n v="1"/>
    <x v="1"/>
    <x v="2"/>
    <x v="0"/>
  </r>
  <r>
    <x v="2103"/>
    <s v="C1379"/>
    <d v="2024-03-28T15:00:00"/>
    <n v="34810.160000000003"/>
    <x v="1"/>
    <x v="3"/>
    <s v="Entertainment"/>
    <x v="4"/>
    <x v="1"/>
    <s v="Mobile"/>
    <n v="1"/>
    <n v="3"/>
    <x v="734"/>
    <n v="1"/>
    <x v="1"/>
    <x v="2"/>
    <x v="0"/>
  </r>
  <r>
    <x v="2104"/>
    <s v="C1206"/>
    <d v="2024-03-28T16:00:00"/>
    <n v="39673.4"/>
    <x v="3"/>
    <x v="1"/>
    <s v="Entertainment"/>
    <x v="0"/>
    <x v="0"/>
    <s v="Mobile"/>
    <n v="0"/>
    <n v="0"/>
    <x v="339"/>
    <n v="0"/>
    <x v="2"/>
    <x v="2"/>
    <x v="1"/>
  </r>
  <r>
    <x v="2105"/>
    <s v="C1406"/>
    <d v="2024-03-28T17:00:00"/>
    <n v="15872.25"/>
    <x v="3"/>
    <x v="3"/>
    <s v="Food"/>
    <x v="1"/>
    <x v="3"/>
    <s v="Tablet"/>
    <n v="1"/>
    <n v="2"/>
    <x v="674"/>
    <n v="1"/>
    <x v="0"/>
    <x v="2"/>
    <x v="0"/>
  </r>
  <r>
    <x v="2106"/>
    <s v="C1432"/>
    <d v="2024-03-28T18:00:00"/>
    <n v="42866.1"/>
    <x v="1"/>
    <x v="2"/>
    <s v="Food"/>
    <x v="2"/>
    <x v="4"/>
    <s v="Tablet"/>
    <n v="0"/>
    <n v="2"/>
    <x v="615"/>
    <n v="1"/>
    <x v="1"/>
    <x v="2"/>
    <x v="0"/>
  </r>
  <r>
    <x v="2107"/>
    <s v="C1484"/>
    <d v="2024-03-28T19:00:00"/>
    <n v="45311.86"/>
    <x v="1"/>
    <x v="2"/>
    <s v="Food"/>
    <x v="4"/>
    <x v="1"/>
    <s v="Mobile"/>
    <n v="0"/>
    <n v="1"/>
    <x v="645"/>
    <n v="1"/>
    <x v="0"/>
    <x v="2"/>
    <x v="0"/>
  </r>
  <r>
    <x v="2108"/>
    <s v="C1216"/>
    <d v="2024-03-28T20:00:00"/>
    <n v="13881.38"/>
    <x v="3"/>
    <x v="0"/>
    <s v="Electronics"/>
    <x v="3"/>
    <x v="4"/>
    <s v="Mobile"/>
    <n v="0"/>
    <n v="2"/>
    <x v="248"/>
    <n v="1"/>
    <x v="0"/>
    <x v="2"/>
    <x v="0"/>
  </r>
  <r>
    <x v="2109"/>
    <s v="C1480"/>
    <d v="2024-03-28T21:00:00"/>
    <n v="49176.9"/>
    <x v="1"/>
    <x v="2"/>
    <s v="Retail"/>
    <x v="4"/>
    <x v="4"/>
    <s v="Mobile"/>
    <n v="0"/>
    <n v="3"/>
    <x v="908"/>
    <n v="1"/>
    <x v="1"/>
    <x v="2"/>
    <x v="0"/>
  </r>
  <r>
    <x v="2110"/>
    <s v="C1265"/>
    <d v="2024-03-28T22:00:00"/>
    <n v="7078.54"/>
    <x v="0"/>
    <x v="2"/>
    <s v="Retail"/>
    <x v="0"/>
    <x v="3"/>
    <s v="Tablet"/>
    <n v="0"/>
    <n v="4"/>
    <x v="165"/>
    <n v="1"/>
    <x v="0"/>
    <x v="2"/>
    <x v="0"/>
  </r>
  <r>
    <x v="2111"/>
    <s v="C1490"/>
    <d v="2024-03-28T23:00:00"/>
    <n v="10140.68"/>
    <x v="1"/>
    <x v="3"/>
    <s v="Food"/>
    <x v="1"/>
    <x v="0"/>
    <s v="Mobile"/>
    <n v="0"/>
    <n v="1"/>
    <x v="812"/>
    <n v="0"/>
    <x v="2"/>
    <x v="2"/>
    <x v="1"/>
  </r>
  <r>
    <x v="2112"/>
    <s v="C1281"/>
    <d v="2024-03-29T00:00:00"/>
    <n v="9252.0300000000007"/>
    <x v="1"/>
    <x v="2"/>
    <s v="Entertainment"/>
    <x v="0"/>
    <x v="4"/>
    <s v="Mobile"/>
    <n v="0"/>
    <n v="4"/>
    <x v="67"/>
    <n v="1"/>
    <x v="0"/>
    <x v="2"/>
    <x v="0"/>
  </r>
  <r>
    <x v="2113"/>
    <s v="C1257"/>
    <d v="2024-03-29T01:00:00"/>
    <n v="44704.79"/>
    <x v="1"/>
    <x v="2"/>
    <s v="Travel"/>
    <x v="3"/>
    <x v="2"/>
    <s v="Mobile"/>
    <n v="0"/>
    <n v="4"/>
    <x v="830"/>
    <n v="1"/>
    <x v="1"/>
    <x v="2"/>
    <x v="0"/>
  </r>
  <r>
    <x v="2114"/>
    <s v="C1424"/>
    <d v="2024-03-29T02:00:00"/>
    <n v="32731.91"/>
    <x v="3"/>
    <x v="1"/>
    <s v="Food"/>
    <x v="3"/>
    <x v="3"/>
    <s v="Tablet"/>
    <n v="1"/>
    <n v="3"/>
    <x v="281"/>
    <n v="1"/>
    <x v="1"/>
    <x v="2"/>
    <x v="0"/>
  </r>
  <r>
    <x v="2115"/>
    <s v="C1490"/>
    <d v="2024-03-29T03:00:00"/>
    <n v="7647.61"/>
    <x v="0"/>
    <x v="2"/>
    <s v="Entertainment"/>
    <x v="3"/>
    <x v="2"/>
    <s v="Desktop"/>
    <n v="0"/>
    <n v="0"/>
    <x v="909"/>
    <n v="0"/>
    <x v="2"/>
    <x v="2"/>
    <x v="1"/>
  </r>
  <r>
    <x v="2116"/>
    <s v="C1114"/>
    <d v="2024-03-29T04:00:00"/>
    <n v="22044.15"/>
    <x v="2"/>
    <x v="1"/>
    <s v="Entertainment"/>
    <x v="3"/>
    <x v="3"/>
    <s v="Desktop"/>
    <n v="0"/>
    <n v="0"/>
    <x v="440"/>
    <n v="0"/>
    <x v="2"/>
    <x v="2"/>
    <x v="1"/>
  </r>
  <r>
    <x v="2117"/>
    <s v="C1167"/>
    <d v="2024-03-29T05:00:00"/>
    <n v="30784.14"/>
    <x v="2"/>
    <x v="2"/>
    <s v="Electronics"/>
    <x v="4"/>
    <x v="2"/>
    <s v="Tablet"/>
    <n v="0"/>
    <n v="0"/>
    <x v="96"/>
    <n v="0"/>
    <x v="2"/>
    <x v="2"/>
    <x v="1"/>
  </r>
  <r>
    <x v="2118"/>
    <s v="C1004"/>
    <d v="2024-03-29T06:00:00"/>
    <n v="4219.03"/>
    <x v="0"/>
    <x v="2"/>
    <s v="Electronics"/>
    <x v="3"/>
    <x v="2"/>
    <s v="Desktop"/>
    <n v="0"/>
    <n v="2"/>
    <x v="523"/>
    <n v="0"/>
    <x v="2"/>
    <x v="2"/>
    <x v="1"/>
  </r>
  <r>
    <x v="2119"/>
    <s v="C1072"/>
    <d v="2024-03-29T07:00:00"/>
    <n v="44126.7"/>
    <x v="0"/>
    <x v="0"/>
    <s v="Retail"/>
    <x v="3"/>
    <x v="4"/>
    <s v="Mobile"/>
    <n v="0"/>
    <n v="0"/>
    <x v="910"/>
    <n v="1"/>
    <x v="0"/>
    <x v="2"/>
    <x v="0"/>
  </r>
  <r>
    <x v="2120"/>
    <s v="C1227"/>
    <d v="2024-03-29T08:00:00"/>
    <n v="40190"/>
    <x v="0"/>
    <x v="0"/>
    <s v="Retail"/>
    <x v="4"/>
    <x v="4"/>
    <s v="Mobile"/>
    <n v="0"/>
    <n v="3"/>
    <x v="561"/>
    <n v="1"/>
    <x v="1"/>
    <x v="2"/>
    <x v="0"/>
  </r>
  <r>
    <x v="2121"/>
    <s v="C1102"/>
    <d v="2024-03-29T09:00:00"/>
    <n v="25285.08"/>
    <x v="3"/>
    <x v="1"/>
    <s v="Travel"/>
    <x v="3"/>
    <x v="3"/>
    <s v="Tablet"/>
    <n v="0"/>
    <n v="2"/>
    <x v="34"/>
    <n v="1"/>
    <x v="0"/>
    <x v="2"/>
    <x v="0"/>
  </r>
  <r>
    <x v="2122"/>
    <s v="C1155"/>
    <d v="2024-03-29T10:00:00"/>
    <n v="48357.97"/>
    <x v="2"/>
    <x v="2"/>
    <s v="Travel"/>
    <x v="0"/>
    <x v="0"/>
    <s v="Tablet"/>
    <n v="0"/>
    <n v="0"/>
    <x v="666"/>
    <n v="0"/>
    <x v="2"/>
    <x v="2"/>
    <x v="1"/>
  </r>
  <r>
    <x v="2123"/>
    <s v="C1459"/>
    <d v="2024-03-29T11:00:00"/>
    <n v="20917.16"/>
    <x v="0"/>
    <x v="3"/>
    <s v="Travel"/>
    <x v="0"/>
    <x v="4"/>
    <s v="Desktop"/>
    <n v="0"/>
    <n v="4"/>
    <x v="667"/>
    <n v="1"/>
    <x v="1"/>
    <x v="2"/>
    <x v="0"/>
  </r>
  <r>
    <x v="2124"/>
    <s v="C1349"/>
    <d v="2024-03-29T12:00:00"/>
    <n v="49206.31"/>
    <x v="3"/>
    <x v="0"/>
    <s v="Travel"/>
    <x v="2"/>
    <x v="4"/>
    <s v="Desktop"/>
    <n v="0"/>
    <n v="3"/>
    <x v="908"/>
    <n v="1"/>
    <x v="1"/>
    <x v="2"/>
    <x v="0"/>
  </r>
  <r>
    <x v="2125"/>
    <s v="C1119"/>
    <d v="2024-03-29T13:00:00"/>
    <n v="33412.6"/>
    <x v="2"/>
    <x v="3"/>
    <s v="Entertainment"/>
    <x v="0"/>
    <x v="1"/>
    <s v="Mobile"/>
    <n v="0"/>
    <n v="3"/>
    <x v="846"/>
    <n v="1"/>
    <x v="1"/>
    <x v="2"/>
    <x v="0"/>
  </r>
  <r>
    <x v="2126"/>
    <s v="C1460"/>
    <d v="2024-03-29T14:00:00"/>
    <n v="31751.83"/>
    <x v="1"/>
    <x v="0"/>
    <s v="Entertainment"/>
    <x v="1"/>
    <x v="4"/>
    <s v="Tablet"/>
    <n v="1"/>
    <n v="1"/>
    <x v="911"/>
    <n v="1"/>
    <x v="0"/>
    <x v="2"/>
    <x v="0"/>
  </r>
  <r>
    <x v="2127"/>
    <s v="C1231"/>
    <d v="2024-03-29T15:00:00"/>
    <n v="8339.4500000000007"/>
    <x v="3"/>
    <x v="0"/>
    <s v="Retail"/>
    <x v="1"/>
    <x v="0"/>
    <s v="Desktop"/>
    <n v="0"/>
    <n v="3"/>
    <x v="31"/>
    <n v="1"/>
    <x v="0"/>
    <x v="2"/>
    <x v="0"/>
  </r>
  <r>
    <x v="2128"/>
    <s v="C1329"/>
    <d v="2024-03-29T16:00:00"/>
    <n v="44102.29"/>
    <x v="2"/>
    <x v="2"/>
    <s v="Electronics"/>
    <x v="1"/>
    <x v="1"/>
    <s v="Desktop"/>
    <n v="0"/>
    <n v="4"/>
    <x v="912"/>
    <n v="1"/>
    <x v="1"/>
    <x v="2"/>
    <x v="0"/>
  </r>
  <r>
    <x v="2129"/>
    <s v="C1499"/>
    <d v="2024-03-29T17:00:00"/>
    <n v="21403.11"/>
    <x v="3"/>
    <x v="0"/>
    <s v="Electronics"/>
    <x v="4"/>
    <x v="2"/>
    <s v="Mobile"/>
    <n v="1"/>
    <n v="3"/>
    <x v="378"/>
    <n v="1"/>
    <x v="1"/>
    <x v="2"/>
    <x v="0"/>
  </r>
  <r>
    <x v="2130"/>
    <s v="C1268"/>
    <d v="2024-03-29T18:00:00"/>
    <n v="8153.56"/>
    <x v="2"/>
    <x v="3"/>
    <s v="Food"/>
    <x v="0"/>
    <x v="2"/>
    <s v="Mobile"/>
    <n v="0"/>
    <n v="1"/>
    <x v="450"/>
    <n v="0"/>
    <x v="2"/>
    <x v="2"/>
    <x v="1"/>
  </r>
  <r>
    <x v="2131"/>
    <s v="C1007"/>
    <d v="2024-03-29T19:00:00"/>
    <n v="679.75"/>
    <x v="2"/>
    <x v="0"/>
    <s v="Entertainment"/>
    <x v="1"/>
    <x v="1"/>
    <s v="Mobile"/>
    <n v="0"/>
    <n v="3"/>
    <x v="396"/>
    <n v="1"/>
    <x v="0"/>
    <x v="2"/>
    <x v="0"/>
  </r>
  <r>
    <x v="2132"/>
    <s v="C1345"/>
    <d v="2024-03-29T20:00:00"/>
    <n v="28009.8"/>
    <x v="1"/>
    <x v="1"/>
    <s v="Travel"/>
    <x v="2"/>
    <x v="1"/>
    <s v="Mobile"/>
    <n v="1"/>
    <n v="3"/>
    <x v="913"/>
    <n v="1"/>
    <x v="1"/>
    <x v="2"/>
    <x v="0"/>
  </r>
  <r>
    <x v="2133"/>
    <s v="C1350"/>
    <d v="2024-03-29T21:00:00"/>
    <n v="26393.61"/>
    <x v="3"/>
    <x v="2"/>
    <s v="Travel"/>
    <x v="4"/>
    <x v="1"/>
    <s v="Desktop"/>
    <n v="0"/>
    <n v="1"/>
    <x v="467"/>
    <n v="0"/>
    <x v="2"/>
    <x v="2"/>
    <x v="1"/>
  </r>
  <r>
    <x v="2134"/>
    <s v="C1198"/>
    <d v="2024-03-29T22:00:00"/>
    <n v="35981.71"/>
    <x v="0"/>
    <x v="2"/>
    <s v="Food"/>
    <x v="2"/>
    <x v="3"/>
    <s v="Tablet"/>
    <n v="0"/>
    <n v="3"/>
    <x v="529"/>
    <n v="1"/>
    <x v="1"/>
    <x v="2"/>
    <x v="0"/>
  </r>
  <r>
    <x v="2135"/>
    <s v="C1206"/>
    <d v="2024-03-29T23:00:00"/>
    <n v="44518.39"/>
    <x v="1"/>
    <x v="1"/>
    <s v="Electronics"/>
    <x v="0"/>
    <x v="0"/>
    <s v="Tablet"/>
    <n v="1"/>
    <n v="2"/>
    <x v="231"/>
    <n v="1"/>
    <x v="1"/>
    <x v="2"/>
    <x v="0"/>
  </r>
  <r>
    <x v="2136"/>
    <s v="C1039"/>
    <d v="2024-03-30T00:00:00"/>
    <n v="4016.36"/>
    <x v="1"/>
    <x v="1"/>
    <s v="Travel"/>
    <x v="3"/>
    <x v="0"/>
    <s v="Mobile"/>
    <n v="1"/>
    <n v="3"/>
    <x v="663"/>
    <n v="1"/>
    <x v="0"/>
    <x v="2"/>
    <x v="0"/>
  </r>
  <r>
    <x v="2137"/>
    <s v="C1347"/>
    <d v="2024-03-30T01:00:00"/>
    <n v="36588.25"/>
    <x v="2"/>
    <x v="1"/>
    <s v="Electronics"/>
    <x v="2"/>
    <x v="2"/>
    <s v="Mobile"/>
    <n v="0"/>
    <n v="0"/>
    <x v="521"/>
    <n v="0"/>
    <x v="2"/>
    <x v="2"/>
    <x v="1"/>
  </r>
  <r>
    <x v="2138"/>
    <s v="C1351"/>
    <d v="2024-03-30T02:00:00"/>
    <n v="9411.23"/>
    <x v="0"/>
    <x v="0"/>
    <s v="Food"/>
    <x v="3"/>
    <x v="2"/>
    <s v="Desktop"/>
    <n v="0"/>
    <n v="0"/>
    <x v="914"/>
    <n v="0"/>
    <x v="2"/>
    <x v="2"/>
    <x v="1"/>
  </r>
  <r>
    <x v="2139"/>
    <s v="C1062"/>
    <d v="2024-03-30T03:00:00"/>
    <n v="42915.94"/>
    <x v="3"/>
    <x v="2"/>
    <s v="Electronics"/>
    <x v="4"/>
    <x v="2"/>
    <s v="Mobile"/>
    <n v="0"/>
    <n v="2"/>
    <x v="615"/>
    <n v="1"/>
    <x v="1"/>
    <x v="2"/>
    <x v="0"/>
  </r>
  <r>
    <x v="2140"/>
    <s v="C1135"/>
    <d v="2024-03-30T04:00:00"/>
    <n v="40962.22"/>
    <x v="0"/>
    <x v="1"/>
    <s v="Electronics"/>
    <x v="2"/>
    <x v="4"/>
    <s v="Tablet"/>
    <n v="0"/>
    <n v="3"/>
    <x v="626"/>
    <n v="1"/>
    <x v="1"/>
    <x v="2"/>
    <x v="0"/>
  </r>
  <r>
    <x v="2141"/>
    <s v="C1419"/>
    <d v="2024-03-30T05:00:00"/>
    <n v="27062.65"/>
    <x v="0"/>
    <x v="0"/>
    <s v="Electronics"/>
    <x v="2"/>
    <x v="2"/>
    <s v="Mobile"/>
    <n v="0"/>
    <n v="4"/>
    <x v="179"/>
    <n v="1"/>
    <x v="1"/>
    <x v="2"/>
    <x v="0"/>
  </r>
  <r>
    <x v="2142"/>
    <s v="C1165"/>
    <d v="2024-03-30T06:00:00"/>
    <n v="35526.629999999997"/>
    <x v="0"/>
    <x v="1"/>
    <s v="Travel"/>
    <x v="4"/>
    <x v="1"/>
    <s v="Tablet"/>
    <n v="0"/>
    <n v="3"/>
    <x v="504"/>
    <n v="1"/>
    <x v="1"/>
    <x v="2"/>
    <x v="0"/>
  </r>
  <r>
    <x v="2143"/>
    <s v="C1188"/>
    <d v="2024-03-30T07:00:00"/>
    <n v="15751.79"/>
    <x v="0"/>
    <x v="3"/>
    <s v="Retail"/>
    <x v="4"/>
    <x v="2"/>
    <s v="Mobile"/>
    <n v="0"/>
    <n v="0"/>
    <x v="257"/>
    <n v="0"/>
    <x v="2"/>
    <x v="2"/>
    <x v="1"/>
  </r>
  <r>
    <x v="2144"/>
    <s v="C1258"/>
    <d v="2024-03-30T08:00:00"/>
    <n v="23584.84"/>
    <x v="0"/>
    <x v="3"/>
    <s v="Entertainment"/>
    <x v="1"/>
    <x v="1"/>
    <s v="Mobile"/>
    <n v="1"/>
    <n v="1"/>
    <x v="493"/>
    <n v="1"/>
    <x v="0"/>
    <x v="2"/>
    <x v="0"/>
  </r>
  <r>
    <x v="2145"/>
    <s v="C1482"/>
    <d v="2024-03-30T09:00:00"/>
    <n v="41090.76"/>
    <x v="2"/>
    <x v="2"/>
    <s v="Electronics"/>
    <x v="0"/>
    <x v="3"/>
    <s v="Tablet"/>
    <n v="1"/>
    <n v="2"/>
    <x v="713"/>
    <n v="1"/>
    <x v="1"/>
    <x v="2"/>
    <x v="0"/>
  </r>
  <r>
    <x v="2146"/>
    <s v="C1203"/>
    <d v="2024-03-30T10:00:00"/>
    <n v="22990.3"/>
    <x v="2"/>
    <x v="0"/>
    <s v="Electronics"/>
    <x v="2"/>
    <x v="4"/>
    <s v="Desktop"/>
    <n v="1"/>
    <n v="1"/>
    <x v="704"/>
    <n v="1"/>
    <x v="0"/>
    <x v="2"/>
    <x v="0"/>
  </r>
  <r>
    <x v="2147"/>
    <s v="C1380"/>
    <d v="2024-03-30T11:00:00"/>
    <n v="17922.02"/>
    <x v="1"/>
    <x v="3"/>
    <s v="Electronics"/>
    <x v="2"/>
    <x v="4"/>
    <s v="Desktop"/>
    <n v="1"/>
    <n v="4"/>
    <x v="61"/>
    <n v="1"/>
    <x v="1"/>
    <x v="2"/>
    <x v="0"/>
  </r>
  <r>
    <x v="2148"/>
    <s v="C1432"/>
    <d v="2024-03-30T12:00:00"/>
    <n v="24735.91"/>
    <x v="2"/>
    <x v="3"/>
    <s v="Retail"/>
    <x v="4"/>
    <x v="0"/>
    <s v="Mobile"/>
    <n v="0"/>
    <n v="3"/>
    <x v="444"/>
    <n v="1"/>
    <x v="0"/>
    <x v="2"/>
    <x v="0"/>
  </r>
  <r>
    <x v="2149"/>
    <s v="C1106"/>
    <d v="2024-03-30T13:00:00"/>
    <n v="41421.050000000003"/>
    <x v="1"/>
    <x v="0"/>
    <s v="Food"/>
    <x v="4"/>
    <x v="3"/>
    <s v="Mobile"/>
    <n v="0"/>
    <n v="4"/>
    <x v="856"/>
    <n v="1"/>
    <x v="1"/>
    <x v="2"/>
    <x v="0"/>
  </r>
  <r>
    <x v="2150"/>
    <s v="C1427"/>
    <d v="2024-03-30T14:00:00"/>
    <n v="16793.64"/>
    <x v="1"/>
    <x v="1"/>
    <s v="Travel"/>
    <x v="0"/>
    <x v="1"/>
    <s v="Tablet"/>
    <n v="0"/>
    <n v="1"/>
    <x v="295"/>
    <n v="0"/>
    <x v="2"/>
    <x v="2"/>
    <x v="1"/>
  </r>
  <r>
    <x v="2151"/>
    <s v="C1216"/>
    <d v="2024-03-30T15:00:00"/>
    <n v="8729.39"/>
    <x v="3"/>
    <x v="0"/>
    <s v="Retail"/>
    <x v="4"/>
    <x v="3"/>
    <s v="Tablet"/>
    <n v="0"/>
    <n v="3"/>
    <x v="290"/>
    <n v="1"/>
    <x v="0"/>
    <x v="2"/>
    <x v="0"/>
  </r>
  <r>
    <x v="2152"/>
    <s v="C1417"/>
    <d v="2024-03-30T16:00:00"/>
    <n v="35615.1"/>
    <x v="0"/>
    <x v="1"/>
    <s v="Electronics"/>
    <x v="3"/>
    <x v="4"/>
    <s v="Mobile"/>
    <n v="0"/>
    <n v="4"/>
    <x v="191"/>
    <n v="1"/>
    <x v="1"/>
    <x v="2"/>
    <x v="0"/>
  </r>
  <r>
    <x v="2153"/>
    <s v="C1132"/>
    <d v="2024-03-30T17:00:00"/>
    <n v="41307.61"/>
    <x v="2"/>
    <x v="3"/>
    <s v="Retail"/>
    <x v="3"/>
    <x v="1"/>
    <s v="Tablet"/>
    <n v="0"/>
    <n v="0"/>
    <x v="567"/>
    <n v="1"/>
    <x v="0"/>
    <x v="2"/>
    <x v="0"/>
  </r>
  <r>
    <x v="2154"/>
    <s v="C1260"/>
    <d v="2024-03-30T18:00:00"/>
    <n v="5076.84"/>
    <x v="3"/>
    <x v="3"/>
    <s v="Retail"/>
    <x v="3"/>
    <x v="3"/>
    <s v="Desktop"/>
    <n v="1"/>
    <n v="0"/>
    <x v="915"/>
    <n v="0"/>
    <x v="2"/>
    <x v="2"/>
    <x v="1"/>
  </r>
  <r>
    <x v="2155"/>
    <s v="C1085"/>
    <d v="2024-03-30T19:00:00"/>
    <n v="12031.71"/>
    <x v="2"/>
    <x v="3"/>
    <s v="Retail"/>
    <x v="3"/>
    <x v="4"/>
    <s v="Desktop"/>
    <n v="0"/>
    <n v="2"/>
    <x v="916"/>
    <n v="1"/>
    <x v="0"/>
    <x v="2"/>
    <x v="0"/>
  </r>
  <r>
    <x v="2156"/>
    <s v="C1474"/>
    <d v="2024-03-30T20:00:00"/>
    <n v="7141.5"/>
    <x v="1"/>
    <x v="2"/>
    <s v="Food"/>
    <x v="0"/>
    <x v="1"/>
    <s v="Tablet"/>
    <n v="0"/>
    <n v="0"/>
    <x v="917"/>
    <n v="0"/>
    <x v="2"/>
    <x v="2"/>
    <x v="1"/>
  </r>
  <r>
    <x v="2157"/>
    <s v="C1001"/>
    <d v="2024-03-30T21:00:00"/>
    <n v="17429.669999999998"/>
    <x v="2"/>
    <x v="2"/>
    <s v="Entertainment"/>
    <x v="2"/>
    <x v="1"/>
    <s v="Tablet"/>
    <n v="0"/>
    <n v="0"/>
    <x v="918"/>
    <n v="0"/>
    <x v="2"/>
    <x v="2"/>
    <x v="1"/>
  </r>
  <r>
    <x v="2158"/>
    <s v="C1069"/>
    <d v="2024-03-30T22:00:00"/>
    <n v="22545.03"/>
    <x v="0"/>
    <x v="2"/>
    <s v="Travel"/>
    <x v="3"/>
    <x v="4"/>
    <s v="Tablet"/>
    <n v="0"/>
    <n v="1"/>
    <x v="193"/>
    <n v="0"/>
    <x v="2"/>
    <x v="2"/>
    <x v="1"/>
  </r>
  <r>
    <x v="2159"/>
    <s v="C1472"/>
    <d v="2024-03-30T23:00:00"/>
    <n v="37453.879999999997"/>
    <x v="1"/>
    <x v="0"/>
    <s v="Food"/>
    <x v="4"/>
    <x v="1"/>
    <s v="Desktop"/>
    <n v="0"/>
    <n v="0"/>
    <x v="574"/>
    <n v="0"/>
    <x v="2"/>
    <x v="2"/>
    <x v="1"/>
  </r>
  <r>
    <x v="2160"/>
    <s v="C1256"/>
    <d v="2024-03-31T00:00:00"/>
    <n v="32574.82"/>
    <x v="1"/>
    <x v="3"/>
    <s v="Food"/>
    <x v="3"/>
    <x v="4"/>
    <s v="Mobile"/>
    <n v="0"/>
    <n v="0"/>
    <x v="224"/>
    <n v="0"/>
    <x v="2"/>
    <x v="2"/>
    <x v="1"/>
  </r>
  <r>
    <x v="2161"/>
    <s v="C1041"/>
    <d v="2024-03-31T01:00:00"/>
    <n v="31065.38"/>
    <x v="3"/>
    <x v="3"/>
    <s v="Entertainment"/>
    <x v="0"/>
    <x v="2"/>
    <s v="Tablet"/>
    <n v="0"/>
    <n v="1"/>
    <x v="435"/>
    <n v="1"/>
    <x v="0"/>
    <x v="2"/>
    <x v="0"/>
  </r>
  <r>
    <x v="2162"/>
    <s v="C1107"/>
    <d v="2024-03-31T02:00:00"/>
    <n v="17651.13"/>
    <x v="0"/>
    <x v="0"/>
    <s v="Food"/>
    <x v="4"/>
    <x v="2"/>
    <s v="Tablet"/>
    <n v="0"/>
    <n v="0"/>
    <x v="825"/>
    <n v="0"/>
    <x v="2"/>
    <x v="2"/>
    <x v="1"/>
  </r>
  <r>
    <x v="2163"/>
    <s v="C1489"/>
    <d v="2024-03-31T03:00:00"/>
    <n v="42080.31"/>
    <x v="1"/>
    <x v="2"/>
    <s v="Retail"/>
    <x v="3"/>
    <x v="1"/>
    <s v="Tablet"/>
    <n v="0"/>
    <n v="0"/>
    <x v="741"/>
    <n v="1"/>
    <x v="0"/>
    <x v="2"/>
    <x v="0"/>
  </r>
  <r>
    <x v="2164"/>
    <s v="C1484"/>
    <d v="2024-03-31T04:00:00"/>
    <n v="23590.79"/>
    <x v="0"/>
    <x v="0"/>
    <s v="Retail"/>
    <x v="2"/>
    <x v="1"/>
    <s v="Mobile"/>
    <n v="0"/>
    <n v="2"/>
    <x v="507"/>
    <n v="1"/>
    <x v="0"/>
    <x v="2"/>
    <x v="0"/>
  </r>
  <r>
    <x v="2165"/>
    <s v="C1367"/>
    <d v="2024-03-31T05:00:00"/>
    <n v="48956.29"/>
    <x v="2"/>
    <x v="2"/>
    <s v="Electronics"/>
    <x v="4"/>
    <x v="4"/>
    <s v="Tablet"/>
    <n v="1"/>
    <n v="0"/>
    <x v="663"/>
    <n v="1"/>
    <x v="0"/>
    <x v="2"/>
    <x v="0"/>
  </r>
  <r>
    <x v="2166"/>
    <s v="C1081"/>
    <d v="2024-03-31T06:00:00"/>
    <n v="31725.4"/>
    <x v="0"/>
    <x v="3"/>
    <s v="Food"/>
    <x v="4"/>
    <x v="1"/>
    <s v="Tablet"/>
    <n v="0"/>
    <n v="0"/>
    <x v="428"/>
    <n v="0"/>
    <x v="2"/>
    <x v="2"/>
    <x v="1"/>
  </r>
  <r>
    <x v="2167"/>
    <s v="C1286"/>
    <d v="2024-03-31T07:00:00"/>
    <n v="6356.92"/>
    <x v="1"/>
    <x v="1"/>
    <s v="Electronics"/>
    <x v="2"/>
    <x v="0"/>
    <s v="Desktop"/>
    <n v="1"/>
    <n v="2"/>
    <x v="60"/>
    <n v="1"/>
    <x v="0"/>
    <x v="2"/>
    <x v="0"/>
  </r>
  <r>
    <x v="2168"/>
    <s v="C1453"/>
    <d v="2024-03-31T08:00:00"/>
    <n v="33825.07"/>
    <x v="3"/>
    <x v="2"/>
    <s v="Travel"/>
    <x v="4"/>
    <x v="2"/>
    <s v="Tablet"/>
    <n v="0"/>
    <n v="1"/>
    <x v="66"/>
    <n v="1"/>
    <x v="0"/>
    <x v="2"/>
    <x v="0"/>
  </r>
  <r>
    <x v="2169"/>
    <s v="C1110"/>
    <d v="2024-03-31T09:00:00"/>
    <n v="16288.95"/>
    <x v="1"/>
    <x v="3"/>
    <s v="Retail"/>
    <x v="3"/>
    <x v="1"/>
    <s v="Desktop"/>
    <n v="0"/>
    <n v="0"/>
    <x v="828"/>
    <n v="0"/>
    <x v="2"/>
    <x v="2"/>
    <x v="1"/>
  </r>
  <r>
    <x v="2170"/>
    <s v="C1369"/>
    <d v="2024-03-31T10:00:00"/>
    <n v="34332.04"/>
    <x v="0"/>
    <x v="3"/>
    <s v="Travel"/>
    <x v="4"/>
    <x v="1"/>
    <s v="Mobile"/>
    <n v="0"/>
    <n v="4"/>
    <x v="180"/>
    <n v="1"/>
    <x v="1"/>
    <x v="2"/>
    <x v="0"/>
  </r>
  <r>
    <x v="2171"/>
    <s v="C1116"/>
    <d v="2024-03-31T11:00:00"/>
    <n v="3528.58"/>
    <x v="0"/>
    <x v="1"/>
    <s v="Entertainment"/>
    <x v="3"/>
    <x v="3"/>
    <s v="Tablet"/>
    <n v="0"/>
    <n v="1"/>
    <x v="225"/>
    <n v="0"/>
    <x v="2"/>
    <x v="2"/>
    <x v="1"/>
  </r>
  <r>
    <x v="2172"/>
    <s v="C1189"/>
    <d v="2024-03-31T12:00:00"/>
    <n v="8785.33"/>
    <x v="1"/>
    <x v="3"/>
    <s v="Retail"/>
    <x v="2"/>
    <x v="1"/>
    <s v="Tablet"/>
    <n v="0"/>
    <n v="1"/>
    <x v="631"/>
    <n v="0"/>
    <x v="2"/>
    <x v="2"/>
    <x v="1"/>
  </r>
  <r>
    <x v="2173"/>
    <s v="C1156"/>
    <d v="2024-03-31T13:00:00"/>
    <n v="42794.080000000002"/>
    <x v="0"/>
    <x v="3"/>
    <s v="Travel"/>
    <x v="1"/>
    <x v="0"/>
    <s v="Desktop"/>
    <n v="0"/>
    <n v="0"/>
    <x v="737"/>
    <n v="1"/>
    <x v="0"/>
    <x v="2"/>
    <x v="0"/>
  </r>
  <r>
    <x v="2174"/>
    <s v="C1447"/>
    <d v="2024-03-31T14:00:00"/>
    <n v="11397.62"/>
    <x v="2"/>
    <x v="2"/>
    <s v="Entertainment"/>
    <x v="2"/>
    <x v="2"/>
    <s v="Mobile"/>
    <n v="1"/>
    <n v="2"/>
    <x v="401"/>
    <n v="1"/>
    <x v="0"/>
    <x v="2"/>
    <x v="0"/>
  </r>
  <r>
    <x v="2175"/>
    <s v="C1039"/>
    <d v="2024-03-31T15:00:00"/>
    <n v="41860.199999999997"/>
    <x v="1"/>
    <x v="2"/>
    <s v="Travel"/>
    <x v="3"/>
    <x v="3"/>
    <s v="Mobile"/>
    <n v="0"/>
    <n v="1"/>
    <x v="146"/>
    <n v="1"/>
    <x v="0"/>
    <x v="2"/>
    <x v="0"/>
  </r>
  <r>
    <x v="2176"/>
    <s v="C1476"/>
    <d v="2024-03-31T16:00:00"/>
    <n v="13999.84"/>
    <x v="3"/>
    <x v="1"/>
    <s v="Entertainment"/>
    <x v="0"/>
    <x v="4"/>
    <s v="Desktop"/>
    <n v="0"/>
    <n v="2"/>
    <x v="278"/>
    <n v="1"/>
    <x v="0"/>
    <x v="2"/>
    <x v="0"/>
  </r>
  <r>
    <x v="2177"/>
    <s v="C1063"/>
    <d v="2024-03-31T17:00:00"/>
    <n v="32161.95"/>
    <x v="1"/>
    <x v="1"/>
    <s v="Entertainment"/>
    <x v="2"/>
    <x v="4"/>
    <s v="Mobile"/>
    <n v="0"/>
    <n v="4"/>
    <x v="649"/>
    <n v="1"/>
    <x v="1"/>
    <x v="2"/>
    <x v="0"/>
  </r>
  <r>
    <x v="2178"/>
    <s v="C1324"/>
    <d v="2024-03-31T18:00:00"/>
    <n v="34722.82"/>
    <x v="2"/>
    <x v="3"/>
    <s v="Retail"/>
    <x v="0"/>
    <x v="2"/>
    <s v="Mobile"/>
    <n v="0"/>
    <n v="2"/>
    <x v="766"/>
    <n v="1"/>
    <x v="0"/>
    <x v="2"/>
    <x v="0"/>
  </r>
  <r>
    <x v="2179"/>
    <s v="C1271"/>
    <d v="2024-03-31T19:00:00"/>
    <n v="25657.1"/>
    <x v="2"/>
    <x v="2"/>
    <s v="Electronics"/>
    <x v="0"/>
    <x v="4"/>
    <s v="Mobile"/>
    <n v="0"/>
    <n v="3"/>
    <x v="515"/>
    <n v="1"/>
    <x v="1"/>
    <x v="2"/>
    <x v="0"/>
  </r>
  <r>
    <x v="2180"/>
    <s v="C1481"/>
    <d v="2024-03-31T20:00:00"/>
    <n v="15300.27"/>
    <x v="2"/>
    <x v="1"/>
    <s v="Entertainment"/>
    <x v="3"/>
    <x v="0"/>
    <s v="Mobile"/>
    <n v="0"/>
    <n v="2"/>
    <x v="34"/>
    <n v="1"/>
    <x v="0"/>
    <x v="2"/>
    <x v="0"/>
  </r>
  <r>
    <x v="2181"/>
    <s v="C1038"/>
    <d v="2024-03-31T21:00:00"/>
    <n v="10671.59"/>
    <x v="2"/>
    <x v="1"/>
    <s v="Entertainment"/>
    <x v="3"/>
    <x v="1"/>
    <s v="Mobile"/>
    <n v="0"/>
    <n v="1"/>
    <x v="27"/>
    <n v="0"/>
    <x v="2"/>
    <x v="2"/>
    <x v="1"/>
  </r>
  <r>
    <x v="2182"/>
    <s v="C1322"/>
    <d v="2024-03-31T22:00:00"/>
    <n v="1707.81"/>
    <x v="2"/>
    <x v="0"/>
    <s v="Retail"/>
    <x v="1"/>
    <x v="2"/>
    <s v="Mobile"/>
    <n v="0"/>
    <n v="2"/>
    <x v="919"/>
    <n v="0"/>
    <x v="2"/>
    <x v="2"/>
    <x v="1"/>
  </r>
  <r>
    <x v="2183"/>
    <s v="C1209"/>
    <d v="2024-03-31T23:00:00"/>
    <n v="15232.12"/>
    <x v="3"/>
    <x v="1"/>
    <s v="Electronics"/>
    <x v="4"/>
    <x v="3"/>
    <s v="Mobile"/>
    <n v="0"/>
    <n v="2"/>
    <x v="205"/>
    <n v="1"/>
    <x v="0"/>
    <x v="2"/>
    <x v="0"/>
  </r>
  <r>
    <x v="2184"/>
    <s v="C1101"/>
    <d v="2024-04-01T00:00:00"/>
    <n v="32675.48"/>
    <x v="0"/>
    <x v="3"/>
    <s v="Food"/>
    <x v="2"/>
    <x v="1"/>
    <s v="Mobile"/>
    <n v="0"/>
    <n v="3"/>
    <x v="920"/>
    <n v="1"/>
    <x v="1"/>
    <x v="3"/>
    <x v="0"/>
  </r>
  <r>
    <x v="2185"/>
    <s v="C1489"/>
    <d v="2024-04-01T01:00:00"/>
    <n v="46918.33"/>
    <x v="2"/>
    <x v="2"/>
    <s v="Food"/>
    <x v="3"/>
    <x v="4"/>
    <s v="Tablet"/>
    <n v="0"/>
    <n v="3"/>
    <x v="407"/>
    <n v="1"/>
    <x v="1"/>
    <x v="3"/>
    <x v="0"/>
  </r>
  <r>
    <x v="2186"/>
    <s v="C1216"/>
    <d v="2024-04-01T02:00:00"/>
    <n v="43566.66"/>
    <x v="2"/>
    <x v="1"/>
    <s v="Electronics"/>
    <x v="2"/>
    <x v="4"/>
    <s v="Desktop"/>
    <n v="0"/>
    <n v="0"/>
    <x v="921"/>
    <n v="1"/>
    <x v="0"/>
    <x v="3"/>
    <x v="0"/>
  </r>
  <r>
    <x v="2187"/>
    <s v="C1248"/>
    <d v="2024-04-01T03:00:00"/>
    <n v="38314.94"/>
    <x v="1"/>
    <x v="0"/>
    <s v="Travel"/>
    <x v="0"/>
    <x v="3"/>
    <s v="Mobile"/>
    <n v="0"/>
    <n v="1"/>
    <x v="31"/>
    <n v="1"/>
    <x v="0"/>
    <x v="3"/>
    <x v="0"/>
  </r>
  <r>
    <x v="2188"/>
    <s v="C1354"/>
    <d v="2024-04-01T04:00:00"/>
    <n v="39432.94"/>
    <x v="3"/>
    <x v="2"/>
    <s v="Retail"/>
    <x v="4"/>
    <x v="0"/>
    <s v="Desktop"/>
    <n v="0"/>
    <n v="0"/>
    <x v="531"/>
    <n v="0"/>
    <x v="2"/>
    <x v="3"/>
    <x v="1"/>
  </r>
  <r>
    <x v="2189"/>
    <s v="C1282"/>
    <d v="2024-04-01T05:00:00"/>
    <n v="33266"/>
    <x v="3"/>
    <x v="1"/>
    <s v="Electronics"/>
    <x v="1"/>
    <x v="3"/>
    <s v="Mobile"/>
    <n v="0"/>
    <n v="3"/>
    <x v="399"/>
    <n v="1"/>
    <x v="1"/>
    <x v="3"/>
    <x v="0"/>
  </r>
  <r>
    <x v="2190"/>
    <s v="C1297"/>
    <d v="2024-04-01T06:00:00"/>
    <n v="13051.33"/>
    <x v="0"/>
    <x v="0"/>
    <s v="Food"/>
    <x v="2"/>
    <x v="2"/>
    <s v="Mobile"/>
    <n v="0"/>
    <n v="2"/>
    <x v="922"/>
    <n v="0"/>
    <x v="2"/>
    <x v="3"/>
    <x v="1"/>
  </r>
  <r>
    <x v="2191"/>
    <s v="C1023"/>
    <d v="2024-04-01T07:00:00"/>
    <n v="45364.39"/>
    <x v="3"/>
    <x v="1"/>
    <s v="Entertainment"/>
    <x v="4"/>
    <x v="3"/>
    <s v="Tablet"/>
    <n v="0"/>
    <n v="3"/>
    <x v="701"/>
    <n v="1"/>
    <x v="1"/>
    <x v="3"/>
    <x v="0"/>
  </r>
  <r>
    <x v="2192"/>
    <s v="C1142"/>
    <d v="2024-04-01T08:00:00"/>
    <n v="33553.08"/>
    <x v="1"/>
    <x v="2"/>
    <s v="Food"/>
    <x v="1"/>
    <x v="4"/>
    <s v="Desktop"/>
    <n v="0"/>
    <n v="4"/>
    <x v="73"/>
    <n v="1"/>
    <x v="1"/>
    <x v="3"/>
    <x v="0"/>
  </r>
  <r>
    <x v="2193"/>
    <s v="C1012"/>
    <d v="2024-04-01T09:00:00"/>
    <n v="28044.01"/>
    <x v="1"/>
    <x v="2"/>
    <s v="Entertainment"/>
    <x v="2"/>
    <x v="0"/>
    <s v="Desktop"/>
    <n v="0"/>
    <n v="2"/>
    <x v="704"/>
    <n v="1"/>
    <x v="0"/>
    <x v="3"/>
    <x v="0"/>
  </r>
  <r>
    <x v="2194"/>
    <s v="C1399"/>
    <d v="2024-04-01T10:00:00"/>
    <n v="5593.92"/>
    <x v="0"/>
    <x v="2"/>
    <s v="Retail"/>
    <x v="4"/>
    <x v="0"/>
    <s v="Tablet"/>
    <n v="0"/>
    <n v="0"/>
    <x v="923"/>
    <n v="0"/>
    <x v="2"/>
    <x v="3"/>
    <x v="1"/>
  </r>
  <r>
    <x v="2195"/>
    <s v="C1435"/>
    <d v="2024-04-01T11:00:00"/>
    <n v="22380.42"/>
    <x v="1"/>
    <x v="3"/>
    <s v="Entertainment"/>
    <x v="3"/>
    <x v="3"/>
    <s v="Tablet"/>
    <n v="0"/>
    <n v="2"/>
    <x v="636"/>
    <n v="1"/>
    <x v="0"/>
    <x v="3"/>
    <x v="0"/>
  </r>
  <r>
    <x v="2196"/>
    <s v="C1060"/>
    <d v="2024-04-01T12:00:00"/>
    <n v="23044.9"/>
    <x v="2"/>
    <x v="1"/>
    <s v="Electronics"/>
    <x v="2"/>
    <x v="2"/>
    <s v="Desktop"/>
    <n v="0"/>
    <n v="4"/>
    <x v="924"/>
    <n v="1"/>
    <x v="1"/>
    <x v="3"/>
    <x v="0"/>
  </r>
  <r>
    <x v="2197"/>
    <s v="C1077"/>
    <d v="2024-04-01T13:00:00"/>
    <n v="43234.95"/>
    <x v="2"/>
    <x v="3"/>
    <s v="Entertainment"/>
    <x v="4"/>
    <x v="4"/>
    <s v="Mobile"/>
    <n v="0"/>
    <n v="3"/>
    <x v="729"/>
    <n v="1"/>
    <x v="1"/>
    <x v="3"/>
    <x v="0"/>
  </r>
  <r>
    <x v="2198"/>
    <s v="C1003"/>
    <d v="2024-04-01T14:00:00"/>
    <n v="27355.08"/>
    <x v="1"/>
    <x v="2"/>
    <s v="Travel"/>
    <x v="1"/>
    <x v="1"/>
    <s v="Mobile"/>
    <n v="0"/>
    <n v="1"/>
    <x v="636"/>
    <n v="1"/>
    <x v="0"/>
    <x v="3"/>
    <x v="0"/>
  </r>
  <r>
    <x v="2199"/>
    <s v="C1302"/>
    <d v="2024-04-01T15:00:00"/>
    <n v="19051.009999999998"/>
    <x v="0"/>
    <x v="0"/>
    <s v="Electronics"/>
    <x v="4"/>
    <x v="0"/>
    <s v="Desktop"/>
    <n v="0"/>
    <n v="1"/>
    <x v="317"/>
    <n v="0"/>
    <x v="2"/>
    <x v="3"/>
    <x v="1"/>
  </r>
  <r>
    <x v="2200"/>
    <s v="C1209"/>
    <d v="2024-04-01T16:00:00"/>
    <n v="48841.18"/>
    <x v="3"/>
    <x v="1"/>
    <s v="Retail"/>
    <x v="3"/>
    <x v="3"/>
    <s v="Mobile"/>
    <n v="0"/>
    <n v="1"/>
    <x v="297"/>
    <n v="1"/>
    <x v="0"/>
    <x v="3"/>
    <x v="0"/>
  </r>
  <r>
    <x v="2201"/>
    <s v="C1029"/>
    <d v="2024-04-01T17:00:00"/>
    <n v="5580.49"/>
    <x v="0"/>
    <x v="3"/>
    <s v="Electronics"/>
    <x v="2"/>
    <x v="2"/>
    <s v="Tablet"/>
    <n v="0"/>
    <n v="3"/>
    <x v="120"/>
    <n v="1"/>
    <x v="0"/>
    <x v="3"/>
    <x v="0"/>
  </r>
  <r>
    <x v="2202"/>
    <s v="C1480"/>
    <d v="2024-04-01T18:00:00"/>
    <n v="21156.29"/>
    <x v="3"/>
    <x v="1"/>
    <s v="Travel"/>
    <x v="2"/>
    <x v="2"/>
    <s v="Tablet"/>
    <n v="0"/>
    <n v="1"/>
    <x v="550"/>
    <n v="0"/>
    <x v="2"/>
    <x v="3"/>
    <x v="1"/>
  </r>
  <r>
    <x v="2203"/>
    <s v="C1016"/>
    <d v="2024-04-01T19:00:00"/>
    <n v="2149.13"/>
    <x v="1"/>
    <x v="0"/>
    <s v="Retail"/>
    <x v="2"/>
    <x v="4"/>
    <s v="Tablet"/>
    <n v="0"/>
    <n v="4"/>
    <x v="235"/>
    <n v="1"/>
    <x v="0"/>
    <x v="3"/>
    <x v="0"/>
  </r>
  <r>
    <x v="2204"/>
    <s v="C1428"/>
    <d v="2024-04-01T20:00:00"/>
    <n v="37008.21"/>
    <x v="1"/>
    <x v="3"/>
    <s v="Food"/>
    <x v="3"/>
    <x v="0"/>
    <s v="Desktop"/>
    <n v="0"/>
    <n v="3"/>
    <x v="37"/>
    <n v="1"/>
    <x v="1"/>
    <x v="3"/>
    <x v="0"/>
  </r>
  <r>
    <x v="2205"/>
    <s v="C1422"/>
    <d v="2024-04-01T21:00:00"/>
    <n v="45907.92"/>
    <x v="2"/>
    <x v="2"/>
    <s v="Travel"/>
    <x v="1"/>
    <x v="4"/>
    <s v="Desktop"/>
    <n v="0"/>
    <n v="1"/>
    <x v="113"/>
    <n v="1"/>
    <x v="0"/>
    <x v="3"/>
    <x v="0"/>
  </r>
  <r>
    <x v="2206"/>
    <s v="C1310"/>
    <d v="2024-04-01T22:00:00"/>
    <n v="14037.86"/>
    <x v="3"/>
    <x v="3"/>
    <s v="Retail"/>
    <x v="2"/>
    <x v="1"/>
    <s v="Desktop"/>
    <n v="0"/>
    <n v="0"/>
    <x v="925"/>
    <n v="0"/>
    <x v="2"/>
    <x v="3"/>
    <x v="1"/>
  </r>
  <r>
    <x v="2207"/>
    <s v="C1289"/>
    <d v="2024-04-01T23:00:00"/>
    <n v="42924.17"/>
    <x v="0"/>
    <x v="1"/>
    <s v="Entertainment"/>
    <x v="1"/>
    <x v="1"/>
    <s v="Mobile"/>
    <n v="0"/>
    <n v="3"/>
    <x v="492"/>
    <n v="1"/>
    <x v="1"/>
    <x v="3"/>
    <x v="0"/>
  </r>
  <r>
    <x v="2208"/>
    <s v="C1448"/>
    <d v="2024-04-02T00:00:00"/>
    <n v="14646.3"/>
    <x v="1"/>
    <x v="1"/>
    <s v="Electronics"/>
    <x v="4"/>
    <x v="1"/>
    <s v="Desktop"/>
    <n v="0"/>
    <n v="3"/>
    <x v="161"/>
    <n v="1"/>
    <x v="0"/>
    <x v="3"/>
    <x v="0"/>
  </r>
  <r>
    <x v="2209"/>
    <s v="C1062"/>
    <d v="2024-04-02T01:00:00"/>
    <n v="45542.97"/>
    <x v="0"/>
    <x v="1"/>
    <s v="Retail"/>
    <x v="1"/>
    <x v="2"/>
    <s v="Desktop"/>
    <n v="0"/>
    <n v="2"/>
    <x v="403"/>
    <n v="1"/>
    <x v="1"/>
    <x v="3"/>
    <x v="0"/>
  </r>
  <r>
    <x v="2210"/>
    <s v="C1006"/>
    <d v="2024-04-02T02:00:00"/>
    <n v="37710.400000000001"/>
    <x v="2"/>
    <x v="1"/>
    <s v="Electronics"/>
    <x v="1"/>
    <x v="0"/>
    <s v="Tablet"/>
    <n v="0"/>
    <n v="1"/>
    <x v="548"/>
    <n v="1"/>
    <x v="0"/>
    <x v="3"/>
    <x v="0"/>
  </r>
  <r>
    <x v="2211"/>
    <s v="C1276"/>
    <d v="2024-04-02T03:00:00"/>
    <n v="40255.089999999997"/>
    <x v="3"/>
    <x v="2"/>
    <s v="Entertainment"/>
    <x v="2"/>
    <x v="4"/>
    <s v="Mobile"/>
    <n v="0"/>
    <n v="0"/>
    <x v="642"/>
    <n v="1"/>
    <x v="0"/>
    <x v="3"/>
    <x v="0"/>
  </r>
  <r>
    <x v="2212"/>
    <s v="C1199"/>
    <d v="2024-04-02T04:00:00"/>
    <n v="949.43"/>
    <x v="3"/>
    <x v="3"/>
    <s v="Retail"/>
    <x v="0"/>
    <x v="4"/>
    <s v="Mobile"/>
    <n v="1"/>
    <n v="4"/>
    <x v="667"/>
    <n v="1"/>
    <x v="1"/>
    <x v="3"/>
    <x v="0"/>
  </r>
  <r>
    <x v="2213"/>
    <s v="C1432"/>
    <d v="2024-04-02T05:00:00"/>
    <n v="48142.38"/>
    <x v="1"/>
    <x v="2"/>
    <s v="Food"/>
    <x v="0"/>
    <x v="1"/>
    <s v="Tablet"/>
    <n v="0"/>
    <n v="3"/>
    <x v="425"/>
    <n v="1"/>
    <x v="1"/>
    <x v="3"/>
    <x v="0"/>
  </r>
  <r>
    <x v="2214"/>
    <s v="C1033"/>
    <d v="2024-04-02T06:00:00"/>
    <n v="36347.22"/>
    <x v="3"/>
    <x v="2"/>
    <s v="Travel"/>
    <x v="3"/>
    <x v="0"/>
    <s v="Mobile"/>
    <n v="0"/>
    <n v="4"/>
    <x v="926"/>
    <n v="1"/>
    <x v="1"/>
    <x v="3"/>
    <x v="0"/>
  </r>
  <r>
    <x v="2215"/>
    <s v="C1441"/>
    <d v="2024-04-02T07:00:00"/>
    <n v="15272.32"/>
    <x v="1"/>
    <x v="2"/>
    <s v="Retail"/>
    <x v="3"/>
    <x v="0"/>
    <s v="Desktop"/>
    <n v="0"/>
    <n v="4"/>
    <x v="601"/>
    <n v="1"/>
    <x v="1"/>
    <x v="3"/>
    <x v="0"/>
  </r>
  <r>
    <x v="2216"/>
    <s v="C1477"/>
    <d v="2024-04-02T08:00:00"/>
    <n v="41478.26"/>
    <x v="2"/>
    <x v="1"/>
    <s v="Entertainment"/>
    <x v="0"/>
    <x v="3"/>
    <s v="Mobile"/>
    <n v="0"/>
    <n v="4"/>
    <x v="773"/>
    <n v="1"/>
    <x v="1"/>
    <x v="3"/>
    <x v="0"/>
  </r>
  <r>
    <x v="2217"/>
    <s v="C1354"/>
    <d v="2024-04-02T09:00:00"/>
    <n v="14111.98"/>
    <x v="3"/>
    <x v="1"/>
    <s v="Retail"/>
    <x v="4"/>
    <x v="0"/>
    <s v="Tablet"/>
    <n v="0"/>
    <n v="2"/>
    <x v="910"/>
    <n v="1"/>
    <x v="0"/>
    <x v="3"/>
    <x v="0"/>
  </r>
  <r>
    <x v="2218"/>
    <s v="C1056"/>
    <d v="2024-04-02T10:00:00"/>
    <n v="43644.05"/>
    <x v="1"/>
    <x v="1"/>
    <s v="Electronics"/>
    <x v="2"/>
    <x v="0"/>
    <s v="Mobile"/>
    <n v="0"/>
    <n v="4"/>
    <x v="546"/>
    <n v="1"/>
    <x v="1"/>
    <x v="3"/>
    <x v="0"/>
  </r>
  <r>
    <x v="2219"/>
    <s v="C1188"/>
    <d v="2024-04-02T11:00:00"/>
    <n v="5673.39"/>
    <x v="0"/>
    <x v="3"/>
    <s v="Retail"/>
    <x v="2"/>
    <x v="4"/>
    <s v="Tablet"/>
    <n v="0"/>
    <n v="1"/>
    <x v="323"/>
    <n v="0"/>
    <x v="2"/>
    <x v="3"/>
    <x v="1"/>
  </r>
  <r>
    <x v="2220"/>
    <s v="C1419"/>
    <d v="2024-04-02T12:00:00"/>
    <n v="35199.11"/>
    <x v="1"/>
    <x v="0"/>
    <s v="Food"/>
    <x v="4"/>
    <x v="0"/>
    <s v="Desktop"/>
    <n v="1"/>
    <n v="1"/>
    <x v="785"/>
    <n v="1"/>
    <x v="1"/>
    <x v="3"/>
    <x v="0"/>
  </r>
  <r>
    <x v="2221"/>
    <s v="C1419"/>
    <d v="2024-04-02T13:00:00"/>
    <n v="27057.89"/>
    <x v="3"/>
    <x v="1"/>
    <s v="Retail"/>
    <x v="4"/>
    <x v="0"/>
    <s v="Desktop"/>
    <n v="0"/>
    <n v="0"/>
    <x v="261"/>
    <n v="0"/>
    <x v="2"/>
    <x v="3"/>
    <x v="1"/>
  </r>
  <r>
    <x v="2222"/>
    <s v="C1327"/>
    <d v="2024-04-02T14:00:00"/>
    <n v="4871.8999999999996"/>
    <x v="2"/>
    <x v="3"/>
    <s v="Travel"/>
    <x v="0"/>
    <x v="4"/>
    <s v="Tablet"/>
    <n v="0"/>
    <n v="0"/>
    <x v="927"/>
    <n v="0"/>
    <x v="2"/>
    <x v="3"/>
    <x v="1"/>
  </r>
  <r>
    <x v="2223"/>
    <s v="C1327"/>
    <d v="2024-04-02T15:00:00"/>
    <n v="12132.6"/>
    <x v="3"/>
    <x v="1"/>
    <s v="Retail"/>
    <x v="3"/>
    <x v="0"/>
    <s v="Desktop"/>
    <n v="0"/>
    <n v="4"/>
    <x v="749"/>
    <n v="1"/>
    <x v="1"/>
    <x v="3"/>
    <x v="0"/>
  </r>
  <r>
    <x v="2224"/>
    <s v="C1045"/>
    <d v="2024-04-02T16:00:00"/>
    <n v="669.58"/>
    <x v="3"/>
    <x v="1"/>
    <s v="Electronics"/>
    <x v="4"/>
    <x v="4"/>
    <s v="Desktop"/>
    <n v="0"/>
    <n v="4"/>
    <x v="13"/>
    <n v="1"/>
    <x v="0"/>
    <x v="3"/>
    <x v="0"/>
  </r>
  <r>
    <x v="2225"/>
    <s v="C1453"/>
    <d v="2024-04-02T17:00:00"/>
    <n v="23464.959999999999"/>
    <x v="1"/>
    <x v="2"/>
    <s v="Retail"/>
    <x v="3"/>
    <x v="3"/>
    <s v="Mobile"/>
    <n v="0"/>
    <n v="2"/>
    <x v="445"/>
    <n v="1"/>
    <x v="0"/>
    <x v="3"/>
    <x v="0"/>
  </r>
  <r>
    <x v="2226"/>
    <s v="C1118"/>
    <d v="2024-04-02T18:00:00"/>
    <n v="15098.2"/>
    <x v="0"/>
    <x v="2"/>
    <s v="Food"/>
    <x v="1"/>
    <x v="2"/>
    <s v="Desktop"/>
    <n v="0"/>
    <n v="4"/>
    <x v="380"/>
    <n v="1"/>
    <x v="1"/>
    <x v="3"/>
    <x v="0"/>
  </r>
  <r>
    <x v="2227"/>
    <s v="C1218"/>
    <d v="2024-04-02T19:00:00"/>
    <n v="29937.96"/>
    <x v="3"/>
    <x v="2"/>
    <s v="Entertainment"/>
    <x v="2"/>
    <x v="4"/>
    <s v="Tablet"/>
    <n v="0"/>
    <n v="4"/>
    <x v="660"/>
    <n v="1"/>
    <x v="1"/>
    <x v="3"/>
    <x v="0"/>
  </r>
  <r>
    <x v="2228"/>
    <s v="C1309"/>
    <d v="2024-04-02T20:00:00"/>
    <n v="14897.03"/>
    <x v="0"/>
    <x v="3"/>
    <s v="Retail"/>
    <x v="0"/>
    <x v="4"/>
    <s v="Desktop"/>
    <n v="0"/>
    <n v="4"/>
    <x v="182"/>
    <n v="1"/>
    <x v="1"/>
    <x v="3"/>
    <x v="0"/>
  </r>
  <r>
    <x v="2229"/>
    <s v="C1129"/>
    <d v="2024-04-02T21:00:00"/>
    <n v="15030.96"/>
    <x v="1"/>
    <x v="0"/>
    <s v="Retail"/>
    <x v="2"/>
    <x v="0"/>
    <s v="Mobile"/>
    <n v="0"/>
    <n v="3"/>
    <x v="613"/>
    <n v="1"/>
    <x v="0"/>
    <x v="3"/>
    <x v="0"/>
  </r>
  <r>
    <x v="2230"/>
    <s v="C1471"/>
    <d v="2024-04-02T22:00:00"/>
    <n v="37172.5"/>
    <x v="0"/>
    <x v="0"/>
    <s v="Travel"/>
    <x v="0"/>
    <x v="4"/>
    <s v="Tablet"/>
    <n v="0"/>
    <n v="3"/>
    <x v="928"/>
    <n v="1"/>
    <x v="1"/>
    <x v="3"/>
    <x v="0"/>
  </r>
  <r>
    <x v="2231"/>
    <s v="C1121"/>
    <d v="2024-04-02T23:00:00"/>
    <n v="2454.73"/>
    <x v="1"/>
    <x v="3"/>
    <s v="Food"/>
    <x v="1"/>
    <x v="1"/>
    <s v="Desktop"/>
    <n v="0"/>
    <n v="2"/>
    <x v="775"/>
    <n v="0"/>
    <x v="2"/>
    <x v="3"/>
    <x v="1"/>
  </r>
  <r>
    <x v="2232"/>
    <s v="C1100"/>
    <d v="2024-04-03T00:00:00"/>
    <n v="45149.61"/>
    <x v="2"/>
    <x v="1"/>
    <s v="Entertainment"/>
    <x v="2"/>
    <x v="1"/>
    <s v="Desktop"/>
    <n v="0"/>
    <n v="2"/>
    <x v="380"/>
    <n v="1"/>
    <x v="1"/>
    <x v="3"/>
    <x v="0"/>
  </r>
  <r>
    <x v="2233"/>
    <s v="C1123"/>
    <d v="2024-04-03T01:00:00"/>
    <n v="42620.58"/>
    <x v="0"/>
    <x v="3"/>
    <s v="Electronics"/>
    <x v="1"/>
    <x v="3"/>
    <s v="Desktop"/>
    <n v="0"/>
    <n v="1"/>
    <x v="692"/>
    <n v="1"/>
    <x v="0"/>
    <x v="3"/>
    <x v="0"/>
  </r>
  <r>
    <x v="2234"/>
    <s v="C1500"/>
    <d v="2024-04-03T02:00:00"/>
    <n v="33406.839999999997"/>
    <x v="0"/>
    <x v="1"/>
    <s v="Retail"/>
    <x v="0"/>
    <x v="4"/>
    <s v="Tablet"/>
    <n v="0"/>
    <n v="2"/>
    <x v="443"/>
    <n v="1"/>
    <x v="0"/>
    <x v="3"/>
    <x v="0"/>
  </r>
  <r>
    <x v="2235"/>
    <s v="C1429"/>
    <d v="2024-04-03T03:00:00"/>
    <n v="29681.42"/>
    <x v="2"/>
    <x v="3"/>
    <s v="Entertainment"/>
    <x v="4"/>
    <x v="0"/>
    <s v="Mobile"/>
    <n v="0"/>
    <n v="1"/>
    <x v="602"/>
    <n v="1"/>
    <x v="0"/>
    <x v="3"/>
    <x v="0"/>
  </r>
  <r>
    <x v="2236"/>
    <s v="C1481"/>
    <d v="2024-04-03T04:00:00"/>
    <n v="44620.51"/>
    <x v="0"/>
    <x v="3"/>
    <s v="Electronics"/>
    <x v="2"/>
    <x v="0"/>
    <s v="Tablet"/>
    <n v="0"/>
    <n v="4"/>
    <x v="929"/>
    <n v="1"/>
    <x v="1"/>
    <x v="3"/>
    <x v="0"/>
  </r>
  <r>
    <x v="2237"/>
    <s v="C1258"/>
    <d v="2024-04-03T05:00:00"/>
    <n v="9307.24"/>
    <x v="2"/>
    <x v="3"/>
    <s v="Food"/>
    <x v="1"/>
    <x v="2"/>
    <s v="Tablet"/>
    <n v="0"/>
    <n v="2"/>
    <x v="25"/>
    <n v="0"/>
    <x v="2"/>
    <x v="3"/>
    <x v="1"/>
  </r>
  <r>
    <x v="2238"/>
    <s v="C1441"/>
    <d v="2024-04-03T06:00:00"/>
    <n v="3994.51"/>
    <x v="3"/>
    <x v="0"/>
    <s v="Food"/>
    <x v="2"/>
    <x v="3"/>
    <s v="Mobile"/>
    <n v="0"/>
    <n v="2"/>
    <x v="446"/>
    <n v="0"/>
    <x v="2"/>
    <x v="3"/>
    <x v="1"/>
  </r>
  <r>
    <x v="2239"/>
    <s v="C1475"/>
    <d v="2024-04-03T07:00:00"/>
    <n v="12013.53"/>
    <x v="1"/>
    <x v="2"/>
    <s v="Entertainment"/>
    <x v="2"/>
    <x v="0"/>
    <s v="Tablet"/>
    <n v="0"/>
    <n v="2"/>
    <x v="916"/>
    <n v="1"/>
    <x v="0"/>
    <x v="3"/>
    <x v="0"/>
  </r>
  <r>
    <x v="2240"/>
    <s v="C1273"/>
    <d v="2024-04-03T08:00:00"/>
    <n v="39739.19"/>
    <x v="2"/>
    <x v="3"/>
    <s v="Electronics"/>
    <x v="2"/>
    <x v="2"/>
    <s v="Tablet"/>
    <n v="0"/>
    <n v="1"/>
    <x v="602"/>
    <n v="1"/>
    <x v="0"/>
    <x v="3"/>
    <x v="0"/>
  </r>
  <r>
    <x v="2241"/>
    <s v="C1479"/>
    <d v="2024-04-03T09:00:00"/>
    <n v="1781.78"/>
    <x v="0"/>
    <x v="0"/>
    <s v="Food"/>
    <x v="3"/>
    <x v="0"/>
    <s v="Desktop"/>
    <n v="0"/>
    <n v="1"/>
    <x v="770"/>
    <n v="0"/>
    <x v="2"/>
    <x v="3"/>
    <x v="1"/>
  </r>
  <r>
    <x v="2242"/>
    <s v="C1237"/>
    <d v="2024-04-03T10:00:00"/>
    <n v="29161.200000000001"/>
    <x v="2"/>
    <x v="2"/>
    <s v="Entertainment"/>
    <x v="1"/>
    <x v="2"/>
    <s v="Tablet"/>
    <n v="1"/>
    <n v="0"/>
    <x v="930"/>
    <n v="1"/>
    <x v="0"/>
    <x v="3"/>
    <x v="0"/>
  </r>
  <r>
    <x v="2243"/>
    <s v="C1089"/>
    <d v="2024-04-03T11:00:00"/>
    <n v="49772.1"/>
    <x v="0"/>
    <x v="2"/>
    <s v="Food"/>
    <x v="1"/>
    <x v="1"/>
    <s v="Desktop"/>
    <n v="0"/>
    <n v="1"/>
    <x v="112"/>
    <n v="1"/>
    <x v="0"/>
    <x v="3"/>
    <x v="0"/>
  </r>
  <r>
    <x v="2244"/>
    <s v="C1497"/>
    <d v="2024-04-03T12:00:00"/>
    <n v="42792.02"/>
    <x v="3"/>
    <x v="3"/>
    <s v="Food"/>
    <x v="2"/>
    <x v="1"/>
    <s v="Tablet"/>
    <n v="0"/>
    <n v="1"/>
    <x v="587"/>
    <n v="1"/>
    <x v="0"/>
    <x v="3"/>
    <x v="0"/>
  </r>
  <r>
    <x v="2245"/>
    <s v="C1208"/>
    <d v="2024-04-03T13:00:00"/>
    <n v="26096.21"/>
    <x v="2"/>
    <x v="1"/>
    <s v="Food"/>
    <x v="4"/>
    <x v="0"/>
    <s v="Desktop"/>
    <n v="0"/>
    <n v="3"/>
    <x v="449"/>
    <n v="1"/>
    <x v="1"/>
    <x v="3"/>
    <x v="0"/>
  </r>
  <r>
    <x v="2246"/>
    <s v="C1170"/>
    <d v="2024-04-03T14:00:00"/>
    <n v="3228.86"/>
    <x v="3"/>
    <x v="1"/>
    <s v="Travel"/>
    <x v="2"/>
    <x v="3"/>
    <s v="Desktop"/>
    <n v="0"/>
    <n v="2"/>
    <x v="185"/>
    <n v="0"/>
    <x v="2"/>
    <x v="3"/>
    <x v="1"/>
  </r>
  <r>
    <x v="2247"/>
    <s v="C1349"/>
    <d v="2024-04-03T15:00:00"/>
    <n v="41577.11"/>
    <x v="1"/>
    <x v="1"/>
    <s v="Electronics"/>
    <x v="3"/>
    <x v="4"/>
    <s v="Desktop"/>
    <n v="0"/>
    <n v="1"/>
    <x v="774"/>
    <n v="1"/>
    <x v="0"/>
    <x v="3"/>
    <x v="0"/>
  </r>
  <r>
    <x v="2248"/>
    <s v="C1371"/>
    <d v="2024-04-03T16:00:00"/>
    <n v="29968.98"/>
    <x v="0"/>
    <x v="3"/>
    <s v="Entertainment"/>
    <x v="0"/>
    <x v="3"/>
    <s v="Mobile"/>
    <n v="0"/>
    <n v="2"/>
    <x v="613"/>
    <n v="1"/>
    <x v="0"/>
    <x v="3"/>
    <x v="0"/>
  </r>
  <r>
    <x v="2249"/>
    <s v="C1062"/>
    <d v="2024-04-03T17:00:00"/>
    <n v="5790.9"/>
    <x v="0"/>
    <x v="1"/>
    <s v="Entertainment"/>
    <x v="3"/>
    <x v="3"/>
    <s v="Tablet"/>
    <n v="0"/>
    <n v="2"/>
    <x v="263"/>
    <n v="0"/>
    <x v="2"/>
    <x v="3"/>
    <x v="1"/>
  </r>
  <r>
    <x v="2250"/>
    <s v="C1288"/>
    <d v="2024-04-03T18:00:00"/>
    <n v="4738.17"/>
    <x v="3"/>
    <x v="0"/>
    <s v="Electronics"/>
    <x v="4"/>
    <x v="4"/>
    <s v="Tablet"/>
    <n v="1"/>
    <n v="3"/>
    <x v="444"/>
    <n v="1"/>
    <x v="0"/>
    <x v="3"/>
    <x v="0"/>
  </r>
  <r>
    <x v="2251"/>
    <s v="C1179"/>
    <d v="2024-04-03T19:00:00"/>
    <n v="45485.86"/>
    <x v="1"/>
    <x v="0"/>
    <s v="Electronics"/>
    <x v="2"/>
    <x v="1"/>
    <s v="Tablet"/>
    <n v="0"/>
    <n v="2"/>
    <x v="403"/>
    <n v="1"/>
    <x v="1"/>
    <x v="3"/>
    <x v="0"/>
  </r>
  <r>
    <x v="2252"/>
    <s v="C1137"/>
    <d v="2024-04-03T20:00:00"/>
    <n v="33476.550000000003"/>
    <x v="2"/>
    <x v="0"/>
    <s v="Electronics"/>
    <x v="1"/>
    <x v="1"/>
    <s v="Mobile"/>
    <n v="0"/>
    <n v="1"/>
    <x v="488"/>
    <n v="1"/>
    <x v="0"/>
    <x v="3"/>
    <x v="0"/>
  </r>
  <r>
    <x v="2253"/>
    <s v="C1158"/>
    <d v="2024-04-03T21:00:00"/>
    <n v="41472.879999999997"/>
    <x v="2"/>
    <x v="0"/>
    <s v="Electronics"/>
    <x v="2"/>
    <x v="4"/>
    <s v="Desktop"/>
    <n v="1"/>
    <n v="2"/>
    <x v="319"/>
    <n v="1"/>
    <x v="1"/>
    <x v="3"/>
    <x v="0"/>
  </r>
  <r>
    <x v="2254"/>
    <s v="C1166"/>
    <d v="2024-04-03T22:00:00"/>
    <n v="43955"/>
    <x v="0"/>
    <x v="2"/>
    <s v="Retail"/>
    <x v="4"/>
    <x v="2"/>
    <s v="Tablet"/>
    <n v="1"/>
    <n v="0"/>
    <x v="268"/>
    <n v="1"/>
    <x v="0"/>
    <x v="3"/>
    <x v="0"/>
  </r>
  <r>
    <x v="2255"/>
    <s v="C1121"/>
    <d v="2024-04-03T23:00:00"/>
    <n v="28610.03"/>
    <x v="3"/>
    <x v="0"/>
    <s v="Entertainment"/>
    <x v="1"/>
    <x v="3"/>
    <s v="Mobile"/>
    <n v="0"/>
    <n v="0"/>
    <x v="580"/>
    <n v="0"/>
    <x v="2"/>
    <x v="3"/>
    <x v="1"/>
  </r>
  <r>
    <x v="2256"/>
    <s v="C1375"/>
    <d v="2024-04-04T00:00:00"/>
    <n v="25896.45"/>
    <x v="3"/>
    <x v="1"/>
    <s v="Retail"/>
    <x v="3"/>
    <x v="0"/>
    <s v="Mobile"/>
    <n v="0"/>
    <n v="3"/>
    <x v="931"/>
    <n v="1"/>
    <x v="1"/>
    <x v="3"/>
    <x v="0"/>
  </r>
  <r>
    <x v="2257"/>
    <s v="C1348"/>
    <d v="2024-04-04T01:00:00"/>
    <n v="21549.85"/>
    <x v="2"/>
    <x v="3"/>
    <s v="Food"/>
    <x v="0"/>
    <x v="1"/>
    <s v="Tablet"/>
    <n v="0"/>
    <n v="1"/>
    <x v="831"/>
    <n v="0"/>
    <x v="2"/>
    <x v="3"/>
    <x v="1"/>
  </r>
  <r>
    <x v="2258"/>
    <s v="C1439"/>
    <d v="2024-04-04T02:00:00"/>
    <n v="15881.48"/>
    <x v="1"/>
    <x v="1"/>
    <s v="Food"/>
    <x v="0"/>
    <x v="0"/>
    <s v="Desktop"/>
    <n v="0"/>
    <n v="3"/>
    <x v="113"/>
    <n v="1"/>
    <x v="0"/>
    <x v="3"/>
    <x v="0"/>
  </r>
  <r>
    <x v="2259"/>
    <s v="C1057"/>
    <d v="2024-04-04T03:00:00"/>
    <n v="21758.07"/>
    <x v="1"/>
    <x v="0"/>
    <s v="Entertainment"/>
    <x v="2"/>
    <x v="4"/>
    <s v="Mobile"/>
    <n v="0"/>
    <n v="0"/>
    <x v="40"/>
    <n v="0"/>
    <x v="2"/>
    <x v="3"/>
    <x v="1"/>
  </r>
  <r>
    <x v="2260"/>
    <s v="C1006"/>
    <d v="2024-04-04T04:00:00"/>
    <n v="38705.29"/>
    <x v="2"/>
    <x v="2"/>
    <s v="Food"/>
    <x v="3"/>
    <x v="0"/>
    <s v="Tablet"/>
    <n v="0"/>
    <n v="1"/>
    <x v="290"/>
    <n v="1"/>
    <x v="0"/>
    <x v="3"/>
    <x v="0"/>
  </r>
  <r>
    <x v="2261"/>
    <s v="C1090"/>
    <d v="2024-04-04T05:00:00"/>
    <n v="30116.080000000002"/>
    <x v="2"/>
    <x v="0"/>
    <s v="Electronics"/>
    <x v="4"/>
    <x v="0"/>
    <s v="Desktop"/>
    <n v="0"/>
    <n v="2"/>
    <x v="786"/>
    <n v="1"/>
    <x v="0"/>
    <x v="3"/>
    <x v="0"/>
  </r>
  <r>
    <x v="2262"/>
    <s v="C1248"/>
    <d v="2024-04-04T06:00:00"/>
    <n v="44631.54"/>
    <x v="3"/>
    <x v="3"/>
    <s v="Retail"/>
    <x v="0"/>
    <x v="3"/>
    <s v="Mobile"/>
    <n v="0"/>
    <n v="1"/>
    <x v="251"/>
    <n v="1"/>
    <x v="0"/>
    <x v="3"/>
    <x v="0"/>
  </r>
  <r>
    <x v="2263"/>
    <s v="C1248"/>
    <d v="2024-04-04T07:00:00"/>
    <n v="22196.83"/>
    <x v="1"/>
    <x v="1"/>
    <s v="Electronics"/>
    <x v="3"/>
    <x v="4"/>
    <s v="Mobile"/>
    <n v="0"/>
    <n v="4"/>
    <x v="928"/>
    <n v="1"/>
    <x v="1"/>
    <x v="3"/>
    <x v="0"/>
  </r>
  <r>
    <x v="2264"/>
    <s v="C1442"/>
    <d v="2024-04-04T08:00:00"/>
    <n v="30374.12"/>
    <x v="2"/>
    <x v="3"/>
    <s v="Food"/>
    <x v="2"/>
    <x v="0"/>
    <s v="Tablet"/>
    <n v="0"/>
    <n v="1"/>
    <x v="140"/>
    <n v="1"/>
    <x v="0"/>
    <x v="3"/>
    <x v="0"/>
  </r>
  <r>
    <x v="2265"/>
    <s v="C1472"/>
    <d v="2024-04-04T09:00:00"/>
    <n v="31583.81"/>
    <x v="2"/>
    <x v="3"/>
    <s v="Retail"/>
    <x v="1"/>
    <x v="1"/>
    <s v="Tablet"/>
    <n v="0"/>
    <n v="2"/>
    <x v="703"/>
    <n v="1"/>
    <x v="0"/>
    <x v="3"/>
    <x v="0"/>
  </r>
  <r>
    <x v="2266"/>
    <s v="C1446"/>
    <d v="2024-04-04T10:00:00"/>
    <n v="29605.27"/>
    <x v="0"/>
    <x v="3"/>
    <s v="Electronics"/>
    <x v="2"/>
    <x v="4"/>
    <s v="Desktop"/>
    <n v="0"/>
    <n v="4"/>
    <x v="607"/>
    <n v="1"/>
    <x v="1"/>
    <x v="3"/>
    <x v="0"/>
  </r>
  <r>
    <x v="2267"/>
    <s v="C1411"/>
    <d v="2024-04-04T11:00:00"/>
    <n v="35146.559999999998"/>
    <x v="2"/>
    <x v="1"/>
    <s v="Entertainment"/>
    <x v="2"/>
    <x v="1"/>
    <s v="Tablet"/>
    <n v="0"/>
    <n v="3"/>
    <x v="244"/>
    <n v="1"/>
    <x v="1"/>
    <x v="3"/>
    <x v="0"/>
  </r>
  <r>
    <x v="2268"/>
    <s v="C1486"/>
    <d v="2024-04-04T12:00:00"/>
    <n v="11909.8"/>
    <x v="2"/>
    <x v="0"/>
    <s v="Electronics"/>
    <x v="3"/>
    <x v="2"/>
    <s v="Tablet"/>
    <n v="0"/>
    <n v="1"/>
    <x v="563"/>
    <n v="0"/>
    <x v="2"/>
    <x v="3"/>
    <x v="1"/>
  </r>
  <r>
    <x v="2269"/>
    <s v="C1433"/>
    <d v="2024-04-04T13:00:00"/>
    <n v="25642.57"/>
    <x v="1"/>
    <x v="3"/>
    <s v="Food"/>
    <x v="0"/>
    <x v="0"/>
    <s v="Desktop"/>
    <n v="0"/>
    <n v="3"/>
    <x v="282"/>
    <n v="1"/>
    <x v="0"/>
    <x v="3"/>
    <x v="0"/>
  </r>
  <r>
    <x v="2270"/>
    <s v="C1315"/>
    <d v="2024-04-04T14:00:00"/>
    <n v="5256.03"/>
    <x v="3"/>
    <x v="1"/>
    <s v="Retail"/>
    <x v="3"/>
    <x v="4"/>
    <s v="Tablet"/>
    <n v="0"/>
    <n v="1"/>
    <x v="800"/>
    <n v="0"/>
    <x v="2"/>
    <x v="3"/>
    <x v="1"/>
  </r>
  <r>
    <x v="2271"/>
    <s v="C1247"/>
    <d v="2024-04-04T15:00:00"/>
    <n v="19256.34"/>
    <x v="1"/>
    <x v="2"/>
    <s v="Entertainment"/>
    <x v="1"/>
    <x v="1"/>
    <s v="Desktop"/>
    <n v="0"/>
    <n v="0"/>
    <x v="223"/>
    <n v="0"/>
    <x v="2"/>
    <x v="3"/>
    <x v="1"/>
  </r>
  <r>
    <x v="2272"/>
    <s v="C1132"/>
    <d v="2024-04-04T16:00:00"/>
    <n v="24408.97"/>
    <x v="3"/>
    <x v="1"/>
    <s v="Retail"/>
    <x v="3"/>
    <x v="0"/>
    <s v="Desktop"/>
    <n v="0"/>
    <n v="0"/>
    <x v="481"/>
    <n v="0"/>
    <x v="2"/>
    <x v="3"/>
    <x v="1"/>
  </r>
  <r>
    <x v="2273"/>
    <s v="C1490"/>
    <d v="2024-04-04T17:00:00"/>
    <n v="32628.6"/>
    <x v="0"/>
    <x v="2"/>
    <s v="Entertainment"/>
    <x v="4"/>
    <x v="3"/>
    <s v="Desktop"/>
    <n v="0"/>
    <n v="2"/>
    <x v="539"/>
    <n v="1"/>
    <x v="0"/>
    <x v="3"/>
    <x v="0"/>
  </r>
  <r>
    <x v="2274"/>
    <s v="C1275"/>
    <d v="2024-04-04T18:00:00"/>
    <n v="47529.03"/>
    <x v="2"/>
    <x v="1"/>
    <s v="Retail"/>
    <x v="2"/>
    <x v="1"/>
    <s v="Tablet"/>
    <n v="0"/>
    <n v="0"/>
    <x v="174"/>
    <n v="1"/>
    <x v="0"/>
    <x v="3"/>
    <x v="0"/>
  </r>
  <r>
    <x v="2275"/>
    <s v="C1400"/>
    <d v="2024-04-04T19:00:00"/>
    <n v="30052.52"/>
    <x v="0"/>
    <x v="0"/>
    <s v="Food"/>
    <x v="0"/>
    <x v="1"/>
    <s v="Desktop"/>
    <n v="0"/>
    <n v="4"/>
    <x v="331"/>
    <n v="1"/>
    <x v="1"/>
    <x v="3"/>
    <x v="0"/>
  </r>
  <r>
    <x v="2276"/>
    <s v="C1203"/>
    <d v="2024-04-04T20:00:00"/>
    <n v="37192.519999999997"/>
    <x v="3"/>
    <x v="3"/>
    <s v="Entertainment"/>
    <x v="1"/>
    <x v="2"/>
    <s v="Tablet"/>
    <n v="0"/>
    <n v="4"/>
    <x v="752"/>
    <n v="1"/>
    <x v="1"/>
    <x v="3"/>
    <x v="0"/>
  </r>
  <r>
    <x v="2277"/>
    <s v="C1112"/>
    <d v="2024-04-04T21:00:00"/>
    <n v="25337.99"/>
    <x v="1"/>
    <x v="0"/>
    <s v="Travel"/>
    <x v="2"/>
    <x v="3"/>
    <s v="Desktop"/>
    <n v="0"/>
    <n v="1"/>
    <x v="642"/>
    <n v="1"/>
    <x v="0"/>
    <x v="3"/>
    <x v="0"/>
  </r>
  <r>
    <x v="2278"/>
    <s v="C1189"/>
    <d v="2024-04-04T22:00:00"/>
    <n v="31723.5"/>
    <x v="1"/>
    <x v="1"/>
    <s v="Retail"/>
    <x v="3"/>
    <x v="2"/>
    <s v="Tablet"/>
    <n v="0"/>
    <n v="3"/>
    <x v="173"/>
    <n v="1"/>
    <x v="1"/>
    <x v="3"/>
    <x v="0"/>
  </r>
  <r>
    <x v="2279"/>
    <s v="C1298"/>
    <d v="2024-04-04T23:00:00"/>
    <n v="3593.06"/>
    <x v="0"/>
    <x v="3"/>
    <s v="Retail"/>
    <x v="4"/>
    <x v="3"/>
    <s v="Desktop"/>
    <n v="0"/>
    <n v="4"/>
    <x v="590"/>
    <n v="1"/>
    <x v="0"/>
    <x v="3"/>
    <x v="0"/>
  </r>
  <r>
    <x v="2280"/>
    <s v="C1269"/>
    <d v="2024-04-05T00:00:00"/>
    <n v="12756.86"/>
    <x v="3"/>
    <x v="2"/>
    <s v="Electronics"/>
    <x v="3"/>
    <x v="1"/>
    <s v="Mobile"/>
    <n v="0"/>
    <n v="1"/>
    <x v="4"/>
    <n v="0"/>
    <x v="2"/>
    <x v="3"/>
    <x v="1"/>
  </r>
  <r>
    <x v="2281"/>
    <s v="C1047"/>
    <d v="2024-04-05T01:00:00"/>
    <n v="18124.560000000001"/>
    <x v="0"/>
    <x v="1"/>
    <s v="Entertainment"/>
    <x v="2"/>
    <x v="2"/>
    <s v="Mobile"/>
    <n v="0"/>
    <n v="3"/>
    <x v="103"/>
    <n v="1"/>
    <x v="0"/>
    <x v="3"/>
    <x v="0"/>
  </r>
  <r>
    <x v="2282"/>
    <s v="C1105"/>
    <d v="2024-04-05T02:00:00"/>
    <n v="23651.040000000001"/>
    <x v="0"/>
    <x v="3"/>
    <s v="Travel"/>
    <x v="1"/>
    <x v="0"/>
    <s v="Mobile"/>
    <n v="0"/>
    <n v="0"/>
    <x v="482"/>
    <n v="0"/>
    <x v="2"/>
    <x v="3"/>
    <x v="1"/>
  </r>
  <r>
    <x v="2283"/>
    <s v="C1087"/>
    <d v="2024-04-05T03:00:00"/>
    <n v="2330.15"/>
    <x v="2"/>
    <x v="2"/>
    <s v="Food"/>
    <x v="0"/>
    <x v="3"/>
    <s v="Desktop"/>
    <n v="0"/>
    <n v="1"/>
    <x v="296"/>
    <n v="0"/>
    <x v="2"/>
    <x v="3"/>
    <x v="1"/>
  </r>
  <r>
    <x v="2284"/>
    <s v="C1195"/>
    <d v="2024-04-05T04:00:00"/>
    <n v="7044.2"/>
    <x v="0"/>
    <x v="2"/>
    <s v="Electronics"/>
    <x v="2"/>
    <x v="1"/>
    <s v="Tablet"/>
    <n v="0"/>
    <n v="3"/>
    <x v="267"/>
    <n v="1"/>
    <x v="0"/>
    <x v="3"/>
    <x v="0"/>
  </r>
  <r>
    <x v="2285"/>
    <s v="C1462"/>
    <d v="2024-04-05T05:00:00"/>
    <n v="13876.87"/>
    <x v="2"/>
    <x v="0"/>
    <s v="Travel"/>
    <x v="1"/>
    <x v="4"/>
    <s v="Desktop"/>
    <n v="0"/>
    <n v="2"/>
    <x v="155"/>
    <n v="0"/>
    <x v="2"/>
    <x v="3"/>
    <x v="1"/>
  </r>
  <r>
    <x v="2286"/>
    <s v="C1356"/>
    <d v="2024-04-05T06:00:00"/>
    <n v="48578.06"/>
    <x v="2"/>
    <x v="1"/>
    <s v="Entertainment"/>
    <x v="2"/>
    <x v="3"/>
    <s v="Desktop"/>
    <n v="1"/>
    <n v="2"/>
    <x v="422"/>
    <n v="1"/>
    <x v="1"/>
    <x v="3"/>
    <x v="0"/>
  </r>
  <r>
    <x v="2287"/>
    <s v="C1071"/>
    <d v="2024-04-05T07:00:00"/>
    <n v="16600.78"/>
    <x v="1"/>
    <x v="2"/>
    <s v="Travel"/>
    <x v="4"/>
    <x v="3"/>
    <s v="Desktop"/>
    <n v="1"/>
    <n v="4"/>
    <x v="893"/>
    <n v="1"/>
    <x v="1"/>
    <x v="3"/>
    <x v="0"/>
  </r>
  <r>
    <x v="2288"/>
    <s v="C1235"/>
    <d v="2024-04-05T08:00:00"/>
    <n v="24127.95"/>
    <x v="2"/>
    <x v="3"/>
    <s v="Retail"/>
    <x v="3"/>
    <x v="0"/>
    <s v="Desktop"/>
    <n v="0"/>
    <n v="3"/>
    <x v="406"/>
    <n v="1"/>
    <x v="0"/>
    <x v="3"/>
    <x v="0"/>
  </r>
  <r>
    <x v="2289"/>
    <s v="C1177"/>
    <d v="2024-04-05T09:00:00"/>
    <n v="9845.08"/>
    <x v="2"/>
    <x v="2"/>
    <s v="Retail"/>
    <x v="0"/>
    <x v="3"/>
    <s v="Tablet"/>
    <n v="0"/>
    <n v="2"/>
    <x v="55"/>
    <n v="0"/>
    <x v="2"/>
    <x v="3"/>
    <x v="1"/>
  </r>
  <r>
    <x v="2290"/>
    <s v="C1182"/>
    <d v="2024-04-05T10:00:00"/>
    <n v="30558.46"/>
    <x v="1"/>
    <x v="2"/>
    <s v="Electronics"/>
    <x v="1"/>
    <x v="3"/>
    <s v="Desktop"/>
    <n v="0"/>
    <n v="4"/>
    <x v="823"/>
    <n v="1"/>
    <x v="1"/>
    <x v="3"/>
    <x v="0"/>
  </r>
  <r>
    <x v="2291"/>
    <s v="C1087"/>
    <d v="2024-04-05T11:00:00"/>
    <n v="14070.13"/>
    <x v="0"/>
    <x v="0"/>
    <s v="Entertainment"/>
    <x v="0"/>
    <x v="0"/>
    <s v="Mobile"/>
    <n v="1"/>
    <n v="1"/>
    <x v="483"/>
    <n v="0"/>
    <x v="2"/>
    <x v="3"/>
    <x v="1"/>
  </r>
  <r>
    <x v="2292"/>
    <s v="C1217"/>
    <d v="2024-04-05T12:00:00"/>
    <n v="10389.280000000001"/>
    <x v="3"/>
    <x v="0"/>
    <s v="Entertainment"/>
    <x v="0"/>
    <x v="0"/>
    <s v="Mobile"/>
    <n v="0"/>
    <n v="1"/>
    <x v="605"/>
    <n v="0"/>
    <x v="2"/>
    <x v="3"/>
    <x v="1"/>
  </r>
  <r>
    <x v="2293"/>
    <s v="C1239"/>
    <d v="2024-04-05T13:00:00"/>
    <n v="25852.799999999999"/>
    <x v="3"/>
    <x v="3"/>
    <s v="Travel"/>
    <x v="0"/>
    <x v="2"/>
    <s v="Mobile"/>
    <n v="0"/>
    <n v="3"/>
    <x v="931"/>
    <n v="1"/>
    <x v="1"/>
    <x v="3"/>
    <x v="0"/>
  </r>
  <r>
    <x v="2294"/>
    <s v="C1265"/>
    <d v="2024-04-05T14:00:00"/>
    <n v="325.01"/>
    <x v="3"/>
    <x v="0"/>
    <s v="Electronics"/>
    <x v="1"/>
    <x v="1"/>
    <s v="Desktop"/>
    <n v="0"/>
    <n v="3"/>
    <x v="34"/>
    <n v="1"/>
    <x v="0"/>
    <x v="3"/>
    <x v="0"/>
  </r>
  <r>
    <x v="2295"/>
    <s v="C1136"/>
    <d v="2024-04-05T15:00:00"/>
    <n v="432.82"/>
    <x v="0"/>
    <x v="2"/>
    <s v="Entertainment"/>
    <x v="1"/>
    <x v="1"/>
    <s v="Tablet"/>
    <n v="0"/>
    <n v="3"/>
    <x v="140"/>
    <n v="1"/>
    <x v="0"/>
    <x v="3"/>
    <x v="0"/>
  </r>
  <r>
    <x v="2296"/>
    <s v="C1349"/>
    <d v="2024-04-05T16:00:00"/>
    <n v="10992.49"/>
    <x v="2"/>
    <x v="2"/>
    <s v="Retail"/>
    <x v="0"/>
    <x v="2"/>
    <s v="Tablet"/>
    <n v="0"/>
    <n v="3"/>
    <x v="558"/>
    <n v="1"/>
    <x v="0"/>
    <x v="3"/>
    <x v="0"/>
  </r>
  <r>
    <x v="2297"/>
    <s v="C1150"/>
    <d v="2024-04-05T17:00:00"/>
    <n v="1884.23"/>
    <x v="3"/>
    <x v="0"/>
    <s v="Travel"/>
    <x v="3"/>
    <x v="1"/>
    <s v="Tablet"/>
    <n v="0"/>
    <n v="2"/>
    <x v="501"/>
    <n v="0"/>
    <x v="2"/>
    <x v="3"/>
    <x v="1"/>
  </r>
  <r>
    <x v="2298"/>
    <s v="C1028"/>
    <d v="2024-04-05T18:00:00"/>
    <n v="5445.89"/>
    <x v="0"/>
    <x v="2"/>
    <s v="Food"/>
    <x v="2"/>
    <x v="3"/>
    <s v="Desktop"/>
    <n v="0"/>
    <n v="2"/>
    <x v="880"/>
    <n v="0"/>
    <x v="2"/>
    <x v="3"/>
    <x v="1"/>
  </r>
  <r>
    <x v="2299"/>
    <s v="C1479"/>
    <d v="2024-04-05T19:00:00"/>
    <n v="16976.09"/>
    <x v="2"/>
    <x v="2"/>
    <s v="Retail"/>
    <x v="0"/>
    <x v="2"/>
    <s v="Tablet"/>
    <n v="0"/>
    <n v="4"/>
    <x v="653"/>
    <n v="1"/>
    <x v="1"/>
    <x v="3"/>
    <x v="0"/>
  </r>
  <r>
    <x v="2300"/>
    <s v="C1161"/>
    <d v="2024-04-05T20:00:00"/>
    <n v="40139.15"/>
    <x v="1"/>
    <x v="3"/>
    <s v="Electronics"/>
    <x v="4"/>
    <x v="2"/>
    <s v="Mobile"/>
    <n v="1"/>
    <n v="2"/>
    <x v="331"/>
    <n v="1"/>
    <x v="1"/>
    <x v="3"/>
    <x v="0"/>
  </r>
  <r>
    <x v="2301"/>
    <s v="C1405"/>
    <d v="2024-04-05T21:00:00"/>
    <n v="28623.83"/>
    <x v="3"/>
    <x v="0"/>
    <s v="Entertainment"/>
    <x v="0"/>
    <x v="1"/>
    <s v="Tablet"/>
    <n v="0"/>
    <n v="1"/>
    <x v="921"/>
    <n v="1"/>
    <x v="0"/>
    <x v="3"/>
    <x v="0"/>
  </r>
  <r>
    <x v="2302"/>
    <s v="C1416"/>
    <d v="2024-04-05T22:00:00"/>
    <n v="25657.75"/>
    <x v="2"/>
    <x v="2"/>
    <s v="Retail"/>
    <x v="1"/>
    <x v="4"/>
    <s v="Desktop"/>
    <n v="0"/>
    <n v="4"/>
    <x v="932"/>
    <n v="1"/>
    <x v="1"/>
    <x v="3"/>
    <x v="0"/>
  </r>
  <r>
    <x v="2303"/>
    <s v="C1040"/>
    <d v="2024-04-05T23:00:00"/>
    <n v="14709.77"/>
    <x v="3"/>
    <x v="0"/>
    <s v="Food"/>
    <x v="2"/>
    <x v="1"/>
    <s v="Desktop"/>
    <n v="0"/>
    <n v="2"/>
    <x v="602"/>
    <n v="1"/>
    <x v="0"/>
    <x v="3"/>
    <x v="0"/>
  </r>
  <r>
    <x v="2304"/>
    <s v="C1432"/>
    <d v="2024-04-06T00:00:00"/>
    <n v="46591.1"/>
    <x v="3"/>
    <x v="3"/>
    <s v="Food"/>
    <x v="4"/>
    <x v="4"/>
    <s v="Tablet"/>
    <n v="0"/>
    <n v="3"/>
    <x v="707"/>
    <n v="1"/>
    <x v="1"/>
    <x v="3"/>
    <x v="0"/>
  </r>
  <r>
    <x v="2305"/>
    <s v="C1481"/>
    <d v="2024-04-06T01:00:00"/>
    <n v="19880.900000000001"/>
    <x v="3"/>
    <x v="0"/>
    <s v="Electronics"/>
    <x v="2"/>
    <x v="2"/>
    <s v="Desktop"/>
    <n v="0"/>
    <n v="2"/>
    <x v="791"/>
    <n v="0"/>
    <x v="2"/>
    <x v="3"/>
    <x v="1"/>
  </r>
  <r>
    <x v="2306"/>
    <s v="C1164"/>
    <d v="2024-04-06T02:00:00"/>
    <n v="4400.28"/>
    <x v="2"/>
    <x v="2"/>
    <s v="Retail"/>
    <x v="2"/>
    <x v="4"/>
    <s v="Tablet"/>
    <n v="0"/>
    <n v="0"/>
    <x v="933"/>
    <n v="0"/>
    <x v="2"/>
    <x v="3"/>
    <x v="1"/>
  </r>
  <r>
    <x v="2307"/>
    <s v="C1305"/>
    <d v="2024-04-06T03:00:00"/>
    <n v="30872.47"/>
    <x v="0"/>
    <x v="0"/>
    <s v="Travel"/>
    <x v="4"/>
    <x v="3"/>
    <s v="Tablet"/>
    <n v="0"/>
    <n v="4"/>
    <x v="934"/>
    <n v="1"/>
    <x v="1"/>
    <x v="3"/>
    <x v="0"/>
  </r>
  <r>
    <x v="2308"/>
    <s v="C1251"/>
    <d v="2024-04-06T04:00:00"/>
    <n v="5736.23"/>
    <x v="2"/>
    <x v="2"/>
    <s v="Retail"/>
    <x v="0"/>
    <x v="0"/>
    <s v="Mobile"/>
    <n v="0"/>
    <n v="2"/>
    <x v="27"/>
    <n v="0"/>
    <x v="2"/>
    <x v="3"/>
    <x v="1"/>
  </r>
  <r>
    <x v="2309"/>
    <s v="C1334"/>
    <d v="2024-04-06T05:00:00"/>
    <n v="17293.900000000001"/>
    <x v="3"/>
    <x v="2"/>
    <s v="Food"/>
    <x v="0"/>
    <x v="4"/>
    <s v="Desktop"/>
    <n v="0"/>
    <n v="2"/>
    <x v="56"/>
    <n v="1"/>
    <x v="0"/>
    <x v="3"/>
    <x v="0"/>
  </r>
  <r>
    <x v="2310"/>
    <s v="C1388"/>
    <d v="2024-04-06T06:00:00"/>
    <n v="25395.23"/>
    <x v="2"/>
    <x v="2"/>
    <s v="Electronics"/>
    <x v="0"/>
    <x v="0"/>
    <s v="Mobile"/>
    <n v="1"/>
    <n v="1"/>
    <x v="696"/>
    <n v="1"/>
    <x v="0"/>
    <x v="3"/>
    <x v="0"/>
  </r>
  <r>
    <x v="2311"/>
    <s v="C1208"/>
    <d v="2024-04-06T07:00:00"/>
    <n v="43717.42"/>
    <x v="1"/>
    <x v="3"/>
    <s v="Electronics"/>
    <x v="3"/>
    <x v="3"/>
    <s v="Desktop"/>
    <n v="0"/>
    <n v="3"/>
    <x v="935"/>
    <n v="1"/>
    <x v="1"/>
    <x v="3"/>
    <x v="0"/>
  </r>
  <r>
    <x v="2312"/>
    <s v="C1212"/>
    <d v="2024-04-06T08:00:00"/>
    <n v="24702.65"/>
    <x v="0"/>
    <x v="0"/>
    <s v="Travel"/>
    <x v="0"/>
    <x v="0"/>
    <s v="Tablet"/>
    <n v="0"/>
    <n v="3"/>
    <x v="207"/>
    <n v="1"/>
    <x v="0"/>
    <x v="3"/>
    <x v="0"/>
  </r>
  <r>
    <x v="2313"/>
    <s v="C1227"/>
    <d v="2024-04-06T09:00:00"/>
    <n v="35127.83"/>
    <x v="2"/>
    <x v="3"/>
    <s v="Electronics"/>
    <x v="4"/>
    <x v="3"/>
    <s v="Desktop"/>
    <n v="0"/>
    <n v="1"/>
    <x v="936"/>
    <n v="1"/>
    <x v="0"/>
    <x v="3"/>
    <x v="0"/>
  </r>
  <r>
    <x v="2314"/>
    <s v="C1278"/>
    <d v="2024-04-06T10:00:00"/>
    <n v="49641.2"/>
    <x v="1"/>
    <x v="0"/>
    <s v="Electronics"/>
    <x v="3"/>
    <x v="0"/>
    <s v="Tablet"/>
    <n v="0"/>
    <n v="1"/>
    <x v="110"/>
    <n v="1"/>
    <x v="0"/>
    <x v="3"/>
    <x v="0"/>
  </r>
  <r>
    <x v="2315"/>
    <s v="C1451"/>
    <d v="2024-04-06T11:00:00"/>
    <n v="6617.88"/>
    <x v="0"/>
    <x v="3"/>
    <s v="Electronics"/>
    <x v="0"/>
    <x v="0"/>
    <s v="Desktop"/>
    <n v="0"/>
    <n v="0"/>
    <x v="733"/>
    <n v="0"/>
    <x v="2"/>
    <x v="3"/>
    <x v="1"/>
  </r>
  <r>
    <x v="2316"/>
    <s v="C1041"/>
    <d v="2024-04-06T12:00:00"/>
    <n v="13772.84"/>
    <x v="1"/>
    <x v="1"/>
    <s v="Electronics"/>
    <x v="3"/>
    <x v="1"/>
    <s v="Mobile"/>
    <n v="0"/>
    <n v="4"/>
    <x v="305"/>
    <n v="1"/>
    <x v="1"/>
    <x v="3"/>
    <x v="0"/>
  </r>
  <r>
    <x v="2317"/>
    <s v="C1373"/>
    <d v="2024-04-06T13:00:00"/>
    <n v="19759.07"/>
    <x v="0"/>
    <x v="2"/>
    <s v="Electronics"/>
    <x v="4"/>
    <x v="4"/>
    <s v="Mobile"/>
    <n v="0"/>
    <n v="3"/>
    <x v="112"/>
    <n v="1"/>
    <x v="0"/>
    <x v="3"/>
    <x v="0"/>
  </r>
  <r>
    <x v="2318"/>
    <s v="C1479"/>
    <d v="2024-04-06T14:00:00"/>
    <n v="21120.32"/>
    <x v="2"/>
    <x v="2"/>
    <s v="Food"/>
    <x v="0"/>
    <x v="0"/>
    <s v="Tablet"/>
    <n v="0"/>
    <n v="1"/>
    <x v="722"/>
    <n v="0"/>
    <x v="2"/>
    <x v="3"/>
    <x v="1"/>
  </r>
  <r>
    <x v="2319"/>
    <s v="C1464"/>
    <d v="2024-04-06T15:00:00"/>
    <n v="20580.5"/>
    <x v="1"/>
    <x v="3"/>
    <s v="Retail"/>
    <x v="1"/>
    <x v="2"/>
    <s v="Mobile"/>
    <n v="0"/>
    <n v="1"/>
    <x v="362"/>
    <n v="0"/>
    <x v="2"/>
    <x v="3"/>
    <x v="1"/>
  </r>
  <r>
    <x v="2320"/>
    <s v="C1066"/>
    <d v="2024-04-06T16:00:00"/>
    <n v="45385.17"/>
    <x v="3"/>
    <x v="1"/>
    <s v="Entertainment"/>
    <x v="4"/>
    <x v="1"/>
    <s v="Tablet"/>
    <n v="0"/>
    <n v="4"/>
    <x v="71"/>
    <n v="1"/>
    <x v="1"/>
    <x v="3"/>
    <x v="0"/>
  </r>
  <r>
    <x v="2321"/>
    <s v="C1024"/>
    <d v="2024-04-06T17:00:00"/>
    <n v="35715.93"/>
    <x v="1"/>
    <x v="2"/>
    <s v="Electronics"/>
    <x v="2"/>
    <x v="4"/>
    <s v="Tablet"/>
    <n v="1"/>
    <n v="1"/>
    <x v="515"/>
    <n v="1"/>
    <x v="1"/>
    <x v="3"/>
    <x v="0"/>
  </r>
  <r>
    <x v="2322"/>
    <s v="C1117"/>
    <d v="2024-04-06T18:00:00"/>
    <n v="30414.87"/>
    <x v="0"/>
    <x v="0"/>
    <s v="Entertainment"/>
    <x v="2"/>
    <x v="1"/>
    <s v="Tablet"/>
    <n v="0"/>
    <n v="0"/>
    <x v="119"/>
    <n v="0"/>
    <x v="2"/>
    <x v="3"/>
    <x v="1"/>
  </r>
  <r>
    <x v="2323"/>
    <s v="C1118"/>
    <d v="2024-04-06T19:00:00"/>
    <n v="15503.17"/>
    <x v="2"/>
    <x v="3"/>
    <s v="Entertainment"/>
    <x v="4"/>
    <x v="4"/>
    <s v="Desktop"/>
    <n v="0"/>
    <n v="4"/>
    <x v="403"/>
    <n v="1"/>
    <x v="1"/>
    <x v="3"/>
    <x v="0"/>
  </r>
  <r>
    <x v="2324"/>
    <s v="C1499"/>
    <d v="2024-04-06T20:00:00"/>
    <n v="41198.33"/>
    <x v="0"/>
    <x v="2"/>
    <s v="Food"/>
    <x v="2"/>
    <x v="3"/>
    <s v="Tablet"/>
    <n v="0"/>
    <n v="0"/>
    <x v="685"/>
    <n v="1"/>
    <x v="0"/>
    <x v="3"/>
    <x v="0"/>
  </r>
  <r>
    <x v="2325"/>
    <s v="C1278"/>
    <d v="2024-04-06T21:00:00"/>
    <n v="47755.27"/>
    <x v="1"/>
    <x v="2"/>
    <s v="Electronics"/>
    <x v="4"/>
    <x v="0"/>
    <s v="Mobile"/>
    <n v="0"/>
    <n v="2"/>
    <x v="669"/>
    <n v="1"/>
    <x v="1"/>
    <x v="3"/>
    <x v="0"/>
  </r>
  <r>
    <x v="2326"/>
    <s v="C1072"/>
    <d v="2024-04-06T22:00:00"/>
    <n v="41068.85"/>
    <x v="1"/>
    <x v="3"/>
    <s v="Entertainment"/>
    <x v="1"/>
    <x v="2"/>
    <s v="Desktop"/>
    <n v="0"/>
    <n v="3"/>
    <x v="852"/>
    <n v="1"/>
    <x v="1"/>
    <x v="3"/>
    <x v="0"/>
  </r>
  <r>
    <x v="2327"/>
    <s v="C1129"/>
    <d v="2024-04-06T23:00:00"/>
    <n v="128.18"/>
    <x v="3"/>
    <x v="3"/>
    <s v="Electronics"/>
    <x v="4"/>
    <x v="1"/>
    <s v="Mobile"/>
    <n v="1"/>
    <n v="1"/>
    <x v="812"/>
    <n v="0"/>
    <x v="2"/>
    <x v="3"/>
    <x v="1"/>
  </r>
  <r>
    <x v="2328"/>
    <s v="C1468"/>
    <d v="2024-04-07T00:00:00"/>
    <n v="31838.25"/>
    <x v="2"/>
    <x v="0"/>
    <s v="Travel"/>
    <x v="0"/>
    <x v="1"/>
    <s v="Tablet"/>
    <n v="0"/>
    <n v="4"/>
    <x v="937"/>
    <n v="1"/>
    <x v="1"/>
    <x v="3"/>
    <x v="0"/>
  </r>
  <r>
    <x v="2329"/>
    <s v="C1355"/>
    <d v="2024-04-07T01:00:00"/>
    <n v="2604.21"/>
    <x v="2"/>
    <x v="0"/>
    <s v="Travel"/>
    <x v="0"/>
    <x v="1"/>
    <s v="Tablet"/>
    <n v="0"/>
    <n v="0"/>
    <x v="938"/>
    <n v="0"/>
    <x v="2"/>
    <x v="3"/>
    <x v="1"/>
  </r>
  <r>
    <x v="2330"/>
    <s v="C1024"/>
    <d v="2024-04-07T02:00:00"/>
    <n v="12917.48"/>
    <x v="1"/>
    <x v="2"/>
    <s v="Travel"/>
    <x v="3"/>
    <x v="1"/>
    <s v="Mobile"/>
    <n v="0"/>
    <n v="3"/>
    <x v="308"/>
    <n v="1"/>
    <x v="0"/>
    <x v="3"/>
    <x v="0"/>
  </r>
  <r>
    <x v="2331"/>
    <s v="C1071"/>
    <d v="2024-04-07T03:00:00"/>
    <n v="3023.26"/>
    <x v="2"/>
    <x v="2"/>
    <s v="Entertainment"/>
    <x v="2"/>
    <x v="0"/>
    <s v="Desktop"/>
    <n v="0"/>
    <n v="3"/>
    <x v="75"/>
    <n v="1"/>
    <x v="0"/>
    <x v="3"/>
    <x v="0"/>
  </r>
  <r>
    <x v="2332"/>
    <s v="C1243"/>
    <d v="2024-04-07T04:00:00"/>
    <n v="30209.58"/>
    <x v="3"/>
    <x v="3"/>
    <s v="Travel"/>
    <x v="2"/>
    <x v="4"/>
    <s v="Mobile"/>
    <n v="0"/>
    <n v="1"/>
    <x v="205"/>
    <n v="1"/>
    <x v="0"/>
    <x v="3"/>
    <x v="0"/>
  </r>
  <r>
    <x v="2333"/>
    <s v="C1085"/>
    <d v="2024-04-07T05:00:00"/>
    <n v="34345.17"/>
    <x v="0"/>
    <x v="2"/>
    <s v="Food"/>
    <x v="4"/>
    <x v="0"/>
    <s v="Tablet"/>
    <n v="0"/>
    <n v="3"/>
    <x v="389"/>
    <n v="1"/>
    <x v="1"/>
    <x v="3"/>
    <x v="0"/>
  </r>
  <r>
    <x v="2334"/>
    <s v="C1105"/>
    <d v="2024-04-07T06:00:00"/>
    <n v="5768.66"/>
    <x v="2"/>
    <x v="2"/>
    <s v="Food"/>
    <x v="2"/>
    <x v="3"/>
    <s v="Desktop"/>
    <n v="0"/>
    <n v="1"/>
    <x v="287"/>
    <n v="0"/>
    <x v="2"/>
    <x v="3"/>
    <x v="1"/>
  </r>
  <r>
    <x v="2335"/>
    <s v="C1370"/>
    <d v="2024-04-07T07:00:00"/>
    <n v="19222.75"/>
    <x v="1"/>
    <x v="3"/>
    <s v="Entertainment"/>
    <x v="0"/>
    <x v="0"/>
    <s v="Tablet"/>
    <n v="1"/>
    <n v="2"/>
    <x v="939"/>
    <n v="1"/>
    <x v="0"/>
    <x v="3"/>
    <x v="0"/>
  </r>
  <r>
    <x v="2336"/>
    <s v="C1045"/>
    <d v="2024-04-07T08:00:00"/>
    <n v="22839.01"/>
    <x v="0"/>
    <x v="2"/>
    <s v="Electronics"/>
    <x v="1"/>
    <x v="0"/>
    <s v="Tablet"/>
    <n v="0"/>
    <n v="1"/>
    <x v="593"/>
    <n v="0"/>
    <x v="2"/>
    <x v="3"/>
    <x v="1"/>
  </r>
  <r>
    <x v="2337"/>
    <s v="C1104"/>
    <d v="2024-04-07T09:00:00"/>
    <n v="18484.2"/>
    <x v="0"/>
    <x v="2"/>
    <s v="Retail"/>
    <x v="4"/>
    <x v="3"/>
    <s v="Mobile"/>
    <n v="0"/>
    <n v="0"/>
    <x v="216"/>
    <n v="0"/>
    <x v="2"/>
    <x v="3"/>
    <x v="1"/>
  </r>
  <r>
    <x v="2338"/>
    <s v="C1020"/>
    <d v="2024-04-07T10:00:00"/>
    <n v="6095.2"/>
    <x v="3"/>
    <x v="1"/>
    <s v="Electronics"/>
    <x v="2"/>
    <x v="0"/>
    <s v="Tablet"/>
    <n v="0"/>
    <n v="3"/>
    <x v="814"/>
    <n v="1"/>
    <x v="0"/>
    <x v="3"/>
    <x v="0"/>
  </r>
  <r>
    <x v="2339"/>
    <s v="C1089"/>
    <d v="2024-04-07T11:00:00"/>
    <n v="20976.44"/>
    <x v="1"/>
    <x v="0"/>
    <s v="Electronics"/>
    <x v="0"/>
    <x v="4"/>
    <s v="Mobile"/>
    <n v="0"/>
    <n v="3"/>
    <x v="571"/>
    <n v="1"/>
    <x v="0"/>
    <x v="3"/>
    <x v="0"/>
  </r>
  <r>
    <x v="2340"/>
    <s v="C1285"/>
    <d v="2024-04-07T12:00:00"/>
    <n v="37571.339999999997"/>
    <x v="2"/>
    <x v="3"/>
    <s v="Electronics"/>
    <x v="3"/>
    <x v="2"/>
    <s v="Desktop"/>
    <n v="0"/>
    <n v="3"/>
    <x v="340"/>
    <n v="1"/>
    <x v="1"/>
    <x v="3"/>
    <x v="0"/>
  </r>
  <r>
    <x v="2341"/>
    <s v="C1322"/>
    <d v="2024-04-07T13:00:00"/>
    <n v="3596.83"/>
    <x v="1"/>
    <x v="1"/>
    <s v="Electronics"/>
    <x v="2"/>
    <x v="3"/>
    <s v="Tablet"/>
    <n v="0"/>
    <n v="1"/>
    <x v="459"/>
    <n v="0"/>
    <x v="2"/>
    <x v="3"/>
    <x v="1"/>
  </r>
  <r>
    <x v="2342"/>
    <s v="C1239"/>
    <d v="2024-04-07T14:00:00"/>
    <n v="4054.99"/>
    <x v="0"/>
    <x v="0"/>
    <s v="Retail"/>
    <x v="1"/>
    <x v="1"/>
    <s v="Tablet"/>
    <n v="0"/>
    <n v="4"/>
    <x v="14"/>
    <n v="1"/>
    <x v="0"/>
    <x v="3"/>
    <x v="0"/>
  </r>
  <r>
    <x v="2343"/>
    <s v="C1266"/>
    <d v="2024-04-07T15:00:00"/>
    <n v="17770.830000000002"/>
    <x v="1"/>
    <x v="0"/>
    <s v="Travel"/>
    <x v="1"/>
    <x v="4"/>
    <s v="Desktop"/>
    <n v="0"/>
    <n v="1"/>
    <x v="5"/>
    <n v="0"/>
    <x v="2"/>
    <x v="3"/>
    <x v="1"/>
  </r>
  <r>
    <x v="2344"/>
    <s v="C1407"/>
    <d v="2024-04-07T16:00:00"/>
    <n v="47089.2"/>
    <x v="2"/>
    <x v="0"/>
    <s v="Electronics"/>
    <x v="2"/>
    <x v="2"/>
    <s v="Mobile"/>
    <n v="0"/>
    <n v="0"/>
    <x v="64"/>
    <n v="0"/>
    <x v="2"/>
    <x v="3"/>
    <x v="1"/>
  </r>
  <r>
    <x v="2345"/>
    <s v="C1480"/>
    <d v="2024-04-07T17:00:00"/>
    <n v="33445.199999999997"/>
    <x v="2"/>
    <x v="1"/>
    <s v="Food"/>
    <x v="2"/>
    <x v="4"/>
    <s v="Tablet"/>
    <n v="0"/>
    <n v="1"/>
    <x v="239"/>
    <n v="1"/>
    <x v="0"/>
    <x v="3"/>
    <x v="0"/>
  </r>
  <r>
    <x v="2346"/>
    <s v="C1479"/>
    <d v="2024-04-07T18:00:00"/>
    <n v="33949.56"/>
    <x v="3"/>
    <x v="1"/>
    <s v="Entertainment"/>
    <x v="0"/>
    <x v="4"/>
    <s v="Desktop"/>
    <n v="0"/>
    <n v="3"/>
    <x v="465"/>
    <n v="1"/>
    <x v="1"/>
    <x v="3"/>
    <x v="0"/>
  </r>
  <r>
    <x v="2347"/>
    <s v="C1182"/>
    <d v="2024-04-07T19:00:00"/>
    <n v="18127.900000000001"/>
    <x v="2"/>
    <x v="0"/>
    <s v="Entertainment"/>
    <x v="2"/>
    <x v="1"/>
    <s v="Tablet"/>
    <n v="1"/>
    <n v="2"/>
    <x v="87"/>
    <n v="1"/>
    <x v="0"/>
    <x v="3"/>
    <x v="0"/>
  </r>
  <r>
    <x v="2348"/>
    <s v="C1170"/>
    <d v="2024-04-07T20:00:00"/>
    <n v="29703.360000000001"/>
    <x v="2"/>
    <x v="2"/>
    <s v="Food"/>
    <x v="3"/>
    <x v="2"/>
    <s v="Mobile"/>
    <n v="0"/>
    <n v="0"/>
    <x v="339"/>
    <n v="0"/>
    <x v="2"/>
    <x v="3"/>
    <x v="1"/>
  </r>
  <r>
    <x v="2349"/>
    <s v="C1041"/>
    <d v="2024-04-07T21:00:00"/>
    <n v="556.04999999999995"/>
    <x v="1"/>
    <x v="2"/>
    <s v="Electronics"/>
    <x v="0"/>
    <x v="4"/>
    <s v="Mobile"/>
    <n v="0"/>
    <n v="2"/>
    <x v="20"/>
    <n v="0"/>
    <x v="2"/>
    <x v="3"/>
    <x v="1"/>
  </r>
  <r>
    <x v="2350"/>
    <s v="C1269"/>
    <d v="2024-04-07T22:00:00"/>
    <n v="31823"/>
    <x v="1"/>
    <x v="1"/>
    <s v="Retail"/>
    <x v="4"/>
    <x v="1"/>
    <s v="Mobile"/>
    <n v="0"/>
    <n v="0"/>
    <x v="40"/>
    <n v="0"/>
    <x v="2"/>
    <x v="3"/>
    <x v="1"/>
  </r>
  <r>
    <x v="2351"/>
    <s v="C1201"/>
    <d v="2024-04-07T23:00:00"/>
    <n v="45668.68"/>
    <x v="0"/>
    <x v="1"/>
    <s v="Travel"/>
    <x v="3"/>
    <x v="3"/>
    <s v="Mobile"/>
    <n v="0"/>
    <n v="0"/>
    <x v="166"/>
    <n v="0"/>
    <x v="2"/>
    <x v="3"/>
    <x v="1"/>
  </r>
  <r>
    <x v="2352"/>
    <s v="C1235"/>
    <d v="2024-04-08T00:00:00"/>
    <n v="30648.04"/>
    <x v="3"/>
    <x v="1"/>
    <s v="Entertainment"/>
    <x v="0"/>
    <x v="1"/>
    <s v="Desktop"/>
    <n v="0"/>
    <n v="3"/>
    <x v="940"/>
    <n v="1"/>
    <x v="1"/>
    <x v="3"/>
    <x v="0"/>
  </r>
  <r>
    <x v="2353"/>
    <s v="C1281"/>
    <d v="2024-04-08T01:00:00"/>
    <n v="43691.24"/>
    <x v="1"/>
    <x v="0"/>
    <s v="Travel"/>
    <x v="0"/>
    <x v="0"/>
    <s v="Tablet"/>
    <n v="0"/>
    <n v="1"/>
    <x v="659"/>
    <n v="1"/>
    <x v="0"/>
    <x v="3"/>
    <x v="0"/>
  </r>
  <r>
    <x v="2354"/>
    <s v="C1300"/>
    <d v="2024-04-08T02:00:00"/>
    <n v="36212.449999999997"/>
    <x v="2"/>
    <x v="2"/>
    <s v="Retail"/>
    <x v="1"/>
    <x v="1"/>
    <s v="Desktop"/>
    <n v="1"/>
    <n v="3"/>
    <x v="941"/>
    <n v="1"/>
    <x v="1"/>
    <x v="3"/>
    <x v="0"/>
  </r>
  <r>
    <x v="2355"/>
    <s v="C1363"/>
    <d v="2024-04-08T03:00:00"/>
    <n v="6071.89"/>
    <x v="0"/>
    <x v="1"/>
    <s v="Entertainment"/>
    <x v="0"/>
    <x v="1"/>
    <s v="Mobile"/>
    <n v="1"/>
    <n v="3"/>
    <x v="449"/>
    <n v="1"/>
    <x v="1"/>
    <x v="3"/>
    <x v="0"/>
  </r>
  <r>
    <x v="2356"/>
    <s v="C1245"/>
    <d v="2024-04-08T04:00:00"/>
    <n v="45127.54"/>
    <x v="1"/>
    <x v="1"/>
    <s v="Travel"/>
    <x v="3"/>
    <x v="1"/>
    <s v="Mobile"/>
    <n v="0"/>
    <n v="3"/>
    <x v="331"/>
    <n v="1"/>
    <x v="1"/>
    <x v="3"/>
    <x v="0"/>
  </r>
  <r>
    <x v="2357"/>
    <s v="C1027"/>
    <d v="2024-04-08T05:00:00"/>
    <n v="3368.87"/>
    <x v="3"/>
    <x v="3"/>
    <s v="Retail"/>
    <x v="2"/>
    <x v="4"/>
    <s v="Mobile"/>
    <n v="0"/>
    <n v="2"/>
    <x v="198"/>
    <n v="0"/>
    <x v="2"/>
    <x v="3"/>
    <x v="1"/>
  </r>
  <r>
    <x v="2358"/>
    <s v="C1196"/>
    <d v="2024-04-08T06:00:00"/>
    <n v="26721.68"/>
    <x v="3"/>
    <x v="0"/>
    <s v="Travel"/>
    <x v="3"/>
    <x v="2"/>
    <s v="Mobile"/>
    <n v="0"/>
    <n v="0"/>
    <x v="463"/>
    <n v="0"/>
    <x v="2"/>
    <x v="3"/>
    <x v="1"/>
  </r>
  <r>
    <x v="2359"/>
    <s v="C1101"/>
    <d v="2024-04-08T07:00:00"/>
    <n v="7149.75"/>
    <x v="0"/>
    <x v="3"/>
    <s v="Electronics"/>
    <x v="4"/>
    <x v="1"/>
    <s v="Tablet"/>
    <n v="0"/>
    <n v="4"/>
    <x v="145"/>
    <n v="1"/>
    <x v="0"/>
    <x v="3"/>
    <x v="0"/>
  </r>
  <r>
    <x v="2360"/>
    <s v="C1286"/>
    <d v="2024-04-08T08:00:00"/>
    <n v="634.75"/>
    <x v="0"/>
    <x v="2"/>
    <s v="Retail"/>
    <x v="0"/>
    <x v="1"/>
    <s v="Mobile"/>
    <n v="0"/>
    <n v="1"/>
    <x v="44"/>
    <n v="0"/>
    <x v="2"/>
    <x v="3"/>
    <x v="1"/>
  </r>
  <r>
    <x v="2361"/>
    <s v="C1126"/>
    <d v="2024-04-08T09:00:00"/>
    <n v="21130.61"/>
    <x v="0"/>
    <x v="3"/>
    <s v="Travel"/>
    <x v="0"/>
    <x v="0"/>
    <s v="Tablet"/>
    <n v="0"/>
    <n v="3"/>
    <x v="255"/>
    <n v="1"/>
    <x v="0"/>
    <x v="3"/>
    <x v="0"/>
  </r>
  <r>
    <x v="2362"/>
    <s v="C1394"/>
    <d v="2024-04-08T10:00:00"/>
    <n v="14787.28"/>
    <x v="0"/>
    <x v="3"/>
    <s v="Electronics"/>
    <x v="0"/>
    <x v="0"/>
    <s v="Mobile"/>
    <n v="0"/>
    <n v="0"/>
    <x v="942"/>
    <n v="0"/>
    <x v="2"/>
    <x v="3"/>
    <x v="1"/>
  </r>
  <r>
    <x v="2363"/>
    <s v="C1001"/>
    <d v="2024-04-08T11:00:00"/>
    <n v="24325.72"/>
    <x v="0"/>
    <x v="3"/>
    <s v="Electronics"/>
    <x v="0"/>
    <x v="3"/>
    <s v="Tablet"/>
    <n v="0"/>
    <n v="1"/>
    <x v="25"/>
    <n v="0"/>
    <x v="2"/>
    <x v="3"/>
    <x v="1"/>
  </r>
  <r>
    <x v="2364"/>
    <s v="C1255"/>
    <d v="2024-04-08T12:00:00"/>
    <n v="28881.13"/>
    <x v="2"/>
    <x v="0"/>
    <s v="Retail"/>
    <x v="1"/>
    <x v="3"/>
    <s v="Tablet"/>
    <n v="0"/>
    <n v="4"/>
    <x v="943"/>
    <n v="1"/>
    <x v="1"/>
    <x v="3"/>
    <x v="0"/>
  </r>
  <r>
    <x v="2365"/>
    <s v="C1375"/>
    <d v="2024-04-08T13:00:00"/>
    <n v="2234.77"/>
    <x v="2"/>
    <x v="2"/>
    <s v="Food"/>
    <x v="1"/>
    <x v="0"/>
    <s v="Mobile"/>
    <n v="0"/>
    <n v="4"/>
    <x v="868"/>
    <n v="1"/>
    <x v="0"/>
    <x v="3"/>
    <x v="0"/>
  </r>
  <r>
    <x v="2366"/>
    <s v="C1223"/>
    <d v="2024-04-08T14:00:00"/>
    <n v="6194.01"/>
    <x v="1"/>
    <x v="3"/>
    <s v="Entertainment"/>
    <x v="2"/>
    <x v="2"/>
    <s v="Desktop"/>
    <n v="0"/>
    <n v="3"/>
    <x v="685"/>
    <n v="1"/>
    <x v="0"/>
    <x v="3"/>
    <x v="0"/>
  </r>
  <r>
    <x v="2367"/>
    <s v="C1454"/>
    <d v="2024-04-08T15:00:00"/>
    <n v="27954.19"/>
    <x v="3"/>
    <x v="0"/>
    <s v="Retail"/>
    <x v="0"/>
    <x v="3"/>
    <s v="Desktop"/>
    <n v="0"/>
    <n v="4"/>
    <x v="586"/>
    <n v="1"/>
    <x v="1"/>
    <x v="3"/>
    <x v="0"/>
  </r>
  <r>
    <x v="2368"/>
    <s v="C1091"/>
    <d v="2024-04-08T16:00:00"/>
    <n v="17191.21"/>
    <x v="2"/>
    <x v="2"/>
    <s v="Electronics"/>
    <x v="4"/>
    <x v="2"/>
    <s v="Desktop"/>
    <n v="0"/>
    <n v="4"/>
    <x v="591"/>
    <n v="1"/>
    <x v="1"/>
    <x v="3"/>
    <x v="0"/>
  </r>
  <r>
    <x v="2369"/>
    <s v="C1309"/>
    <d v="2024-04-08T17:00:00"/>
    <n v="36472.22"/>
    <x v="2"/>
    <x v="1"/>
    <s v="Electronics"/>
    <x v="2"/>
    <x v="0"/>
    <s v="Desktop"/>
    <n v="0"/>
    <n v="1"/>
    <x v="419"/>
    <n v="1"/>
    <x v="0"/>
    <x v="3"/>
    <x v="0"/>
  </r>
  <r>
    <x v="2370"/>
    <s v="C1090"/>
    <d v="2024-04-08T18:00:00"/>
    <n v="32631.97"/>
    <x v="2"/>
    <x v="3"/>
    <s v="Retail"/>
    <x v="0"/>
    <x v="3"/>
    <s v="Desktop"/>
    <n v="0"/>
    <n v="1"/>
    <x v="260"/>
    <n v="1"/>
    <x v="0"/>
    <x v="3"/>
    <x v="0"/>
  </r>
  <r>
    <x v="2371"/>
    <s v="C1090"/>
    <d v="2024-04-08T19:00:00"/>
    <n v="42287.94"/>
    <x v="1"/>
    <x v="2"/>
    <s v="Food"/>
    <x v="1"/>
    <x v="1"/>
    <s v="Mobile"/>
    <n v="0"/>
    <n v="3"/>
    <x v="316"/>
    <n v="1"/>
    <x v="1"/>
    <x v="3"/>
    <x v="0"/>
  </r>
  <r>
    <x v="2372"/>
    <s v="C1040"/>
    <d v="2024-04-08T20:00:00"/>
    <n v="34640.019999999997"/>
    <x v="0"/>
    <x v="3"/>
    <s v="Entertainment"/>
    <x v="4"/>
    <x v="0"/>
    <s v="Mobile"/>
    <n v="0"/>
    <n v="0"/>
    <x v="639"/>
    <n v="0"/>
    <x v="2"/>
    <x v="3"/>
    <x v="1"/>
  </r>
  <r>
    <x v="2373"/>
    <s v="C1408"/>
    <d v="2024-04-08T21:00:00"/>
    <n v="21525.06"/>
    <x v="1"/>
    <x v="1"/>
    <s v="Travel"/>
    <x v="2"/>
    <x v="3"/>
    <s v="Mobile"/>
    <n v="0"/>
    <n v="3"/>
    <x v="82"/>
    <n v="1"/>
    <x v="0"/>
    <x v="3"/>
    <x v="0"/>
  </r>
  <r>
    <x v="2374"/>
    <s v="C1406"/>
    <d v="2024-04-08T22:00:00"/>
    <n v="33664.68"/>
    <x v="3"/>
    <x v="2"/>
    <s v="Retail"/>
    <x v="4"/>
    <x v="2"/>
    <s v="Mobile"/>
    <n v="0"/>
    <n v="2"/>
    <x v="352"/>
    <n v="1"/>
    <x v="0"/>
    <x v="3"/>
    <x v="0"/>
  </r>
  <r>
    <x v="2375"/>
    <s v="C1006"/>
    <d v="2024-04-08T23:00:00"/>
    <n v="13805.29"/>
    <x v="3"/>
    <x v="0"/>
    <s v="Entertainment"/>
    <x v="0"/>
    <x v="2"/>
    <s v="Mobile"/>
    <n v="0"/>
    <n v="4"/>
    <x v="305"/>
    <n v="1"/>
    <x v="1"/>
    <x v="3"/>
    <x v="0"/>
  </r>
  <r>
    <x v="2376"/>
    <s v="C1454"/>
    <d v="2024-04-09T00:00:00"/>
    <n v="15350.36"/>
    <x v="3"/>
    <x v="2"/>
    <s v="Entertainment"/>
    <x v="3"/>
    <x v="3"/>
    <s v="Mobile"/>
    <n v="0"/>
    <n v="0"/>
    <x v="706"/>
    <n v="0"/>
    <x v="2"/>
    <x v="3"/>
    <x v="1"/>
  </r>
  <r>
    <x v="2377"/>
    <s v="C1247"/>
    <d v="2024-04-09T01:00:00"/>
    <n v="39459.81"/>
    <x v="3"/>
    <x v="0"/>
    <s v="Electronics"/>
    <x v="4"/>
    <x v="2"/>
    <s v="Tablet"/>
    <n v="1"/>
    <n v="1"/>
    <x v="944"/>
    <n v="1"/>
    <x v="1"/>
    <x v="3"/>
    <x v="0"/>
  </r>
  <r>
    <x v="2378"/>
    <s v="C1409"/>
    <d v="2024-04-09T02:00:00"/>
    <n v="22348.65"/>
    <x v="2"/>
    <x v="2"/>
    <s v="Travel"/>
    <x v="4"/>
    <x v="3"/>
    <s v="Tablet"/>
    <n v="0"/>
    <n v="2"/>
    <x v="473"/>
    <n v="1"/>
    <x v="0"/>
    <x v="3"/>
    <x v="0"/>
  </r>
  <r>
    <x v="2379"/>
    <s v="C1328"/>
    <d v="2024-04-09T03:00:00"/>
    <n v="39929.1"/>
    <x v="2"/>
    <x v="0"/>
    <s v="Retail"/>
    <x v="1"/>
    <x v="3"/>
    <s v="Mobile"/>
    <n v="1"/>
    <n v="2"/>
    <x v="660"/>
    <n v="1"/>
    <x v="1"/>
    <x v="3"/>
    <x v="0"/>
  </r>
  <r>
    <x v="2380"/>
    <s v="C1357"/>
    <d v="2024-04-09T04:00:00"/>
    <n v="41130"/>
    <x v="1"/>
    <x v="1"/>
    <s v="Electronics"/>
    <x v="0"/>
    <x v="2"/>
    <s v="Mobile"/>
    <n v="0"/>
    <n v="4"/>
    <x v="945"/>
    <n v="1"/>
    <x v="1"/>
    <x v="3"/>
    <x v="0"/>
  </r>
  <r>
    <x v="2381"/>
    <s v="C1088"/>
    <d v="2024-04-09T05:00:00"/>
    <n v="42885.24"/>
    <x v="0"/>
    <x v="1"/>
    <s v="Electronics"/>
    <x v="4"/>
    <x v="4"/>
    <s v="Tablet"/>
    <n v="0"/>
    <n v="1"/>
    <x v="308"/>
    <n v="1"/>
    <x v="0"/>
    <x v="3"/>
    <x v="0"/>
  </r>
  <r>
    <x v="2382"/>
    <s v="C1473"/>
    <d v="2024-04-09T06:00:00"/>
    <n v="45835.93"/>
    <x v="3"/>
    <x v="1"/>
    <s v="Food"/>
    <x v="0"/>
    <x v="1"/>
    <s v="Tablet"/>
    <n v="0"/>
    <n v="0"/>
    <x v="217"/>
    <n v="1"/>
    <x v="0"/>
    <x v="3"/>
    <x v="0"/>
  </r>
  <r>
    <x v="2383"/>
    <s v="C1007"/>
    <d v="2024-04-09T07:00:00"/>
    <n v="21577.71"/>
    <x v="1"/>
    <x v="2"/>
    <s v="Entertainment"/>
    <x v="1"/>
    <x v="0"/>
    <s v="Mobile"/>
    <n v="0"/>
    <n v="1"/>
    <x v="461"/>
    <n v="0"/>
    <x v="2"/>
    <x v="3"/>
    <x v="1"/>
  </r>
  <r>
    <x v="2384"/>
    <s v="C1322"/>
    <d v="2024-04-09T08:00:00"/>
    <n v="15977.4"/>
    <x v="2"/>
    <x v="1"/>
    <s v="Retail"/>
    <x v="0"/>
    <x v="1"/>
    <s v="Tablet"/>
    <n v="0"/>
    <n v="4"/>
    <x v="122"/>
    <n v="1"/>
    <x v="1"/>
    <x v="3"/>
    <x v="0"/>
  </r>
  <r>
    <x v="2385"/>
    <s v="C1287"/>
    <d v="2024-04-09T09:00:00"/>
    <n v="29130.83"/>
    <x v="2"/>
    <x v="3"/>
    <s v="Retail"/>
    <x v="1"/>
    <x v="0"/>
    <s v="Desktop"/>
    <n v="0"/>
    <n v="2"/>
    <x v="382"/>
    <n v="1"/>
    <x v="0"/>
    <x v="3"/>
    <x v="0"/>
  </r>
  <r>
    <x v="2386"/>
    <s v="C1005"/>
    <d v="2024-04-09T10:00:00"/>
    <n v="18590.060000000001"/>
    <x v="0"/>
    <x v="1"/>
    <s v="Retail"/>
    <x v="1"/>
    <x v="0"/>
    <s v="Desktop"/>
    <n v="0"/>
    <n v="4"/>
    <x v="129"/>
    <n v="1"/>
    <x v="1"/>
    <x v="3"/>
    <x v="0"/>
  </r>
  <r>
    <x v="2387"/>
    <s v="C1424"/>
    <d v="2024-04-09T11:00:00"/>
    <n v="30073.65"/>
    <x v="0"/>
    <x v="0"/>
    <s v="Electronics"/>
    <x v="2"/>
    <x v="1"/>
    <s v="Desktop"/>
    <n v="0"/>
    <n v="3"/>
    <x v="380"/>
    <n v="1"/>
    <x v="1"/>
    <x v="3"/>
    <x v="0"/>
  </r>
  <r>
    <x v="2388"/>
    <s v="C1147"/>
    <d v="2024-04-09T12:00:00"/>
    <n v="35294.01"/>
    <x v="0"/>
    <x v="0"/>
    <s v="Food"/>
    <x v="0"/>
    <x v="3"/>
    <s v="Tablet"/>
    <n v="0"/>
    <n v="2"/>
    <x v="311"/>
    <n v="1"/>
    <x v="0"/>
    <x v="3"/>
    <x v="0"/>
  </r>
  <r>
    <x v="2389"/>
    <s v="C1124"/>
    <d v="2024-04-09T13:00:00"/>
    <n v="34435.83"/>
    <x v="1"/>
    <x v="0"/>
    <s v="Travel"/>
    <x v="3"/>
    <x v="2"/>
    <s v="Mobile"/>
    <n v="0"/>
    <n v="4"/>
    <x v="250"/>
    <n v="1"/>
    <x v="1"/>
    <x v="3"/>
    <x v="0"/>
  </r>
  <r>
    <x v="2390"/>
    <s v="C1015"/>
    <d v="2024-04-09T14:00:00"/>
    <n v="18758.919999999998"/>
    <x v="2"/>
    <x v="2"/>
    <s v="Electronics"/>
    <x v="2"/>
    <x v="4"/>
    <s v="Mobile"/>
    <n v="1"/>
    <n v="0"/>
    <x v="325"/>
    <n v="0"/>
    <x v="2"/>
    <x v="3"/>
    <x v="1"/>
  </r>
  <r>
    <x v="2391"/>
    <s v="C1474"/>
    <d v="2024-04-09T15:00:00"/>
    <n v="8384.67"/>
    <x v="2"/>
    <x v="3"/>
    <s v="Travel"/>
    <x v="1"/>
    <x v="4"/>
    <s v="Mobile"/>
    <n v="0"/>
    <n v="0"/>
    <x v="946"/>
    <n v="0"/>
    <x v="2"/>
    <x v="3"/>
    <x v="1"/>
  </r>
  <r>
    <x v="2392"/>
    <s v="C1320"/>
    <d v="2024-04-09T16:00:00"/>
    <n v="21554.94"/>
    <x v="0"/>
    <x v="1"/>
    <s v="Food"/>
    <x v="3"/>
    <x v="4"/>
    <s v="Tablet"/>
    <n v="0"/>
    <n v="0"/>
    <x v="18"/>
    <n v="0"/>
    <x v="2"/>
    <x v="3"/>
    <x v="1"/>
  </r>
  <r>
    <x v="2393"/>
    <s v="C1244"/>
    <d v="2024-04-09T17:00:00"/>
    <n v="7172.58"/>
    <x v="3"/>
    <x v="3"/>
    <s v="Entertainment"/>
    <x v="4"/>
    <x v="1"/>
    <s v="Tablet"/>
    <n v="0"/>
    <n v="3"/>
    <x v="496"/>
    <n v="1"/>
    <x v="0"/>
    <x v="3"/>
    <x v="0"/>
  </r>
  <r>
    <x v="2394"/>
    <s v="C1080"/>
    <d v="2024-04-09T18:00:00"/>
    <n v="44510.35"/>
    <x v="0"/>
    <x v="3"/>
    <s v="Retail"/>
    <x v="4"/>
    <x v="1"/>
    <s v="Desktop"/>
    <n v="0"/>
    <n v="1"/>
    <x v="54"/>
    <n v="1"/>
    <x v="0"/>
    <x v="3"/>
    <x v="0"/>
  </r>
  <r>
    <x v="2395"/>
    <s v="C1044"/>
    <d v="2024-04-09T19:00:00"/>
    <n v="17326.580000000002"/>
    <x v="1"/>
    <x v="0"/>
    <s v="Travel"/>
    <x v="2"/>
    <x v="3"/>
    <s v="Tablet"/>
    <n v="0"/>
    <n v="0"/>
    <x v="296"/>
    <n v="0"/>
    <x v="2"/>
    <x v="3"/>
    <x v="1"/>
  </r>
  <r>
    <x v="2396"/>
    <s v="C1266"/>
    <d v="2024-04-09T20:00:00"/>
    <n v="7765.26"/>
    <x v="0"/>
    <x v="0"/>
    <s v="Electronics"/>
    <x v="3"/>
    <x v="4"/>
    <s v="Desktop"/>
    <n v="1"/>
    <n v="3"/>
    <x v="498"/>
    <n v="1"/>
    <x v="1"/>
    <x v="3"/>
    <x v="0"/>
  </r>
  <r>
    <x v="2397"/>
    <s v="C1456"/>
    <d v="2024-04-09T21:00:00"/>
    <n v="1321.12"/>
    <x v="0"/>
    <x v="0"/>
    <s v="Travel"/>
    <x v="0"/>
    <x v="3"/>
    <s v="Desktop"/>
    <n v="0"/>
    <n v="0"/>
    <x v="211"/>
    <n v="0"/>
    <x v="2"/>
    <x v="3"/>
    <x v="1"/>
  </r>
  <r>
    <x v="2398"/>
    <s v="C1138"/>
    <d v="2024-04-09T22:00:00"/>
    <n v="32308.83"/>
    <x v="1"/>
    <x v="2"/>
    <s v="Entertainment"/>
    <x v="3"/>
    <x v="4"/>
    <s v="Mobile"/>
    <n v="1"/>
    <n v="3"/>
    <x v="899"/>
    <n v="1"/>
    <x v="1"/>
    <x v="3"/>
    <x v="0"/>
  </r>
  <r>
    <x v="2399"/>
    <s v="C1006"/>
    <d v="2024-04-09T23:00:00"/>
    <n v="31863.27"/>
    <x v="0"/>
    <x v="3"/>
    <s v="Retail"/>
    <x v="2"/>
    <x v="1"/>
    <s v="Tablet"/>
    <n v="0"/>
    <n v="0"/>
    <x v="501"/>
    <n v="0"/>
    <x v="2"/>
    <x v="3"/>
    <x v="1"/>
  </r>
  <r>
    <x v="2400"/>
    <s v="C1073"/>
    <d v="2024-04-10T00:00:00"/>
    <n v="17063.18"/>
    <x v="2"/>
    <x v="3"/>
    <s v="Travel"/>
    <x v="0"/>
    <x v="2"/>
    <s v="Mobile"/>
    <n v="0"/>
    <n v="1"/>
    <x v="153"/>
    <n v="0"/>
    <x v="2"/>
    <x v="3"/>
    <x v="1"/>
  </r>
  <r>
    <x v="2401"/>
    <s v="C1048"/>
    <d v="2024-04-10T01:00:00"/>
    <n v="3632.01"/>
    <x v="3"/>
    <x v="2"/>
    <s v="Entertainment"/>
    <x v="0"/>
    <x v="2"/>
    <s v="Mobile"/>
    <n v="0"/>
    <n v="4"/>
    <x v="590"/>
    <n v="1"/>
    <x v="0"/>
    <x v="3"/>
    <x v="0"/>
  </r>
  <r>
    <x v="2402"/>
    <s v="C1083"/>
    <d v="2024-04-10T02:00:00"/>
    <n v="20510.96"/>
    <x v="0"/>
    <x v="2"/>
    <s v="Electronics"/>
    <x v="4"/>
    <x v="2"/>
    <s v="Tablet"/>
    <n v="0"/>
    <n v="0"/>
    <x v="273"/>
    <n v="0"/>
    <x v="2"/>
    <x v="3"/>
    <x v="1"/>
  </r>
  <r>
    <x v="2403"/>
    <s v="C1398"/>
    <d v="2024-04-10T03:00:00"/>
    <n v="15595.31"/>
    <x v="1"/>
    <x v="2"/>
    <s v="Food"/>
    <x v="3"/>
    <x v="2"/>
    <s v="Tablet"/>
    <n v="1"/>
    <n v="4"/>
    <x v="191"/>
    <n v="1"/>
    <x v="1"/>
    <x v="3"/>
    <x v="0"/>
  </r>
  <r>
    <x v="2404"/>
    <s v="C1262"/>
    <d v="2024-04-10T04:00:00"/>
    <n v="33872.18"/>
    <x v="3"/>
    <x v="3"/>
    <s v="Electronics"/>
    <x v="0"/>
    <x v="0"/>
    <s v="Desktop"/>
    <n v="0"/>
    <n v="0"/>
    <x v="569"/>
    <n v="0"/>
    <x v="2"/>
    <x v="3"/>
    <x v="1"/>
  </r>
  <r>
    <x v="2405"/>
    <s v="C1369"/>
    <d v="2024-04-10T05:00:00"/>
    <n v="30308.67"/>
    <x v="1"/>
    <x v="3"/>
    <s v="Retail"/>
    <x v="2"/>
    <x v="4"/>
    <s v="Desktop"/>
    <n v="0"/>
    <n v="1"/>
    <x v="34"/>
    <n v="1"/>
    <x v="0"/>
    <x v="3"/>
    <x v="0"/>
  </r>
  <r>
    <x v="2406"/>
    <s v="C1153"/>
    <d v="2024-04-10T06:00:00"/>
    <n v="18261.46"/>
    <x v="3"/>
    <x v="0"/>
    <s v="Electronics"/>
    <x v="4"/>
    <x v="2"/>
    <s v="Desktop"/>
    <n v="0"/>
    <n v="4"/>
    <x v="399"/>
    <n v="1"/>
    <x v="1"/>
    <x v="3"/>
    <x v="0"/>
  </r>
  <r>
    <x v="2407"/>
    <s v="C1180"/>
    <d v="2024-04-10T07:00:00"/>
    <n v="10933.73"/>
    <x v="3"/>
    <x v="0"/>
    <s v="Electronics"/>
    <x v="0"/>
    <x v="0"/>
    <s v="Desktop"/>
    <n v="0"/>
    <n v="3"/>
    <x v="702"/>
    <n v="1"/>
    <x v="0"/>
    <x v="3"/>
    <x v="0"/>
  </r>
  <r>
    <x v="2408"/>
    <s v="C1159"/>
    <d v="2024-04-10T08:00:00"/>
    <n v="49402.400000000001"/>
    <x v="0"/>
    <x v="3"/>
    <s v="Electronics"/>
    <x v="3"/>
    <x v="0"/>
    <s v="Mobile"/>
    <n v="0"/>
    <n v="0"/>
    <x v="472"/>
    <n v="1"/>
    <x v="0"/>
    <x v="3"/>
    <x v="0"/>
  </r>
  <r>
    <x v="2409"/>
    <s v="C1104"/>
    <d v="2024-04-10T09:00:00"/>
    <n v="22727.38"/>
    <x v="2"/>
    <x v="0"/>
    <s v="Electronics"/>
    <x v="4"/>
    <x v="0"/>
    <s v="Mobile"/>
    <n v="0"/>
    <n v="0"/>
    <x v="684"/>
    <n v="0"/>
    <x v="2"/>
    <x v="3"/>
    <x v="1"/>
  </r>
  <r>
    <x v="2410"/>
    <s v="C1242"/>
    <d v="2024-04-10T10:00:00"/>
    <n v="34429.300000000003"/>
    <x v="0"/>
    <x v="2"/>
    <s v="Retail"/>
    <x v="3"/>
    <x v="3"/>
    <s v="Tablet"/>
    <n v="0"/>
    <n v="3"/>
    <x v="162"/>
    <n v="1"/>
    <x v="0"/>
    <x v="3"/>
    <x v="0"/>
  </r>
  <r>
    <x v="2411"/>
    <s v="C1422"/>
    <d v="2024-04-10T11:00:00"/>
    <n v="7070.62"/>
    <x v="1"/>
    <x v="1"/>
    <s v="Entertainment"/>
    <x v="3"/>
    <x v="3"/>
    <s v="Desktop"/>
    <n v="0"/>
    <n v="1"/>
    <x v="859"/>
    <n v="0"/>
    <x v="2"/>
    <x v="3"/>
    <x v="1"/>
  </r>
  <r>
    <x v="2412"/>
    <s v="C1172"/>
    <d v="2024-04-10T12:00:00"/>
    <n v="24305.21"/>
    <x v="1"/>
    <x v="0"/>
    <s v="Travel"/>
    <x v="3"/>
    <x v="0"/>
    <s v="Desktop"/>
    <n v="0"/>
    <n v="2"/>
    <x v="458"/>
    <n v="1"/>
    <x v="0"/>
    <x v="3"/>
    <x v="0"/>
  </r>
  <r>
    <x v="2413"/>
    <s v="C1061"/>
    <d v="2024-04-10T13:00:00"/>
    <n v="1425.46"/>
    <x v="3"/>
    <x v="3"/>
    <s v="Food"/>
    <x v="4"/>
    <x v="2"/>
    <s v="Desktop"/>
    <n v="0"/>
    <n v="0"/>
    <x v="115"/>
    <n v="0"/>
    <x v="2"/>
    <x v="3"/>
    <x v="1"/>
  </r>
  <r>
    <x v="2414"/>
    <s v="C1332"/>
    <d v="2024-04-10T14:00:00"/>
    <n v="25297.48"/>
    <x v="3"/>
    <x v="0"/>
    <s v="Travel"/>
    <x v="0"/>
    <x v="4"/>
    <s v="Mobile"/>
    <n v="0"/>
    <n v="3"/>
    <x v="817"/>
    <n v="1"/>
    <x v="1"/>
    <x v="3"/>
    <x v="0"/>
  </r>
  <r>
    <x v="2415"/>
    <s v="C1065"/>
    <d v="2024-04-10T15:00:00"/>
    <n v="48202.67"/>
    <x v="2"/>
    <x v="0"/>
    <s v="Travel"/>
    <x v="1"/>
    <x v="1"/>
    <s v="Tablet"/>
    <n v="1"/>
    <n v="2"/>
    <x v="947"/>
    <n v="1"/>
    <x v="1"/>
    <x v="3"/>
    <x v="0"/>
  </r>
  <r>
    <x v="2416"/>
    <s v="C1261"/>
    <d v="2024-04-10T16:00:00"/>
    <n v="19241.13"/>
    <x v="0"/>
    <x v="0"/>
    <s v="Food"/>
    <x v="0"/>
    <x v="3"/>
    <s v="Mobile"/>
    <n v="0"/>
    <n v="0"/>
    <x v="948"/>
    <n v="0"/>
    <x v="2"/>
    <x v="3"/>
    <x v="1"/>
  </r>
  <r>
    <x v="2417"/>
    <s v="C1272"/>
    <d v="2024-04-10T17:00:00"/>
    <n v="1997.85"/>
    <x v="1"/>
    <x v="1"/>
    <s v="Retail"/>
    <x v="4"/>
    <x v="2"/>
    <s v="Tablet"/>
    <n v="0"/>
    <n v="4"/>
    <x v="213"/>
    <n v="1"/>
    <x v="0"/>
    <x v="3"/>
    <x v="0"/>
  </r>
  <r>
    <x v="2418"/>
    <s v="C1203"/>
    <d v="2024-04-10T18:00:00"/>
    <n v="1596.24"/>
    <x v="3"/>
    <x v="2"/>
    <s v="Food"/>
    <x v="1"/>
    <x v="2"/>
    <s v="Tablet"/>
    <n v="1"/>
    <n v="3"/>
    <x v="2"/>
    <n v="1"/>
    <x v="0"/>
    <x v="3"/>
    <x v="0"/>
  </r>
  <r>
    <x v="2419"/>
    <s v="C1366"/>
    <d v="2024-04-10T19:00:00"/>
    <n v="19429.939999999999"/>
    <x v="2"/>
    <x v="3"/>
    <s v="Retail"/>
    <x v="1"/>
    <x v="1"/>
    <s v="Mobile"/>
    <n v="0"/>
    <n v="4"/>
    <x v="177"/>
    <n v="1"/>
    <x v="1"/>
    <x v="3"/>
    <x v="0"/>
  </r>
  <r>
    <x v="2420"/>
    <s v="C1475"/>
    <d v="2024-04-10T20:00:00"/>
    <n v="8043.25"/>
    <x v="1"/>
    <x v="1"/>
    <s v="Travel"/>
    <x v="1"/>
    <x v="1"/>
    <s v="Mobile"/>
    <n v="0"/>
    <n v="1"/>
    <x v="643"/>
    <n v="0"/>
    <x v="2"/>
    <x v="3"/>
    <x v="1"/>
  </r>
  <r>
    <x v="2421"/>
    <s v="C1352"/>
    <d v="2024-04-10T21:00:00"/>
    <n v="1216.44"/>
    <x v="3"/>
    <x v="3"/>
    <s v="Retail"/>
    <x v="2"/>
    <x v="2"/>
    <s v="Tablet"/>
    <n v="0"/>
    <n v="2"/>
    <x v="717"/>
    <n v="0"/>
    <x v="2"/>
    <x v="3"/>
    <x v="1"/>
  </r>
  <r>
    <x v="2422"/>
    <s v="C1101"/>
    <d v="2024-04-10T22:00:00"/>
    <n v="37822.870000000003"/>
    <x v="1"/>
    <x v="3"/>
    <s v="Entertainment"/>
    <x v="4"/>
    <x v="1"/>
    <s v="Mobile"/>
    <n v="0"/>
    <n v="3"/>
    <x v="498"/>
    <n v="1"/>
    <x v="1"/>
    <x v="3"/>
    <x v="0"/>
  </r>
  <r>
    <x v="2423"/>
    <s v="C1392"/>
    <d v="2024-04-10T23:00:00"/>
    <n v="22953.22"/>
    <x v="2"/>
    <x v="3"/>
    <s v="Food"/>
    <x v="2"/>
    <x v="2"/>
    <s v="Mobile"/>
    <n v="0"/>
    <n v="0"/>
    <x v="42"/>
    <n v="0"/>
    <x v="2"/>
    <x v="3"/>
    <x v="1"/>
  </r>
  <r>
    <x v="2424"/>
    <s v="C1467"/>
    <d v="2024-04-11T00:00:00"/>
    <n v="14497.78"/>
    <x v="2"/>
    <x v="1"/>
    <s v="Entertainment"/>
    <x v="1"/>
    <x v="1"/>
    <s v="Tablet"/>
    <n v="0"/>
    <n v="0"/>
    <x v="949"/>
    <n v="0"/>
    <x v="2"/>
    <x v="3"/>
    <x v="1"/>
  </r>
  <r>
    <x v="2425"/>
    <s v="C1094"/>
    <d v="2024-04-11T01:00:00"/>
    <n v="45009.15"/>
    <x v="1"/>
    <x v="2"/>
    <s v="Travel"/>
    <x v="2"/>
    <x v="1"/>
    <s v="Tablet"/>
    <n v="0"/>
    <n v="2"/>
    <x v="622"/>
    <n v="1"/>
    <x v="1"/>
    <x v="3"/>
    <x v="0"/>
  </r>
  <r>
    <x v="2426"/>
    <s v="C1221"/>
    <d v="2024-04-11T02:00:00"/>
    <n v="5851.14"/>
    <x v="0"/>
    <x v="3"/>
    <s v="Food"/>
    <x v="2"/>
    <x v="2"/>
    <s v="Desktop"/>
    <n v="0"/>
    <n v="4"/>
    <x v="526"/>
    <n v="1"/>
    <x v="0"/>
    <x v="3"/>
    <x v="0"/>
  </r>
  <r>
    <x v="2427"/>
    <s v="C1307"/>
    <d v="2024-04-11T03:00:00"/>
    <n v="47798.15"/>
    <x v="1"/>
    <x v="2"/>
    <s v="Travel"/>
    <x v="4"/>
    <x v="0"/>
    <s v="Mobile"/>
    <n v="0"/>
    <n v="4"/>
    <x v="950"/>
    <n v="1"/>
    <x v="1"/>
    <x v="3"/>
    <x v="0"/>
  </r>
  <r>
    <x v="2428"/>
    <s v="C1084"/>
    <d v="2024-04-11T04:00:00"/>
    <n v="15732.64"/>
    <x v="3"/>
    <x v="2"/>
    <s v="Entertainment"/>
    <x v="3"/>
    <x v="2"/>
    <s v="Tablet"/>
    <n v="0"/>
    <n v="3"/>
    <x v="13"/>
    <n v="1"/>
    <x v="0"/>
    <x v="3"/>
    <x v="0"/>
  </r>
  <r>
    <x v="2429"/>
    <s v="C1153"/>
    <d v="2024-04-11T05:00:00"/>
    <n v="44425.760000000002"/>
    <x v="0"/>
    <x v="0"/>
    <s v="Travel"/>
    <x v="2"/>
    <x v="4"/>
    <s v="Mobile"/>
    <n v="0"/>
    <n v="3"/>
    <x v="678"/>
    <n v="1"/>
    <x v="1"/>
    <x v="3"/>
    <x v="0"/>
  </r>
  <r>
    <x v="2430"/>
    <s v="C1390"/>
    <d v="2024-04-11T06:00:00"/>
    <n v="30167"/>
    <x v="3"/>
    <x v="1"/>
    <s v="Food"/>
    <x v="2"/>
    <x v="1"/>
    <s v="Mobile"/>
    <n v="0"/>
    <n v="4"/>
    <x v="951"/>
    <n v="1"/>
    <x v="1"/>
    <x v="3"/>
    <x v="0"/>
  </r>
  <r>
    <x v="2431"/>
    <s v="C1218"/>
    <d v="2024-04-11T07:00:00"/>
    <n v="41344.03"/>
    <x v="1"/>
    <x v="1"/>
    <s v="Food"/>
    <x v="1"/>
    <x v="3"/>
    <s v="Tablet"/>
    <n v="0"/>
    <n v="3"/>
    <x v="17"/>
    <n v="1"/>
    <x v="1"/>
    <x v="3"/>
    <x v="0"/>
  </r>
  <r>
    <x v="2432"/>
    <s v="C1076"/>
    <d v="2024-04-11T08:00:00"/>
    <n v="49201.46"/>
    <x v="0"/>
    <x v="0"/>
    <s v="Travel"/>
    <x v="1"/>
    <x v="1"/>
    <s v="Desktop"/>
    <n v="0"/>
    <n v="4"/>
    <x v="616"/>
    <n v="1"/>
    <x v="1"/>
    <x v="3"/>
    <x v="0"/>
  </r>
  <r>
    <x v="2433"/>
    <s v="C1486"/>
    <d v="2024-04-11T09:00:00"/>
    <n v="14455.85"/>
    <x v="3"/>
    <x v="0"/>
    <s v="Food"/>
    <x v="1"/>
    <x v="4"/>
    <s v="Tablet"/>
    <n v="0"/>
    <n v="2"/>
    <x v="246"/>
    <n v="0"/>
    <x v="2"/>
    <x v="3"/>
    <x v="1"/>
  </r>
  <r>
    <x v="2434"/>
    <s v="C1433"/>
    <d v="2024-04-11T10:00:00"/>
    <n v="48058.720000000001"/>
    <x v="1"/>
    <x v="2"/>
    <s v="Food"/>
    <x v="0"/>
    <x v="3"/>
    <s v="Tablet"/>
    <n v="1"/>
    <n v="3"/>
    <x v="952"/>
    <n v="1"/>
    <x v="1"/>
    <x v="3"/>
    <x v="0"/>
  </r>
  <r>
    <x v="2435"/>
    <s v="C1357"/>
    <d v="2024-04-11T11:00:00"/>
    <n v="19504.62"/>
    <x v="1"/>
    <x v="3"/>
    <s v="Travel"/>
    <x v="2"/>
    <x v="3"/>
    <s v="Mobile"/>
    <n v="1"/>
    <n v="4"/>
    <x v="953"/>
    <n v="1"/>
    <x v="1"/>
    <x v="3"/>
    <x v="0"/>
  </r>
  <r>
    <x v="2436"/>
    <s v="C1245"/>
    <d v="2024-04-11T12:00:00"/>
    <n v="19306.32"/>
    <x v="0"/>
    <x v="1"/>
    <s v="Entertainment"/>
    <x v="1"/>
    <x v="2"/>
    <s v="Desktop"/>
    <n v="0"/>
    <n v="3"/>
    <x v="954"/>
    <n v="1"/>
    <x v="0"/>
    <x v="3"/>
    <x v="0"/>
  </r>
  <r>
    <x v="2437"/>
    <s v="C1048"/>
    <d v="2024-04-11T13:00:00"/>
    <n v="17052.34"/>
    <x v="1"/>
    <x v="3"/>
    <s v="Food"/>
    <x v="4"/>
    <x v="0"/>
    <s v="Tablet"/>
    <n v="0"/>
    <n v="0"/>
    <x v="326"/>
    <n v="0"/>
    <x v="2"/>
    <x v="3"/>
    <x v="1"/>
  </r>
  <r>
    <x v="2438"/>
    <s v="C1270"/>
    <d v="2024-04-11T14:00:00"/>
    <n v="27093.31"/>
    <x v="2"/>
    <x v="3"/>
    <s v="Food"/>
    <x v="0"/>
    <x v="2"/>
    <s v="Mobile"/>
    <n v="0"/>
    <n v="0"/>
    <x v="261"/>
    <n v="0"/>
    <x v="2"/>
    <x v="3"/>
    <x v="1"/>
  </r>
  <r>
    <x v="2439"/>
    <s v="C1264"/>
    <d v="2024-04-11T15:00:00"/>
    <n v="7749.54"/>
    <x v="3"/>
    <x v="0"/>
    <s v="Food"/>
    <x v="3"/>
    <x v="3"/>
    <s v="Tablet"/>
    <n v="1"/>
    <n v="1"/>
    <x v="386"/>
    <n v="0"/>
    <x v="2"/>
    <x v="3"/>
    <x v="1"/>
  </r>
  <r>
    <x v="2440"/>
    <s v="C1071"/>
    <d v="2024-04-11T16:00:00"/>
    <n v="27707.89"/>
    <x v="3"/>
    <x v="3"/>
    <s v="Food"/>
    <x v="2"/>
    <x v="3"/>
    <s v="Mobile"/>
    <n v="0"/>
    <n v="4"/>
    <x v="281"/>
    <n v="1"/>
    <x v="1"/>
    <x v="3"/>
    <x v="0"/>
  </r>
  <r>
    <x v="2441"/>
    <s v="C1472"/>
    <d v="2024-04-11T17:00:00"/>
    <n v="27108.16"/>
    <x v="1"/>
    <x v="2"/>
    <s v="Travel"/>
    <x v="2"/>
    <x v="0"/>
    <s v="Tablet"/>
    <n v="0"/>
    <n v="1"/>
    <x v="741"/>
    <n v="1"/>
    <x v="0"/>
    <x v="3"/>
    <x v="0"/>
  </r>
  <r>
    <x v="2442"/>
    <s v="C1414"/>
    <d v="2024-04-11T18:00:00"/>
    <n v="38107"/>
    <x v="1"/>
    <x v="0"/>
    <s v="Entertainment"/>
    <x v="4"/>
    <x v="1"/>
    <s v="Desktop"/>
    <n v="0"/>
    <n v="4"/>
    <x v="955"/>
    <n v="1"/>
    <x v="1"/>
    <x v="3"/>
    <x v="0"/>
  </r>
  <r>
    <x v="2443"/>
    <s v="C1048"/>
    <d v="2024-04-11T19:00:00"/>
    <n v="41690.82"/>
    <x v="2"/>
    <x v="3"/>
    <s v="Entertainment"/>
    <x v="3"/>
    <x v="0"/>
    <s v="Tablet"/>
    <n v="0"/>
    <n v="3"/>
    <x v="805"/>
    <n v="1"/>
    <x v="1"/>
    <x v="3"/>
    <x v="0"/>
  </r>
  <r>
    <x v="2444"/>
    <s v="C1063"/>
    <d v="2024-04-11T20:00:00"/>
    <n v="22050.05"/>
    <x v="0"/>
    <x v="0"/>
    <s v="Retail"/>
    <x v="3"/>
    <x v="2"/>
    <s v="Mobile"/>
    <n v="0"/>
    <n v="4"/>
    <x v="956"/>
    <n v="1"/>
    <x v="1"/>
    <x v="3"/>
    <x v="0"/>
  </r>
  <r>
    <x v="2445"/>
    <s v="C1440"/>
    <d v="2024-04-11T21:00:00"/>
    <n v="15151.55"/>
    <x v="1"/>
    <x v="2"/>
    <s v="Food"/>
    <x v="0"/>
    <x v="1"/>
    <s v="Tablet"/>
    <n v="0"/>
    <n v="0"/>
    <x v="957"/>
    <n v="0"/>
    <x v="2"/>
    <x v="3"/>
    <x v="1"/>
  </r>
  <r>
    <x v="2446"/>
    <s v="C1064"/>
    <d v="2024-04-11T22:00:00"/>
    <n v="13003.78"/>
    <x v="1"/>
    <x v="2"/>
    <s v="Food"/>
    <x v="2"/>
    <x v="2"/>
    <s v="Desktop"/>
    <n v="0"/>
    <n v="3"/>
    <x v="75"/>
    <n v="1"/>
    <x v="0"/>
    <x v="3"/>
    <x v="0"/>
  </r>
  <r>
    <x v="2447"/>
    <s v="C1088"/>
    <d v="2024-04-11T23:00:00"/>
    <n v="9771.4599999999991"/>
    <x v="1"/>
    <x v="3"/>
    <s v="Retail"/>
    <x v="1"/>
    <x v="0"/>
    <s v="Desktop"/>
    <n v="0"/>
    <n v="0"/>
    <x v="208"/>
    <n v="0"/>
    <x v="2"/>
    <x v="3"/>
    <x v="1"/>
  </r>
  <r>
    <x v="2448"/>
    <s v="C1247"/>
    <d v="2024-04-12T00:00:00"/>
    <n v="2929.5"/>
    <x v="1"/>
    <x v="0"/>
    <s v="Entertainment"/>
    <x v="4"/>
    <x v="1"/>
    <s v="Desktop"/>
    <n v="0"/>
    <n v="3"/>
    <x v="411"/>
    <n v="0"/>
    <x v="2"/>
    <x v="3"/>
    <x v="1"/>
  </r>
  <r>
    <x v="2449"/>
    <s v="C1345"/>
    <d v="2024-04-12T01:00:00"/>
    <n v="17155.28"/>
    <x v="3"/>
    <x v="3"/>
    <s v="Electronics"/>
    <x v="4"/>
    <x v="0"/>
    <s v="Desktop"/>
    <n v="0"/>
    <n v="4"/>
    <x v="591"/>
    <n v="1"/>
    <x v="1"/>
    <x v="3"/>
    <x v="0"/>
  </r>
  <r>
    <x v="2450"/>
    <s v="C1484"/>
    <d v="2024-04-12T02:00:00"/>
    <n v="13548.87"/>
    <x v="1"/>
    <x v="3"/>
    <s v="Electronics"/>
    <x v="4"/>
    <x v="4"/>
    <s v="Mobile"/>
    <n v="0"/>
    <n v="4"/>
    <x v="557"/>
    <n v="1"/>
    <x v="1"/>
    <x v="3"/>
    <x v="0"/>
  </r>
  <r>
    <x v="2451"/>
    <s v="C1349"/>
    <d v="2024-04-12T03:00:00"/>
    <n v="48322.55"/>
    <x v="3"/>
    <x v="0"/>
    <s v="Entertainment"/>
    <x v="4"/>
    <x v="3"/>
    <s v="Tablet"/>
    <n v="0"/>
    <n v="0"/>
    <x v="23"/>
    <n v="1"/>
    <x v="0"/>
    <x v="3"/>
    <x v="0"/>
  </r>
  <r>
    <x v="2452"/>
    <s v="C1158"/>
    <d v="2024-04-12T04:00:00"/>
    <n v="27907.56"/>
    <x v="1"/>
    <x v="3"/>
    <s v="Food"/>
    <x v="1"/>
    <x v="1"/>
    <s v="Desktop"/>
    <n v="0"/>
    <n v="2"/>
    <x v="308"/>
    <n v="1"/>
    <x v="0"/>
    <x v="3"/>
    <x v="0"/>
  </r>
  <r>
    <x v="2453"/>
    <s v="C1090"/>
    <d v="2024-04-12T05:00:00"/>
    <n v="17396.490000000002"/>
    <x v="0"/>
    <x v="2"/>
    <s v="Electronics"/>
    <x v="1"/>
    <x v="3"/>
    <s v="Tablet"/>
    <n v="0"/>
    <n v="4"/>
    <x v="958"/>
    <n v="1"/>
    <x v="1"/>
    <x v="3"/>
    <x v="0"/>
  </r>
  <r>
    <x v="2454"/>
    <s v="C1408"/>
    <d v="2024-04-12T06:00:00"/>
    <n v="29044.36"/>
    <x v="2"/>
    <x v="0"/>
    <s v="Travel"/>
    <x v="0"/>
    <x v="4"/>
    <s v="Mobile"/>
    <n v="0"/>
    <n v="2"/>
    <x v="697"/>
    <n v="1"/>
    <x v="0"/>
    <x v="3"/>
    <x v="0"/>
  </r>
  <r>
    <x v="2455"/>
    <s v="C1127"/>
    <d v="2024-04-12T07:00:00"/>
    <n v="7002.88"/>
    <x v="0"/>
    <x v="0"/>
    <s v="Travel"/>
    <x v="2"/>
    <x v="1"/>
    <s v="Tablet"/>
    <n v="0"/>
    <n v="3"/>
    <x v="267"/>
    <n v="1"/>
    <x v="0"/>
    <x v="3"/>
    <x v="0"/>
  </r>
  <r>
    <x v="2456"/>
    <s v="C1455"/>
    <d v="2024-04-12T08:00:00"/>
    <n v="22229.99"/>
    <x v="1"/>
    <x v="0"/>
    <s v="Retail"/>
    <x v="1"/>
    <x v="3"/>
    <s v="Tablet"/>
    <n v="0"/>
    <n v="2"/>
    <x v="372"/>
    <n v="1"/>
    <x v="0"/>
    <x v="3"/>
    <x v="0"/>
  </r>
  <r>
    <x v="2457"/>
    <s v="C1070"/>
    <d v="2024-04-12T09:00:00"/>
    <n v="31330.400000000001"/>
    <x v="1"/>
    <x v="0"/>
    <s v="Entertainment"/>
    <x v="0"/>
    <x v="3"/>
    <s v="Desktop"/>
    <n v="0"/>
    <n v="0"/>
    <x v="57"/>
    <n v="0"/>
    <x v="2"/>
    <x v="3"/>
    <x v="1"/>
  </r>
  <r>
    <x v="2458"/>
    <s v="C1091"/>
    <d v="2024-04-12T10:00:00"/>
    <n v="24470.45"/>
    <x v="1"/>
    <x v="3"/>
    <s v="Entertainment"/>
    <x v="3"/>
    <x v="1"/>
    <s v="Desktop"/>
    <n v="0"/>
    <n v="1"/>
    <x v="448"/>
    <n v="0"/>
    <x v="2"/>
    <x v="3"/>
    <x v="1"/>
  </r>
  <r>
    <x v="2459"/>
    <s v="C1250"/>
    <d v="2024-04-12T11:00:00"/>
    <n v="20118.849999999999"/>
    <x v="0"/>
    <x v="3"/>
    <s v="Electronics"/>
    <x v="2"/>
    <x v="3"/>
    <s v="Mobile"/>
    <n v="0"/>
    <n v="1"/>
    <x v="541"/>
    <n v="0"/>
    <x v="2"/>
    <x v="3"/>
    <x v="1"/>
  </r>
  <r>
    <x v="2460"/>
    <s v="C1280"/>
    <d v="2024-04-12T12:00:00"/>
    <n v="49692.73"/>
    <x v="1"/>
    <x v="2"/>
    <s v="Food"/>
    <x v="1"/>
    <x v="3"/>
    <s v="Tablet"/>
    <n v="0"/>
    <n v="0"/>
    <x v="517"/>
    <n v="1"/>
    <x v="0"/>
    <x v="3"/>
    <x v="0"/>
  </r>
  <r>
    <x v="2461"/>
    <s v="C1313"/>
    <d v="2024-04-12T13:00:00"/>
    <n v="44021.72"/>
    <x v="0"/>
    <x v="1"/>
    <s v="Entertainment"/>
    <x v="3"/>
    <x v="1"/>
    <s v="Mobile"/>
    <n v="0"/>
    <n v="1"/>
    <x v="697"/>
    <n v="1"/>
    <x v="0"/>
    <x v="3"/>
    <x v="0"/>
  </r>
  <r>
    <x v="2462"/>
    <s v="C1024"/>
    <d v="2024-04-12T14:00:00"/>
    <n v="31189.13"/>
    <x v="3"/>
    <x v="1"/>
    <s v="Electronics"/>
    <x v="0"/>
    <x v="3"/>
    <s v="Mobile"/>
    <n v="0"/>
    <n v="0"/>
    <x v="125"/>
    <n v="0"/>
    <x v="2"/>
    <x v="3"/>
    <x v="1"/>
  </r>
  <r>
    <x v="2463"/>
    <s v="C1428"/>
    <d v="2024-04-12T15:00:00"/>
    <n v="28490.400000000001"/>
    <x v="2"/>
    <x v="2"/>
    <s v="Electronics"/>
    <x v="1"/>
    <x v="3"/>
    <s v="Mobile"/>
    <n v="0"/>
    <n v="4"/>
    <x v="765"/>
    <n v="1"/>
    <x v="1"/>
    <x v="3"/>
    <x v="0"/>
  </r>
  <r>
    <x v="2464"/>
    <s v="C1216"/>
    <d v="2024-04-12T16:00:00"/>
    <n v="31051.99"/>
    <x v="2"/>
    <x v="1"/>
    <s v="Entertainment"/>
    <x v="1"/>
    <x v="2"/>
    <s v="Desktop"/>
    <n v="0"/>
    <n v="2"/>
    <x v="151"/>
    <n v="1"/>
    <x v="0"/>
    <x v="3"/>
    <x v="0"/>
  </r>
  <r>
    <x v="2465"/>
    <s v="C1172"/>
    <d v="2024-04-12T17:00:00"/>
    <n v="10105.540000000001"/>
    <x v="0"/>
    <x v="2"/>
    <s v="Electronics"/>
    <x v="3"/>
    <x v="2"/>
    <s v="Desktop"/>
    <n v="0"/>
    <n v="1"/>
    <x v="812"/>
    <n v="0"/>
    <x v="2"/>
    <x v="3"/>
    <x v="1"/>
  </r>
  <r>
    <x v="2466"/>
    <s v="C1088"/>
    <d v="2024-04-12T18:00:00"/>
    <n v="19787.13"/>
    <x v="3"/>
    <x v="3"/>
    <s v="Retail"/>
    <x v="1"/>
    <x v="4"/>
    <s v="Tablet"/>
    <n v="0"/>
    <n v="4"/>
    <x v="39"/>
    <n v="1"/>
    <x v="0"/>
    <x v="3"/>
    <x v="0"/>
  </r>
  <r>
    <x v="2467"/>
    <s v="C1066"/>
    <d v="2024-04-12T19:00:00"/>
    <n v="2021"/>
    <x v="0"/>
    <x v="0"/>
    <s v="Retail"/>
    <x v="4"/>
    <x v="2"/>
    <s v="Tablet"/>
    <n v="0"/>
    <n v="1"/>
    <x v="141"/>
    <n v="0"/>
    <x v="2"/>
    <x v="3"/>
    <x v="1"/>
  </r>
  <r>
    <x v="2468"/>
    <s v="C1091"/>
    <d v="2024-04-12T20:00:00"/>
    <n v="23803.52"/>
    <x v="3"/>
    <x v="0"/>
    <s v="Entertainment"/>
    <x v="1"/>
    <x v="2"/>
    <s v="Tablet"/>
    <n v="0"/>
    <n v="3"/>
    <x v="0"/>
    <n v="1"/>
    <x v="0"/>
    <x v="3"/>
    <x v="0"/>
  </r>
  <r>
    <x v="2469"/>
    <s v="C1196"/>
    <d v="2024-04-12T21:00:00"/>
    <n v="27174.080000000002"/>
    <x v="1"/>
    <x v="3"/>
    <s v="Food"/>
    <x v="2"/>
    <x v="4"/>
    <s v="Desktop"/>
    <n v="1"/>
    <n v="0"/>
    <x v="200"/>
    <n v="1"/>
    <x v="0"/>
    <x v="3"/>
    <x v="0"/>
  </r>
  <r>
    <x v="2470"/>
    <s v="C1390"/>
    <d v="2024-04-12T22:00:00"/>
    <n v="11426.1"/>
    <x v="3"/>
    <x v="0"/>
    <s v="Retail"/>
    <x v="3"/>
    <x v="3"/>
    <s v="Desktop"/>
    <n v="1"/>
    <n v="0"/>
    <x v="959"/>
    <n v="0"/>
    <x v="2"/>
    <x v="3"/>
    <x v="1"/>
  </r>
  <r>
    <x v="2471"/>
    <s v="C1406"/>
    <d v="2024-04-12T23:00:00"/>
    <n v="48203.24"/>
    <x v="3"/>
    <x v="0"/>
    <s v="Retail"/>
    <x v="2"/>
    <x v="3"/>
    <s v="Mobile"/>
    <n v="0"/>
    <n v="4"/>
    <x v="960"/>
    <n v="1"/>
    <x v="1"/>
    <x v="3"/>
    <x v="0"/>
  </r>
  <r>
    <x v="2472"/>
    <s v="C1144"/>
    <d v="2024-04-13T00:00:00"/>
    <n v="45477.26"/>
    <x v="3"/>
    <x v="1"/>
    <s v="Entertainment"/>
    <x v="0"/>
    <x v="2"/>
    <s v="Desktop"/>
    <n v="0"/>
    <n v="3"/>
    <x v="97"/>
    <n v="1"/>
    <x v="1"/>
    <x v="3"/>
    <x v="0"/>
  </r>
  <r>
    <x v="2473"/>
    <s v="C1115"/>
    <d v="2024-04-13T01:00:00"/>
    <n v="36121.050000000003"/>
    <x v="2"/>
    <x v="3"/>
    <s v="Travel"/>
    <x v="2"/>
    <x v="4"/>
    <s v="Mobile"/>
    <n v="0"/>
    <n v="2"/>
    <x v="537"/>
    <n v="1"/>
    <x v="0"/>
    <x v="3"/>
    <x v="0"/>
  </r>
  <r>
    <x v="2474"/>
    <s v="C1165"/>
    <d v="2024-04-13T02:00:00"/>
    <n v="26692.66"/>
    <x v="3"/>
    <x v="1"/>
    <s v="Electronics"/>
    <x v="4"/>
    <x v="3"/>
    <s v="Mobile"/>
    <n v="0"/>
    <n v="3"/>
    <x v="672"/>
    <n v="1"/>
    <x v="1"/>
    <x v="3"/>
    <x v="0"/>
  </r>
  <r>
    <x v="2475"/>
    <s v="C1262"/>
    <d v="2024-04-13T03:00:00"/>
    <n v="43504.959999999999"/>
    <x v="1"/>
    <x v="1"/>
    <s v="Retail"/>
    <x v="4"/>
    <x v="0"/>
    <s v="Desktop"/>
    <n v="0"/>
    <n v="3"/>
    <x v="765"/>
    <n v="1"/>
    <x v="1"/>
    <x v="3"/>
    <x v="0"/>
  </r>
  <r>
    <x v="2476"/>
    <s v="C1326"/>
    <d v="2024-04-13T04:00:00"/>
    <n v="6576.08"/>
    <x v="1"/>
    <x v="0"/>
    <s v="Travel"/>
    <x v="2"/>
    <x v="1"/>
    <s v="Mobile"/>
    <n v="0"/>
    <n v="2"/>
    <x v="461"/>
    <n v="0"/>
    <x v="2"/>
    <x v="3"/>
    <x v="1"/>
  </r>
  <r>
    <x v="2477"/>
    <s v="C1304"/>
    <d v="2024-04-13T05:00:00"/>
    <n v="39535.96"/>
    <x v="1"/>
    <x v="0"/>
    <s v="Food"/>
    <x v="0"/>
    <x v="1"/>
    <s v="Mobile"/>
    <n v="1"/>
    <n v="2"/>
    <x v="383"/>
    <n v="1"/>
    <x v="1"/>
    <x v="3"/>
    <x v="0"/>
  </r>
  <r>
    <x v="2478"/>
    <s v="C1102"/>
    <d v="2024-04-13T06:00:00"/>
    <n v="6284.8"/>
    <x v="3"/>
    <x v="3"/>
    <s v="Travel"/>
    <x v="1"/>
    <x v="1"/>
    <s v="Tablet"/>
    <n v="0"/>
    <n v="3"/>
    <x v="175"/>
    <n v="1"/>
    <x v="0"/>
    <x v="3"/>
    <x v="0"/>
  </r>
  <r>
    <x v="2479"/>
    <s v="C1056"/>
    <d v="2024-04-13T07:00:00"/>
    <n v="39720.82"/>
    <x v="0"/>
    <x v="0"/>
    <s v="Entertainment"/>
    <x v="4"/>
    <x v="2"/>
    <s v="Mobile"/>
    <n v="0"/>
    <n v="1"/>
    <x v="202"/>
    <n v="1"/>
    <x v="0"/>
    <x v="3"/>
    <x v="0"/>
  </r>
  <r>
    <x v="2480"/>
    <s v="C1346"/>
    <d v="2024-04-13T08:00:00"/>
    <n v="13824.59"/>
    <x v="0"/>
    <x v="0"/>
    <s v="Food"/>
    <x v="2"/>
    <x v="1"/>
    <s v="Desktop"/>
    <n v="0"/>
    <n v="1"/>
    <x v="549"/>
    <n v="0"/>
    <x v="2"/>
    <x v="3"/>
    <x v="1"/>
  </r>
  <r>
    <x v="2481"/>
    <s v="C1110"/>
    <d v="2024-04-13T09:00:00"/>
    <n v="43860.67"/>
    <x v="1"/>
    <x v="3"/>
    <s v="Food"/>
    <x v="2"/>
    <x v="1"/>
    <s v="Desktop"/>
    <n v="0"/>
    <n v="3"/>
    <x v="943"/>
    <n v="1"/>
    <x v="1"/>
    <x v="3"/>
    <x v="0"/>
  </r>
  <r>
    <x v="2482"/>
    <s v="C1111"/>
    <d v="2024-04-13T10:00:00"/>
    <n v="47204.9"/>
    <x v="2"/>
    <x v="0"/>
    <s v="Travel"/>
    <x v="2"/>
    <x v="0"/>
    <s v="Mobile"/>
    <n v="1"/>
    <n v="1"/>
    <x v="928"/>
    <n v="1"/>
    <x v="1"/>
    <x v="3"/>
    <x v="0"/>
  </r>
  <r>
    <x v="2483"/>
    <s v="C1453"/>
    <d v="2024-04-13T11:00:00"/>
    <n v="7482.36"/>
    <x v="0"/>
    <x v="1"/>
    <s v="Entertainment"/>
    <x v="1"/>
    <x v="3"/>
    <s v="Tablet"/>
    <n v="0"/>
    <n v="2"/>
    <x v="193"/>
    <n v="0"/>
    <x v="2"/>
    <x v="3"/>
    <x v="1"/>
  </r>
  <r>
    <x v="2484"/>
    <s v="C1310"/>
    <d v="2024-04-13T12:00:00"/>
    <n v="23160.65"/>
    <x v="3"/>
    <x v="3"/>
    <s v="Retail"/>
    <x v="3"/>
    <x v="0"/>
    <s v="Desktop"/>
    <n v="0"/>
    <n v="2"/>
    <x v="519"/>
    <n v="1"/>
    <x v="0"/>
    <x v="3"/>
    <x v="0"/>
  </r>
  <r>
    <x v="2485"/>
    <s v="C1146"/>
    <d v="2024-04-13T13:00:00"/>
    <n v="49050.32"/>
    <x v="0"/>
    <x v="0"/>
    <s v="Travel"/>
    <x v="0"/>
    <x v="2"/>
    <s v="Desktop"/>
    <n v="0"/>
    <n v="1"/>
    <x v="14"/>
    <n v="1"/>
    <x v="0"/>
    <x v="3"/>
    <x v="0"/>
  </r>
  <r>
    <x v="2486"/>
    <s v="C1381"/>
    <d v="2024-04-13T14:00:00"/>
    <n v="24196.2"/>
    <x v="1"/>
    <x v="2"/>
    <s v="Retail"/>
    <x v="3"/>
    <x v="1"/>
    <s v="Tablet"/>
    <n v="0"/>
    <n v="2"/>
    <x v="314"/>
    <n v="1"/>
    <x v="0"/>
    <x v="3"/>
    <x v="0"/>
  </r>
  <r>
    <x v="2487"/>
    <s v="C1134"/>
    <d v="2024-04-13T15:00:00"/>
    <n v="43184.2"/>
    <x v="2"/>
    <x v="3"/>
    <s v="Travel"/>
    <x v="0"/>
    <x v="3"/>
    <s v="Mobile"/>
    <n v="0"/>
    <n v="0"/>
    <x v="392"/>
    <n v="1"/>
    <x v="0"/>
    <x v="3"/>
    <x v="0"/>
  </r>
  <r>
    <x v="2488"/>
    <s v="C1347"/>
    <d v="2024-04-13T16:00:00"/>
    <n v="29457.14"/>
    <x v="0"/>
    <x v="3"/>
    <s v="Retail"/>
    <x v="0"/>
    <x v="1"/>
    <s v="Desktop"/>
    <n v="0"/>
    <n v="2"/>
    <x v="102"/>
    <n v="1"/>
    <x v="0"/>
    <x v="3"/>
    <x v="0"/>
  </r>
  <r>
    <x v="2489"/>
    <s v="C1499"/>
    <d v="2024-04-13T17:00:00"/>
    <n v="18797.73"/>
    <x v="0"/>
    <x v="2"/>
    <s v="Travel"/>
    <x v="2"/>
    <x v="1"/>
    <s v="Mobile"/>
    <n v="0"/>
    <n v="3"/>
    <x v="426"/>
    <n v="1"/>
    <x v="0"/>
    <x v="3"/>
    <x v="0"/>
  </r>
  <r>
    <x v="2490"/>
    <s v="C1364"/>
    <d v="2024-04-13T18:00:00"/>
    <n v="14324.89"/>
    <x v="1"/>
    <x v="0"/>
    <s v="Food"/>
    <x v="4"/>
    <x v="2"/>
    <s v="Mobile"/>
    <n v="0"/>
    <n v="4"/>
    <x v="134"/>
    <n v="1"/>
    <x v="1"/>
    <x v="3"/>
    <x v="0"/>
  </r>
  <r>
    <x v="2491"/>
    <s v="C1304"/>
    <d v="2024-04-13T19:00:00"/>
    <n v="10200.99"/>
    <x v="2"/>
    <x v="0"/>
    <s v="Electronics"/>
    <x v="2"/>
    <x v="1"/>
    <s v="Mobile"/>
    <n v="0"/>
    <n v="1"/>
    <x v="907"/>
    <n v="0"/>
    <x v="2"/>
    <x v="3"/>
    <x v="1"/>
  </r>
  <r>
    <x v="2492"/>
    <s v="C1353"/>
    <d v="2024-04-13T20:00:00"/>
    <n v="38101.82"/>
    <x v="2"/>
    <x v="3"/>
    <s v="Food"/>
    <x v="1"/>
    <x v="4"/>
    <s v="Mobile"/>
    <n v="0"/>
    <n v="1"/>
    <x v="638"/>
    <n v="1"/>
    <x v="0"/>
    <x v="3"/>
    <x v="0"/>
  </r>
  <r>
    <x v="2493"/>
    <s v="C1030"/>
    <d v="2024-04-13T21:00:00"/>
    <n v="19357.7"/>
    <x v="1"/>
    <x v="3"/>
    <s v="Retail"/>
    <x v="0"/>
    <x v="3"/>
    <s v="Desktop"/>
    <n v="1"/>
    <n v="2"/>
    <x v="162"/>
    <n v="1"/>
    <x v="0"/>
    <x v="3"/>
    <x v="0"/>
  </r>
  <r>
    <x v="2494"/>
    <s v="C1026"/>
    <d v="2024-04-13T22:00:00"/>
    <n v="25588.21"/>
    <x v="3"/>
    <x v="0"/>
    <s v="Entertainment"/>
    <x v="4"/>
    <x v="3"/>
    <s v="Tablet"/>
    <n v="0"/>
    <n v="2"/>
    <x v="961"/>
    <n v="1"/>
    <x v="0"/>
    <x v="3"/>
    <x v="0"/>
  </r>
  <r>
    <x v="2495"/>
    <s v="C1466"/>
    <d v="2024-04-13T23:00:00"/>
    <n v="24641.66"/>
    <x v="0"/>
    <x v="0"/>
    <s v="Food"/>
    <x v="0"/>
    <x v="4"/>
    <s v="Desktop"/>
    <n v="0"/>
    <n v="4"/>
    <x v="341"/>
    <n v="1"/>
    <x v="1"/>
    <x v="3"/>
    <x v="0"/>
  </r>
  <r>
    <x v="2496"/>
    <s v="C1017"/>
    <d v="2024-04-14T00:00:00"/>
    <n v="28885.09"/>
    <x v="3"/>
    <x v="1"/>
    <s v="Electronics"/>
    <x v="0"/>
    <x v="2"/>
    <s v="Tablet"/>
    <n v="1"/>
    <n v="4"/>
    <x v="795"/>
    <n v="1"/>
    <x v="1"/>
    <x v="3"/>
    <x v="0"/>
  </r>
  <r>
    <x v="2497"/>
    <s v="C1171"/>
    <d v="2024-04-14T01:00:00"/>
    <n v="43285.58"/>
    <x v="0"/>
    <x v="3"/>
    <s v="Retail"/>
    <x v="2"/>
    <x v="1"/>
    <s v="Mobile"/>
    <n v="1"/>
    <n v="3"/>
    <x v="962"/>
    <n v="1"/>
    <x v="1"/>
    <x v="3"/>
    <x v="0"/>
  </r>
  <r>
    <x v="2498"/>
    <s v="C1218"/>
    <d v="2024-04-14T02:00:00"/>
    <n v="49037.93"/>
    <x v="0"/>
    <x v="3"/>
    <s v="Food"/>
    <x v="4"/>
    <x v="1"/>
    <s v="Tablet"/>
    <n v="0"/>
    <n v="0"/>
    <x v="679"/>
    <n v="0"/>
    <x v="2"/>
    <x v="3"/>
    <x v="1"/>
  </r>
  <r>
    <x v="2499"/>
    <s v="C1410"/>
    <d v="2024-04-14T03:00:00"/>
    <n v="20408.830000000002"/>
    <x v="3"/>
    <x v="2"/>
    <s v="Travel"/>
    <x v="4"/>
    <x v="3"/>
    <s v="Mobile"/>
    <n v="0"/>
    <n v="3"/>
    <x v="634"/>
    <n v="1"/>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Monthly Fraud Trend"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21:B25" firstHeaderRow="1" firstDataRow="1" firstDataCol="1"/>
  <pivotFields count="17">
    <pivotField showAll="0"/>
    <pivotField showAll="0"/>
    <pivotField numFmtId="22" showAll="0"/>
    <pivotField showAll="0"/>
    <pivotField showAll="0">
      <items count="5">
        <item x="0"/>
        <item x="1"/>
        <item x="2"/>
        <item x="3"/>
        <item t="default"/>
      </items>
    </pivotField>
    <pivotField showAll="0">
      <items count="5">
        <item x="2"/>
        <item x="3"/>
        <item x="0"/>
        <item x="1"/>
        <item t="default"/>
      </items>
    </pivotField>
    <pivotField showAll="0"/>
    <pivotField showAll="0">
      <items count="6">
        <item x="2"/>
        <item x="3"/>
        <item x="1"/>
        <item x="0"/>
        <item x="4"/>
        <item t="default"/>
      </items>
    </pivotField>
    <pivotField showAll="0"/>
    <pivotField showAll="0"/>
    <pivotField showAll="0"/>
    <pivotField showAll="0"/>
    <pivotField showAll="0"/>
    <pivotField dataField="1" showAll="0"/>
    <pivotField showAll="0">
      <items count="4">
        <item x="1"/>
        <item x="2"/>
        <item x="0"/>
        <item t="default"/>
      </items>
    </pivotField>
    <pivotField axis="axisRow" showAll="0">
      <items count="5">
        <item x="0"/>
        <item x="1"/>
        <item x="2"/>
        <item x="3"/>
        <item t="default"/>
      </items>
    </pivotField>
    <pivotField showAll="0">
      <items count="3">
        <item x="1"/>
        <item x="0"/>
        <item t="default"/>
      </items>
    </pivotField>
  </pivotFields>
  <rowFields count="1">
    <field x="15"/>
  </rowFields>
  <rowItems count="4">
    <i>
      <x/>
    </i>
    <i>
      <x v="1"/>
    </i>
    <i>
      <x v="2"/>
    </i>
    <i>
      <x v="3"/>
    </i>
  </rowItems>
  <colItems count="1">
    <i/>
  </colItems>
  <dataFields count="1">
    <dataField name="Sum of Is_Fraud" fld="13"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Fraud by Location ,Trsn type"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91:F97" firstHeaderRow="1" firstDataRow="2" firstDataCol="1"/>
  <pivotFields count="17">
    <pivotField showAll="0"/>
    <pivotField showAll="0"/>
    <pivotField numFmtId="22" showAll="0"/>
    <pivotField showAll="0"/>
    <pivotField axis="axisCol" showAll="0">
      <items count="5">
        <item x="0"/>
        <item x="1"/>
        <item x="2"/>
        <item x="3"/>
        <item t="default"/>
      </items>
    </pivotField>
    <pivotField showAll="0">
      <items count="5">
        <item x="2"/>
        <item x="3"/>
        <item x="0"/>
        <item x="1"/>
        <item t="default"/>
      </items>
    </pivotField>
    <pivotField showAll="0"/>
    <pivotField showAll="0">
      <items count="6">
        <item x="2"/>
        <item x="3"/>
        <item x="1"/>
        <item x="0"/>
        <item x="4"/>
        <item t="default"/>
      </items>
    </pivotField>
    <pivotField axis="axisRow" showAll="0">
      <items count="6">
        <item x="2"/>
        <item x="3"/>
        <item x="4"/>
        <item x="0"/>
        <item x="1"/>
        <item t="default"/>
      </items>
    </pivotField>
    <pivotField showAll="0"/>
    <pivotField showAll="0"/>
    <pivotField showAll="0"/>
    <pivotField showAll="0"/>
    <pivotField dataField="1" showAll="0"/>
    <pivotField showAll="0">
      <items count="4">
        <item x="1"/>
        <item x="2"/>
        <item x="0"/>
        <item t="default"/>
      </items>
    </pivotField>
    <pivotField showAll="0">
      <items count="5">
        <item x="0"/>
        <item x="1"/>
        <item x="2"/>
        <item x="3"/>
        <item t="default"/>
      </items>
    </pivotField>
    <pivotField showAll="0">
      <items count="3">
        <item x="1"/>
        <item x="0"/>
        <item t="default"/>
      </items>
    </pivotField>
  </pivotFields>
  <rowFields count="1">
    <field x="8"/>
  </rowFields>
  <rowItems count="5">
    <i>
      <x/>
    </i>
    <i>
      <x v="1"/>
    </i>
    <i>
      <x v="2"/>
    </i>
    <i>
      <x v="3"/>
    </i>
    <i>
      <x v="4"/>
    </i>
  </rowItems>
  <colFields count="1">
    <field x="4"/>
  </colFields>
  <colItems count="5">
    <i>
      <x/>
    </i>
    <i>
      <x v="1"/>
    </i>
    <i>
      <x v="2"/>
    </i>
    <i>
      <x v="3"/>
    </i>
    <i t="grand">
      <x/>
    </i>
  </colItems>
  <dataFields count="1">
    <dataField name="Sum of Is_Fraud" fld="13" baseField="0" baseItem="0"/>
  </dataFields>
  <chartFormats count="4">
    <chartFormat chart="14" format="20" series="1">
      <pivotArea type="data" outline="0" fieldPosition="0">
        <references count="2">
          <reference field="4294967294" count="1" selected="0">
            <x v="0"/>
          </reference>
          <reference field="4" count="1" selected="0">
            <x v="0"/>
          </reference>
        </references>
      </pivotArea>
    </chartFormat>
    <chartFormat chart="14" format="21" series="1">
      <pivotArea type="data" outline="0" fieldPosition="0">
        <references count="2">
          <reference field="4294967294" count="1" selected="0">
            <x v="0"/>
          </reference>
          <reference field="4" count="1" selected="0">
            <x v="1"/>
          </reference>
        </references>
      </pivotArea>
    </chartFormat>
    <chartFormat chart="14" format="22" series="1">
      <pivotArea type="data" outline="0" fieldPosition="0">
        <references count="2">
          <reference field="4294967294" count="1" selected="0">
            <x v="0"/>
          </reference>
          <reference field="4" count="1" selected="0">
            <x v="2"/>
          </reference>
        </references>
      </pivotArea>
    </chartFormat>
    <chartFormat chart="14" format="2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Fraud VS Non-Fraud"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B5" firstHeaderRow="1" firstDataRow="1" firstDataCol="1"/>
  <pivotFields count="17">
    <pivotField dataField="1" showAll="0"/>
    <pivotField showAll="0"/>
    <pivotField numFmtId="22" showAll="0"/>
    <pivotField showAll="0"/>
    <pivotField showAll="0">
      <items count="5">
        <item x="0"/>
        <item x="1"/>
        <item x="2"/>
        <item x="3"/>
        <item t="default"/>
      </items>
    </pivotField>
    <pivotField showAll="0">
      <items count="5">
        <item x="2"/>
        <item x="3"/>
        <item x="0"/>
        <item x="1"/>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items count="4">
        <item x="1"/>
        <item x="2"/>
        <item x="0"/>
        <item t="default"/>
      </items>
    </pivotField>
    <pivotField showAll="0">
      <items count="5">
        <item x="0"/>
        <item x="1"/>
        <item x="2"/>
        <item x="3"/>
        <item t="default"/>
      </items>
    </pivotField>
    <pivotField axis="axisRow" showAll="0">
      <items count="3">
        <item x="1"/>
        <item x="0"/>
        <item t="default"/>
      </items>
    </pivotField>
  </pivotFields>
  <rowFields count="1">
    <field x="16"/>
  </rowFields>
  <rowItems count="2">
    <i>
      <x/>
    </i>
    <i>
      <x v="1"/>
    </i>
  </rowItems>
  <colItems count="1">
    <i/>
  </colItems>
  <dataFields count="1">
    <dataField name="Count of Transaction_ID" fld="0" subtotal="count" baseField="0" baseItem="0"/>
  </dataFields>
  <chartFormats count="6">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16" count="1" selected="0">
            <x v="0"/>
          </reference>
        </references>
      </pivotArea>
    </chartFormat>
    <chartFormat chart="11" format="5">
      <pivotArea type="data" outline="0" fieldPosition="0">
        <references count="2">
          <reference field="4294967294" count="1" selected="0">
            <x v="0"/>
          </reference>
          <reference field="16"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6" count="1" selected="0">
            <x v="0"/>
          </reference>
        </references>
      </pivotArea>
    </chartFormat>
    <chartFormat chart="12"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Fraud by Payment Method"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52:B56" firstHeaderRow="1" firstDataRow="1" firstDataCol="1"/>
  <pivotFields count="17">
    <pivotField showAll="0"/>
    <pivotField showAll="0"/>
    <pivotField numFmtId="22" showAll="0"/>
    <pivotField showAll="0"/>
    <pivotField showAll="0">
      <items count="5">
        <item x="0"/>
        <item x="1"/>
        <item x="2"/>
        <item x="3"/>
        <item t="default"/>
      </items>
    </pivotField>
    <pivotField axis="axisRow" showAll="0">
      <items count="5">
        <item x="2"/>
        <item x="3"/>
        <item x="0"/>
        <item x="1"/>
        <item t="default"/>
      </items>
    </pivotField>
    <pivotField showAll="0"/>
    <pivotField showAll="0">
      <items count="6">
        <item x="2"/>
        <item x="3"/>
        <item x="1"/>
        <item x="0"/>
        <item x="4"/>
        <item t="default"/>
      </items>
    </pivotField>
    <pivotField showAll="0"/>
    <pivotField showAll="0"/>
    <pivotField showAll="0"/>
    <pivotField showAll="0"/>
    <pivotField showAll="0"/>
    <pivotField dataField="1" showAll="0"/>
    <pivotField showAll="0">
      <items count="4">
        <item x="1"/>
        <item x="2"/>
        <item x="0"/>
        <item t="default"/>
      </items>
    </pivotField>
    <pivotField showAll="0">
      <items count="5">
        <item x="0"/>
        <item x="1"/>
        <item x="2"/>
        <item x="3"/>
        <item t="default"/>
      </items>
    </pivotField>
    <pivotField showAll="0">
      <items count="3">
        <item x="1"/>
        <item x="0"/>
        <item t="default"/>
      </items>
    </pivotField>
  </pivotFields>
  <rowFields count="1">
    <field x="5"/>
  </rowFields>
  <rowItems count="4">
    <i>
      <x/>
    </i>
    <i>
      <x v="1"/>
    </i>
    <i>
      <x v="2"/>
    </i>
    <i>
      <x v="3"/>
    </i>
  </rowItems>
  <colItems count="1">
    <i/>
  </colItems>
  <dataFields count="1">
    <dataField name="Sum of Is_Fraud" fld="13" baseField="0" baseItem="0"/>
  </dataFields>
  <chartFormats count="2">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Fraud by Transaction Type"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11:B115" firstHeaderRow="1" firstDataRow="1" firstDataCol="1"/>
  <pivotFields count="17">
    <pivotField showAll="0"/>
    <pivotField showAll="0"/>
    <pivotField numFmtId="22" showAll="0"/>
    <pivotField showAll="0"/>
    <pivotField axis="axisRow" showAll="0">
      <items count="5">
        <item x="0"/>
        <item x="1"/>
        <item x="2"/>
        <item x="3"/>
        <item t="default"/>
      </items>
    </pivotField>
    <pivotField showAll="0">
      <items count="5">
        <item x="2"/>
        <item x="3"/>
        <item x="0"/>
        <item x="1"/>
        <item t="default"/>
      </items>
    </pivotField>
    <pivotField showAll="0"/>
    <pivotField showAll="0">
      <items count="6">
        <item x="2"/>
        <item x="3"/>
        <item x="1"/>
        <item x="0"/>
        <item x="4"/>
        <item t="default"/>
      </items>
    </pivotField>
    <pivotField showAll="0"/>
    <pivotField showAll="0"/>
    <pivotField showAll="0"/>
    <pivotField showAll="0"/>
    <pivotField showAll="0"/>
    <pivotField dataField="1" showAll="0"/>
    <pivotField showAll="0">
      <items count="4">
        <item x="1"/>
        <item x="2"/>
        <item x="0"/>
        <item t="default"/>
      </items>
    </pivotField>
    <pivotField showAll="0">
      <items count="5">
        <item x="0"/>
        <item x="1"/>
        <item x="2"/>
        <item x="3"/>
        <item t="default"/>
      </items>
    </pivotField>
    <pivotField showAll="0">
      <items count="3">
        <item x="1"/>
        <item x="0"/>
        <item t="default"/>
      </items>
    </pivotField>
  </pivotFields>
  <rowFields count="1">
    <field x="4"/>
  </rowFields>
  <rowItems count="4">
    <i>
      <x/>
    </i>
    <i>
      <x v="1"/>
    </i>
    <i>
      <x v="2"/>
    </i>
    <i>
      <x v="3"/>
    </i>
  </rowItems>
  <colItems count="1">
    <i/>
  </colItems>
  <dataFields count="1">
    <dataField name="Sum of Is_Fraud" fld="13" baseField="0" baseItem="0"/>
  </dataFields>
  <chartFormats count="6">
    <chartFormat chart="5" format="1"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4" count="1" selected="0">
            <x v="0"/>
          </reference>
        </references>
      </pivotArea>
    </chartFormat>
    <chartFormat chart="12" format="14">
      <pivotArea type="data" outline="0" fieldPosition="0">
        <references count="2">
          <reference field="4294967294" count="1" selected="0">
            <x v="0"/>
          </reference>
          <reference field="4" count="1" selected="0">
            <x v="1"/>
          </reference>
        </references>
      </pivotArea>
    </chartFormat>
    <chartFormat chart="12" format="15">
      <pivotArea type="data" outline="0" fieldPosition="0">
        <references count="2">
          <reference field="4294967294" count="1" selected="0">
            <x v="0"/>
          </reference>
          <reference field="4" count="1" selected="0">
            <x v="2"/>
          </reference>
        </references>
      </pivotArea>
    </chartFormat>
    <chartFormat chart="12" format="1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Risk Category Distribution"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71:B74" firstHeaderRow="1" firstDataRow="1" firstDataCol="1"/>
  <pivotFields count="17">
    <pivotField dataField="1" showAll="0"/>
    <pivotField showAll="0"/>
    <pivotField numFmtId="22" showAll="0"/>
    <pivotField showAll="0"/>
    <pivotField showAll="0">
      <items count="5">
        <item x="0"/>
        <item x="1"/>
        <item x="2"/>
        <item x="3"/>
        <item t="default"/>
      </items>
    </pivotField>
    <pivotField showAll="0">
      <items count="5">
        <item x="2"/>
        <item x="3"/>
        <item x="0"/>
        <item x="1"/>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axis="axisRow" showAll="0">
      <items count="4">
        <item x="1"/>
        <item x="2"/>
        <item x="0"/>
        <item t="default"/>
      </items>
    </pivotField>
    <pivotField showAll="0">
      <items count="5">
        <item x="0"/>
        <item x="1"/>
        <item x="2"/>
        <item x="3"/>
        <item t="default"/>
      </items>
    </pivotField>
    <pivotField showAll="0">
      <items count="3">
        <item x="1"/>
        <item x="0"/>
        <item t="default"/>
      </items>
    </pivotField>
  </pivotFields>
  <rowFields count="1">
    <field x="14"/>
  </rowFields>
  <rowItems count="3">
    <i>
      <x/>
    </i>
    <i>
      <x v="1"/>
    </i>
    <i>
      <x v="2"/>
    </i>
  </rowItems>
  <colItems count="1">
    <i/>
  </colItems>
  <dataFields count="1">
    <dataField name="Count of Transaction_ID" fld="0" subtotal="count" baseField="0" baseItem="0"/>
  </dataFields>
  <chartFormats count="4">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4" count="1" selected="0">
            <x v="0"/>
          </reference>
        </references>
      </pivotArea>
    </chartFormat>
    <chartFormat chart="9" format="18">
      <pivotArea type="data" outline="0" fieldPosition="0">
        <references count="2">
          <reference field="4294967294" count="1" selected="0">
            <x v="0"/>
          </reference>
          <reference field="14" count="1" selected="0">
            <x v="1"/>
          </reference>
        </references>
      </pivotArea>
    </chartFormat>
    <chartFormat chart="9" format="1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Amount VS Fraud"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7:B39" firstHeaderRow="1" firstDataRow="1" firstDataCol="1"/>
  <pivotFields count="17">
    <pivotField showAll="0"/>
    <pivotField showAll="0"/>
    <pivotField numFmtId="22" showAll="0"/>
    <pivotField dataField="1" showAll="0"/>
    <pivotField showAll="0">
      <items count="5">
        <item x="0"/>
        <item x="1"/>
        <item x="2"/>
        <item x="3"/>
        <item t="default"/>
      </items>
    </pivotField>
    <pivotField showAll="0">
      <items count="5">
        <item x="2"/>
        <item x="3"/>
        <item x="0"/>
        <item x="1"/>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items count="4">
        <item x="1"/>
        <item x="2"/>
        <item x="0"/>
        <item t="default"/>
      </items>
    </pivotField>
    <pivotField showAll="0">
      <items count="5">
        <item x="0"/>
        <item x="1"/>
        <item x="2"/>
        <item x="3"/>
        <item t="default"/>
      </items>
    </pivotField>
    <pivotField axis="axisRow" showAll="0">
      <items count="3">
        <item x="1"/>
        <item x="0"/>
        <item t="default"/>
      </items>
    </pivotField>
  </pivotFields>
  <rowFields count="1">
    <field x="16"/>
  </rowFields>
  <rowItems count="2">
    <i>
      <x/>
    </i>
    <i>
      <x v="1"/>
    </i>
  </rowItems>
  <colItems count="1">
    <i/>
  </colItems>
  <dataFields count="1">
    <dataField name="Sum of Transaction_Amount" fld="3" baseField="0" baseItem="0"/>
  </dataFields>
  <chartFormats count="2">
    <chartFormat chart="3"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9" unboundColumnsRight="3">
    <queryTableFields count="17">
      <queryTableField id="1" name="Transaction_ID" tableColumnId="1"/>
      <queryTableField id="2" name="Customer_ID" tableColumnId="2"/>
      <queryTableField id="3" name="Transaction_Date" tableColumnId="3"/>
      <queryTableField id="4" name="Transaction_Amount" tableColumnId="4"/>
      <queryTableField id="5" name="Transaction_Type" tableColumnId="5"/>
      <queryTableField id="6" name="Payment_Method" tableColumnId="6"/>
      <queryTableField id="7" name="Merchant_Category" tableColumnId="7"/>
      <queryTableField id="8" name="Customer_Location" tableColumnId="8"/>
      <queryTableField id="9" name="Transaction_Location" tableColumnId="9"/>
      <queryTableField id="10" name="Device_Type" tableColumnId="10"/>
      <queryTableField id="11" name="Is_International" tableColumnId="11"/>
      <queryTableField id="12" name="Previous_Fraud_Count" tableColumnId="12"/>
      <queryTableField id="13" name="Risk_Score" tableColumnId="13"/>
      <queryTableField id="14" name="Is_Fraud" tableColumnId="14"/>
      <queryTableField id="15" dataBound="0" tableColumnId="15"/>
      <queryTableField id="16" dataBound="0" tableColumnId="16"/>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3D7B56F5-104A-E34A-9DA5-AF5086980105}" sourceName="Transaction_Type">
  <pivotTables>
    <pivotTable tabId="4" name="Amount VS Fraud"/>
    <pivotTable tabId="4" name="Fraud by Location ,Trsn type"/>
    <pivotTable tabId="4" name="Fraud by Payment Method"/>
    <pivotTable tabId="4" name="Fraud by Transaction Type"/>
    <pivotTable tabId="4" name="Fraud VS Non-Fraud"/>
    <pivotTable tabId="4" name="Monthly Fraud Trend"/>
    <pivotTable tabId="4" name="Risk Category Distribution"/>
  </pivotTables>
  <data>
    <tabular pivotCacheId="92034558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1E06F08-21AB-9C40-BE84-AC1C25815760}" sourceName="Month">
  <pivotTables>
    <pivotTable tabId="4" name="Amount VS Fraud"/>
    <pivotTable tabId="4" name="Fraud by Location ,Trsn type"/>
    <pivotTable tabId="4" name="Fraud by Payment Method"/>
    <pivotTable tabId="4" name="Fraud by Transaction Type"/>
    <pivotTable tabId="4" name="Fraud VS Non-Fraud"/>
    <pivotTable tabId="4" name="Monthly Fraud Trend"/>
    <pivotTable tabId="4" name="Risk Category Distribution"/>
  </pivotTables>
  <data>
    <tabular pivotCacheId="92034558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9261F195-3946-6B4B-8B72-F9A91E8BB0BD}" sourceName="Customer_Location">
  <pivotTables>
    <pivotTable tabId="4" name="Amount VS Fraud"/>
    <pivotTable tabId="4" name="Fraud by Location ,Trsn type"/>
    <pivotTable tabId="4" name="Fraud by Payment Method"/>
    <pivotTable tabId="4" name="Fraud by Transaction Type"/>
    <pivotTable tabId="4" name="Fraud VS Non-Fraud"/>
    <pivotTable tabId="4" name="Monthly Fraud Trend"/>
    <pivotTable tabId="4" name="Risk Category Distribution"/>
  </pivotTables>
  <data>
    <tabular pivotCacheId="920345581">
      <items count="5">
        <i x="2" s="1"/>
        <i x="3"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465A655D-A556-DA4E-B926-DABFC658197C}" sourceName="Risk Category">
  <pivotTables>
    <pivotTable tabId="4" name="Amount VS Fraud"/>
    <pivotTable tabId="4" name="Fraud by Location ,Trsn type"/>
    <pivotTable tabId="4" name="Fraud by Payment Method"/>
    <pivotTable tabId="4" name="Fraud by Transaction Type"/>
    <pivotTable tabId="4" name="Fraud VS Non-Fraud"/>
    <pivotTable tabId="4" name="Monthly Fraud Trend"/>
    <pivotTable tabId="4" name="Risk Category Distribution"/>
  </pivotTables>
  <data>
    <tabular pivotCacheId="920345581">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AC7C0D7-612D-DB4F-9612-A6FDF1E24694}" sourceName="Payment_Method">
  <pivotTables>
    <pivotTable tabId="4" name="Amount VS Fraud"/>
    <pivotTable tabId="4" name="Fraud by Location ,Trsn type"/>
    <pivotTable tabId="4" name="Fraud by Payment Method"/>
    <pivotTable tabId="4" name="Fraud by Transaction Type"/>
    <pivotTable tabId="4" name="Fraud VS Non-Fraud"/>
    <pivotTable tabId="4" name="Monthly Fraud Trend"/>
    <pivotTable tabId="4" name="Risk Category Distribution"/>
  </pivotTables>
  <data>
    <tabular pivotCacheId="92034558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Type 1" xr10:uid="{F035DD21-15B6-8A45-B44A-926B208BB62D}" cache="Slicer_Transaction_Type" caption="Transaction_Type" rowHeight="251883"/>
  <slicer name="Transaction_Type" xr10:uid="{6972460A-99F5-F645-B25C-AED88108DAE2}" cache="Slicer_Transaction_Type" caption="Transaction_Type" rowHeight="251883"/>
  <slicer name="Transaction_Type 2" xr10:uid="{5D033DB9-A4F1-AA4E-8EA0-9B39E511143E}" cache="Slicer_Transaction_Type" caption="Transaction_Type" rowHeight="251883"/>
  <slicer name="Month" xr10:uid="{8E15B1E2-3EAD-174F-8D2C-7AB94A0DF645}" cache="Slicer_Month" caption="Month" rowHeight="251883"/>
  <slicer name="Customer_Location" xr10:uid="{8D890CCB-0EE3-A046-A9F9-E6B48C8CF851}" cache="Slicer_Customer_Location" caption="Customer_Location" rowHeight="251883"/>
  <slicer name="Risk Category" xr10:uid="{F98D7EDF-95D0-704F-A0B0-F19FDC84133D}" cache="Slicer_Risk_Category" caption="Risk Category" rowHeight="251883"/>
  <slicer name="Payment_Method" xr10:uid="{927A7320-8AE6-0040-A995-9F3AA3E8F3B1}" cache="Slicer_Payment_Method" caption="Payment_Method"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_fraud_data" displayName="financial_fraud_data" ref="A1:Q2501" tableType="queryTable" totalsRowShown="0">
  <autoFilter ref="A1:Q2501" xr:uid="{00000000-000C-0000-FFFF-FFFF00000000}"/>
  <tableColumns count="17">
    <tableColumn id="1" xr3:uid="{00000000-0010-0000-0000-000001000000}" uniqueName="1" name="Transaction_ID" queryTableFieldId="1" dataDxfId="11"/>
    <tableColumn id="2" xr3:uid="{00000000-0010-0000-0000-000002000000}" uniqueName="2" name="Customer_ID" queryTableFieldId="2" dataDxfId="10"/>
    <tableColumn id="3" xr3:uid="{00000000-0010-0000-0000-000003000000}" uniqueName="3" name="Transaction_Date" queryTableFieldId="3" dataDxfId="9"/>
    <tableColumn id="4" xr3:uid="{00000000-0010-0000-0000-000004000000}" uniqueName="4" name="Transaction_Amount" queryTableFieldId="4"/>
    <tableColumn id="5" xr3:uid="{00000000-0010-0000-0000-000005000000}" uniqueName="5" name="Transaction_Type" queryTableFieldId="5" dataDxfId="8"/>
    <tableColumn id="6" xr3:uid="{00000000-0010-0000-0000-000006000000}" uniqueName="6" name="Payment_Method" queryTableFieldId="6" dataDxfId="7"/>
    <tableColumn id="7" xr3:uid="{00000000-0010-0000-0000-000007000000}" uniqueName="7" name="Merchant_Category" queryTableFieldId="7" dataDxfId="6"/>
    <tableColumn id="8" xr3:uid="{00000000-0010-0000-0000-000008000000}" uniqueName="8" name="Customer_Location" queryTableFieldId="8" dataDxfId="5"/>
    <tableColumn id="9" xr3:uid="{00000000-0010-0000-0000-000009000000}" uniqueName="9" name="Transaction_Location" queryTableFieldId="9" dataDxfId="4"/>
    <tableColumn id="10" xr3:uid="{00000000-0010-0000-0000-00000A000000}" uniqueName="10" name="Device_Type" queryTableFieldId="10" dataDxfId="3"/>
    <tableColumn id="11" xr3:uid="{00000000-0010-0000-0000-00000B000000}" uniqueName="11" name="Is_International" queryTableFieldId="11"/>
    <tableColumn id="12" xr3:uid="{00000000-0010-0000-0000-00000C000000}" uniqueName="12" name="Previous_Fraud_Count" queryTableFieldId="12"/>
    <tableColumn id="13" xr3:uid="{00000000-0010-0000-0000-00000D000000}" uniqueName="13" name="Risk_Score" queryTableFieldId="13"/>
    <tableColumn id="14" xr3:uid="{00000000-0010-0000-0000-00000E000000}" uniqueName="14" name="Is_Fraud" queryTableFieldId="14"/>
    <tableColumn id="15" xr3:uid="{00000000-0010-0000-0000-00000F000000}" uniqueName="15" name="Risk Category" queryTableFieldId="15" dataDxfId="2">
      <calculatedColumnFormula>IF(financial_fraud_data[[#This Row],[Risk_Score]]&gt;8,"High",IF(financial_fraud_data[[#This Row],[Risk_Score]]&gt;5,"Med","Low"))</calculatedColumnFormula>
    </tableColumn>
    <tableColumn id="16" xr3:uid="{00000000-0010-0000-0000-000010000000}" uniqueName="16" name="Month" queryTableFieldId="16" dataDxfId="1">
      <calculatedColumnFormula>TEXT(financial_fraud_data[[#This Row],[Transaction_Date]],"MMM")</calculatedColumnFormula>
    </tableColumn>
    <tableColumn id="18" xr3:uid="{00000000-0010-0000-0000-000012000000}" uniqueName="18" name="Frude_Status" queryTableFieldId="18" dataDxfId="0">
      <calculatedColumnFormula>IF(financial_fraud_data[[#This Row],[Is_Fraud]]=1,"Yes","No")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501"/>
  <sheetViews>
    <sheetView topLeftCell="A8" workbookViewId="0">
      <selection activeCell="D2" sqref="D2"/>
    </sheetView>
  </sheetViews>
  <sheetFormatPr baseColWidth="10" defaultColWidth="10.83203125" defaultRowHeight="16" x14ac:dyDescent="0.2"/>
  <cols>
    <col min="1" max="1" width="16" bestFit="1" customWidth="1"/>
    <col min="2" max="2" width="14.6640625" bestFit="1" customWidth="1"/>
    <col min="3" max="3" width="18.1640625" bestFit="1" customWidth="1"/>
    <col min="4" max="4" width="20.83203125" bestFit="1" customWidth="1"/>
    <col min="5" max="5" width="17.83203125" bestFit="1" customWidth="1"/>
    <col min="6" max="6" width="18" bestFit="1" customWidth="1"/>
    <col min="7" max="7" width="20" bestFit="1" customWidth="1"/>
    <col min="8" max="8" width="20.1640625" bestFit="1" customWidth="1"/>
    <col min="9" max="9" width="21.5" bestFit="1" customWidth="1"/>
    <col min="10" max="10" width="13.83203125" bestFit="1" customWidth="1"/>
    <col min="11" max="11" width="16.5" bestFit="1" customWidth="1"/>
    <col min="12" max="12" width="18.1640625" customWidth="1"/>
    <col min="13" max="13" width="12.83203125" bestFit="1" customWidth="1"/>
    <col min="14" max="14" width="10.6640625" bestFit="1" customWidth="1"/>
    <col min="15" max="15" width="11.33203125" customWidth="1"/>
    <col min="17" max="17" width="20.33203125" customWidth="1"/>
    <col min="18" max="18" width="21.66406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3034</v>
      </c>
      <c r="P1" t="s">
        <v>3035</v>
      </c>
      <c r="Q1" t="s">
        <v>3048</v>
      </c>
    </row>
    <row r="2" spans="1:18" x14ac:dyDescent="0.2">
      <c r="A2" t="s">
        <v>14</v>
      </c>
      <c r="B2" t="s">
        <v>15</v>
      </c>
      <c r="C2" s="1">
        <v>45292</v>
      </c>
      <c r="D2">
        <v>18758.28</v>
      </c>
      <c r="E2" t="s">
        <v>16</v>
      </c>
      <c r="F2" t="s">
        <v>17</v>
      </c>
      <c r="G2" t="s">
        <v>18</v>
      </c>
      <c r="H2" t="s">
        <v>19</v>
      </c>
      <c r="I2" t="s">
        <v>19</v>
      </c>
      <c r="J2" t="s">
        <v>20</v>
      </c>
      <c r="K2">
        <v>0</v>
      </c>
      <c r="L2">
        <v>4</v>
      </c>
      <c r="M2">
        <v>7.88</v>
      </c>
      <c r="N2">
        <v>1</v>
      </c>
      <c r="O2" t="str">
        <f>IF(financial_fraud_data[[#This Row],[Risk_Score]]&gt;8,"High",IF(financial_fraud_data[[#This Row],[Risk_Score]]&gt;5,"Med","Low"))</f>
        <v>Med</v>
      </c>
      <c r="P2" t="str">
        <f>TEXT(financial_fraud_data[[#This Row],[Transaction_Date]],"MMM")</f>
        <v>Jan</v>
      </c>
      <c r="Q2" t="str">
        <f>IF(financial_fraud_data[[#This Row],[Is_Fraud]]=1,"Yes","No")</f>
        <v>Yes</v>
      </c>
    </row>
    <row r="3" spans="1:18" x14ac:dyDescent="0.2">
      <c r="A3" t="s">
        <v>21</v>
      </c>
      <c r="B3" t="s">
        <v>22</v>
      </c>
      <c r="C3" s="1">
        <v>45292.041666666664</v>
      </c>
      <c r="D3">
        <v>47538.18</v>
      </c>
      <c r="E3" t="s">
        <v>16</v>
      </c>
      <c r="F3" t="s">
        <v>17</v>
      </c>
      <c r="G3" t="s">
        <v>18</v>
      </c>
      <c r="H3" t="s">
        <v>23</v>
      </c>
      <c r="I3" t="s">
        <v>24</v>
      </c>
      <c r="J3" t="s">
        <v>20</v>
      </c>
      <c r="K3">
        <v>0</v>
      </c>
      <c r="L3">
        <v>4</v>
      </c>
      <c r="M3">
        <v>11.75</v>
      </c>
      <c r="N3">
        <v>1</v>
      </c>
      <c r="O3" t="str">
        <f>IF(financial_fraud_data[[#This Row],[Risk_Score]]&gt;8,"High",IF(financial_fraud_data[[#This Row],[Risk_Score]]&gt;5,"Med","Low"))</f>
        <v>High</v>
      </c>
      <c r="P3" t="str">
        <f>TEXT(financial_fraud_data[[#This Row],[Transaction_Date]],"MMM")</f>
        <v>Jan</v>
      </c>
      <c r="Q3" t="str">
        <f>IF(financial_fraud_data[[#This Row],[Is_Fraud]]=1,"Yes","No")</f>
        <v>Yes</v>
      </c>
    </row>
    <row r="4" spans="1:18" x14ac:dyDescent="0.2">
      <c r="A4" t="s">
        <v>25</v>
      </c>
      <c r="B4" t="s">
        <v>26</v>
      </c>
      <c r="C4" s="1">
        <v>45292.083333333336</v>
      </c>
      <c r="D4">
        <v>36613.1</v>
      </c>
      <c r="E4" t="s">
        <v>16</v>
      </c>
      <c r="F4" t="s">
        <v>27</v>
      </c>
      <c r="G4" t="s">
        <v>28</v>
      </c>
      <c r="H4" t="s">
        <v>29</v>
      </c>
      <c r="I4" t="s">
        <v>24</v>
      </c>
      <c r="J4" t="s">
        <v>20</v>
      </c>
      <c r="K4">
        <v>0</v>
      </c>
      <c r="L4">
        <v>2</v>
      </c>
      <c r="M4">
        <v>7.66</v>
      </c>
      <c r="N4">
        <v>1</v>
      </c>
      <c r="O4" t="str">
        <f>IF(financial_fraud_data[[#This Row],[Risk_Score]]&gt;8,"High",IF(financial_fraud_data[[#This Row],[Risk_Score]]&gt;5,"Med","Low"))</f>
        <v>Med</v>
      </c>
      <c r="P4" t="str">
        <f>TEXT(financial_fraud_data[[#This Row],[Transaction_Date]],"MMM")</f>
        <v>Jan</v>
      </c>
      <c r="Q4" t="str">
        <f>IF(financial_fraud_data[[#This Row],[Is_Fraud]]=1,"Yes","No")</f>
        <v>Yes</v>
      </c>
    </row>
    <row r="5" spans="1:18" x14ac:dyDescent="0.2">
      <c r="A5" t="s">
        <v>30</v>
      </c>
      <c r="B5" t="s">
        <v>31</v>
      </c>
      <c r="C5" s="1">
        <v>45292.125</v>
      </c>
      <c r="D5">
        <v>29952.99</v>
      </c>
      <c r="E5" t="s">
        <v>16</v>
      </c>
      <c r="F5" t="s">
        <v>17</v>
      </c>
      <c r="G5" t="s">
        <v>18</v>
      </c>
      <c r="H5" t="s">
        <v>23</v>
      </c>
      <c r="I5" t="s">
        <v>29</v>
      </c>
      <c r="J5" t="s">
        <v>20</v>
      </c>
      <c r="K5">
        <v>0</v>
      </c>
      <c r="L5">
        <v>1</v>
      </c>
      <c r="M5">
        <v>5.5</v>
      </c>
      <c r="N5">
        <v>1</v>
      </c>
      <c r="O5" t="str">
        <f>IF(financial_fraud_data[[#This Row],[Risk_Score]]&gt;8,"High",IF(financial_fraud_data[[#This Row],[Risk_Score]]&gt;5,"Med","Low"))</f>
        <v>Med</v>
      </c>
      <c r="P5" t="str">
        <f>TEXT(financial_fraud_data[[#This Row],[Transaction_Date]],"MMM")</f>
        <v>Jan</v>
      </c>
      <c r="Q5" t="str">
        <f>IF(financial_fraud_data[[#This Row],[Is_Fraud]]=1,"Yes","No")</f>
        <v>Yes</v>
      </c>
      <c r="R5" s="2" t="s">
        <v>3032</v>
      </c>
    </row>
    <row r="6" spans="1:18" x14ac:dyDescent="0.2">
      <c r="A6" t="s">
        <v>32</v>
      </c>
      <c r="B6" t="s">
        <v>33</v>
      </c>
      <c r="C6" s="1">
        <v>45292.166666666664</v>
      </c>
      <c r="D6">
        <v>7843.13</v>
      </c>
      <c r="E6" t="s">
        <v>34</v>
      </c>
      <c r="F6" t="s">
        <v>27</v>
      </c>
      <c r="G6" t="s">
        <v>35</v>
      </c>
      <c r="H6" t="s">
        <v>36</v>
      </c>
      <c r="I6" t="s">
        <v>36</v>
      </c>
      <c r="J6" t="s">
        <v>37</v>
      </c>
      <c r="K6">
        <v>0</v>
      </c>
      <c r="L6">
        <v>2</v>
      </c>
      <c r="M6">
        <v>3.78</v>
      </c>
      <c r="N6">
        <v>0</v>
      </c>
      <c r="O6" t="str">
        <f>IF(financial_fraud_data[[#This Row],[Risk_Score]]&gt;8,"High",IF(financial_fraud_data[[#This Row],[Risk_Score]]&gt;5,"Med","Low"))</f>
        <v>Low</v>
      </c>
      <c r="P6" t="str">
        <f>TEXT(financial_fraud_data[[#This Row],[Transaction_Date]],"MMM")</f>
        <v>Jan</v>
      </c>
      <c r="Q6" t="str">
        <f>IF(financial_fraud_data[[#This Row],[Is_Fraud]]=1,"Yes","No")</f>
        <v>No</v>
      </c>
      <c r="R6" s="2">
        <f>COUNTA(financial_fraud_data[Transaction_ID])</f>
        <v>2500</v>
      </c>
    </row>
    <row r="7" spans="1:18" x14ac:dyDescent="0.2">
      <c r="A7" t="s">
        <v>38</v>
      </c>
      <c r="B7" t="s">
        <v>39</v>
      </c>
      <c r="C7" s="1">
        <v>45292.208333333336</v>
      </c>
      <c r="D7">
        <v>7841.93</v>
      </c>
      <c r="E7" t="s">
        <v>16</v>
      </c>
      <c r="F7" t="s">
        <v>17</v>
      </c>
      <c r="G7" t="s">
        <v>18</v>
      </c>
      <c r="H7" t="s">
        <v>24</v>
      </c>
      <c r="I7" t="s">
        <v>23</v>
      </c>
      <c r="J7" t="s">
        <v>37</v>
      </c>
      <c r="K7">
        <v>0</v>
      </c>
      <c r="L7">
        <v>1</v>
      </c>
      <c r="M7">
        <v>3.28</v>
      </c>
      <c r="N7">
        <v>0</v>
      </c>
      <c r="O7" t="str">
        <f>IF(financial_fraud_data[[#This Row],[Risk_Score]]&gt;8,"High",IF(financial_fraud_data[[#This Row],[Risk_Score]]&gt;5,"Med","Low"))</f>
        <v>Low</v>
      </c>
      <c r="P7" t="str">
        <f>TEXT(financial_fraud_data[[#This Row],[Transaction_Date]],"MMM")</f>
        <v>Jan</v>
      </c>
      <c r="Q7" t="str">
        <f>IF(financial_fraud_data[[#This Row],[Is_Fraud]]=1,"Yes","No")</f>
        <v>No</v>
      </c>
    </row>
    <row r="8" spans="1:18" x14ac:dyDescent="0.2">
      <c r="A8" t="s">
        <v>40</v>
      </c>
      <c r="B8" t="s">
        <v>41</v>
      </c>
      <c r="C8" s="1">
        <v>45292.25</v>
      </c>
      <c r="D8">
        <v>2951.28</v>
      </c>
      <c r="E8" t="s">
        <v>42</v>
      </c>
      <c r="F8" t="s">
        <v>27</v>
      </c>
      <c r="G8" t="s">
        <v>35</v>
      </c>
      <c r="H8" t="s">
        <v>29</v>
      </c>
      <c r="I8" t="s">
        <v>36</v>
      </c>
      <c r="J8" t="s">
        <v>37</v>
      </c>
      <c r="K8">
        <v>0</v>
      </c>
      <c r="L8">
        <v>1</v>
      </c>
      <c r="M8">
        <v>2.8</v>
      </c>
      <c r="N8">
        <v>0</v>
      </c>
      <c r="O8" t="str">
        <f>IF(financial_fraud_data[[#This Row],[Risk_Score]]&gt;8,"High",IF(financial_fraud_data[[#This Row],[Risk_Score]]&gt;5,"Med","Low"))</f>
        <v>Low</v>
      </c>
      <c r="P8" t="str">
        <f>TEXT(financial_fraud_data[[#This Row],[Transaction_Date]],"MMM")</f>
        <v>Jan</v>
      </c>
      <c r="Q8" t="str">
        <f>IF(financial_fraud_data[[#This Row],[Is_Fraud]]=1,"Yes","No")</f>
        <v>No</v>
      </c>
      <c r="R8" s="2" t="s">
        <v>3033</v>
      </c>
    </row>
    <row r="9" spans="1:18" x14ac:dyDescent="0.2">
      <c r="A9" t="s">
        <v>43</v>
      </c>
      <c r="B9" t="s">
        <v>44</v>
      </c>
      <c r="C9" s="1">
        <v>45292.291666666664</v>
      </c>
      <c r="D9">
        <v>43315.5</v>
      </c>
      <c r="E9" t="s">
        <v>16</v>
      </c>
      <c r="F9" t="s">
        <v>17</v>
      </c>
      <c r="G9" t="s">
        <v>18</v>
      </c>
      <c r="H9" t="s">
        <v>23</v>
      </c>
      <c r="I9" t="s">
        <v>24</v>
      </c>
      <c r="J9" t="s">
        <v>20</v>
      </c>
      <c r="K9">
        <v>0</v>
      </c>
      <c r="L9">
        <v>4</v>
      </c>
      <c r="M9">
        <v>11.33</v>
      </c>
      <c r="N9">
        <v>1</v>
      </c>
      <c r="O9" t="str">
        <f>IF(financial_fraud_data[[#This Row],[Risk_Score]]&gt;8,"High",IF(financial_fraud_data[[#This Row],[Risk_Score]]&gt;5,"Med","Low"))</f>
        <v>High</v>
      </c>
      <c r="P9" t="str">
        <f>TEXT(financial_fraud_data[[#This Row],[Transaction_Date]],"MMM")</f>
        <v>Jan</v>
      </c>
      <c r="Q9" t="str">
        <f>IF(financial_fraud_data[[#This Row],[Is_Fraud]]=1,"Yes","No")</f>
        <v>Yes</v>
      </c>
      <c r="R9" s="2">
        <f>SUM(financial_fraud_data[Is_Fraud])</f>
        <v>1726</v>
      </c>
    </row>
    <row r="10" spans="1:18" x14ac:dyDescent="0.2">
      <c r="A10" t="s">
        <v>45</v>
      </c>
      <c r="B10" t="s">
        <v>46</v>
      </c>
      <c r="C10" s="1">
        <v>45292.333333333336</v>
      </c>
      <c r="D10">
        <v>30075.69</v>
      </c>
      <c r="E10" t="s">
        <v>34</v>
      </c>
      <c r="F10" t="s">
        <v>47</v>
      </c>
      <c r="G10" t="s">
        <v>35</v>
      </c>
      <c r="H10" t="s">
        <v>23</v>
      </c>
      <c r="I10" t="s">
        <v>19</v>
      </c>
      <c r="J10" t="s">
        <v>20</v>
      </c>
      <c r="K10">
        <v>1</v>
      </c>
      <c r="L10">
        <v>3</v>
      </c>
      <c r="M10">
        <v>10.51</v>
      </c>
      <c r="N10">
        <v>1</v>
      </c>
      <c r="O10" t="str">
        <f>IF(financial_fraud_data[[#This Row],[Risk_Score]]&gt;8,"High",IF(financial_fraud_data[[#This Row],[Risk_Score]]&gt;5,"Med","Low"))</f>
        <v>High</v>
      </c>
      <c r="P10" t="str">
        <f>TEXT(financial_fraud_data[[#This Row],[Transaction_Date]],"MMM")</f>
        <v>Jan</v>
      </c>
      <c r="Q10" t="str">
        <f>IF(financial_fraud_data[[#This Row],[Is_Fraud]]=1,"Yes","No")</f>
        <v>Yes</v>
      </c>
    </row>
    <row r="11" spans="1:18" x14ac:dyDescent="0.2">
      <c r="A11" t="s">
        <v>48</v>
      </c>
      <c r="B11" t="s">
        <v>49</v>
      </c>
      <c r="C11" s="1">
        <v>45292.375</v>
      </c>
      <c r="D11">
        <v>35418.230000000003</v>
      </c>
      <c r="E11" t="s">
        <v>16</v>
      </c>
      <c r="F11" t="s">
        <v>50</v>
      </c>
      <c r="G11" t="s">
        <v>18</v>
      </c>
      <c r="H11" t="s">
        <v>23</v>
      </c>
      <c r="I11" t="s">
        <v>23</v>
      </c>
      <c r="J11" t="s">
        <v>51</v>
      </c>
      <c r="K11">
        <v>0</v>
      </c>
      <c r="L11">
        <v>0</v>
      </c>
      <c r="M11">
        <v>3.54</v>
      </c>
      <c r="N11">
        <v>0</v>
      </c>
      <c r="O11" t="str">
        <f>IF(financial_fraud_data[[#This Row],[Risk_Score]]&gt;8,"High",IF(financial_fraud_data[[#This Row],[Risk_Score]]&gt;5,"Med","Low"))</f>
        <v>Low</v>
      </c>
      <c r="P11" t="str">
        <f>TEXT(financial_fraud_data[[#This Row],[Transaction_Date]],"MMM")</f>
        <v>Jan</v>
      </c>
      <c r="Q11" t="str">
        <f>IF(financial_fraud_data[[#This Row],[Is_Fraud]]=1,"Yes","No")</f>
        <v>No</v>
      </c>
      <c r="R11" s="2" t="s">
        <v>3036</v>
      </c>
    </row>
    <row r="12" spans="1:18" x14ac:dyDescent="0.2">
      <c r="A12" t="s">
        <v>52</v>
      </c>
      <c r="B12" t="s">
        <v>53</v>
      </c>
      <c r="C12" s="1">
        <v>45292.416666666664</v>
      </c>
      <c r="D12">
        <v>1078.2</v>
      </c>
      <c r="E12" t="s">
        <v>42</v>
      </c>
      <c r="F12" t="s">
        <v>47</v>
      </c>
      <c r="G12" t="s">
        <v>18</v>
      </c>
      <c r="H12" t="s">
        <v>24</v>
      </c>
      <c r="I12" t="s">
        <v>23</v>
      </c>
      <c r="J12" t="s">
        <v>51</v>
      </c>
      <c r="K12">
        <v>0</v>
      </c>
      <c r="L12">
        <v>0</v>
      </c>
      <c r="M12">
        <v>1.1100000000000001</v>
      </c>
      <c r="N12">
        <v>0</v>
      </c>
      <c r="O12" t="str">
        <f>IF(financial_fraud_data[[#This Row],[Risk_Score]]&gt;8,"High",IF(financial_fraud_data[[#This Row],[Risk_Score]]&gt;5,"Med","Low"))</f>
        <v>Low</v>
      </c>
      <c r="P12" t="str">
        <f>TEXT(financial_fraud_data[[#This Row],[Transaction_Date]],"MMM")</f>
        <v>Jan</v>
      </c>
      <c r="Q12" t="str">
        <f>IF(financial_fraud_data[[#This Row],[Is_Fraud]]=1,"Yes","No")</f>
        <v>No</v>
      </c>
      <c r="R12" s="3">
        <f>SUM(financial_fraud_data[Is_Fraud])/COUNTA(financial_fraud_data[Transaction_ID])</f>
        <v>0.69040000000000001</v>
      </c>
    </row>
    <row r="13" spans="1:18" x14ac:dyDescent="0.2">
      <c r="A13" t="s">
        <v>54</v>
      </c>
      <c r="B13" t="s">
        <v>55</v>
      </c>
      <c r="C13" s="1">
        <v>45292.458333333336</v>
      </c>
      <c r="D13">
        <v>48497</v>
      </c>
      <c r="E13" t="s">
        <v>34</v>
      </c>
      <c r="F13" t="s">
        <v>50</v>
      </c>
      <c r="G13" t="s">
        <v>56</v>
      </c>
      <c r="H13" t="s">
        <v>23</v>
      </c>
      <c r="I13" t="s">
        <v>19</v>
      </c>
      <c r="J13" t="s">
        <v>51</v>
      </c>
      <c r="K13">
        <v>0</v>
      </c>
      <c r="L13">
        <v>2</v>
      </c>
      <c r="M13">
        <v>8.85</v>
      </c>
      <c r="N13">
        <v>1</v>
      </c>
      <c r="O13" t="str">
        <f>IF(financial_fraud_data[[#This Row],[Risk_Score]]&gt;8,"High",IF(financial_fraud_data[[#This Row],[Risk_Score]]&gt;5,"Med","Low"))</f>
        <v>High</v>
      </c>
      <c r="P13" t="str">
        <f>TEXT(financial_fraud_data[[#This Row],[Transaction_Date]],"MMM")</f>
        <v>Jan</v>
      </c>
      <c r="Q13" t="str">
        <f>IF(financial_fraud_data[[#This Row],[Is_Fraud]]=1,"Yes","No")</f>
        <v>Yes</v>
      </c>
    </row>
    <row r="14" spans="1:18" x14ac:dyDescent="0.2">
      <c r="A14" t="s">
        <v>57</v>
      </c>
      <c r="B14" t="s">
        <v>58</v>
      </c>
      <c r="C14" s="1">
        <v>45292.5</v>
      </c>
      <c r="D14">
        <v>41630.51</v>
      </c>
      <c r="E14" t="s">
        <v>34</v>
      </c>
      <c r="F14" t="s">
        <v>50</v>
      </c>
      <c r="G14" t="s">
        <v>35</v>
      </c>
      <c r="H14" t="s">
        <v>19</v>
      </c>
      <c r="I14" t="s">
        <v>23</v>
      </c>
      <c r="J14" t="s">
        <v>20</v>
      </c>
      <c r="K14">
        <v>0</v>
      </c>
      <c r="L14">
        <v>0</v>
      </c>
      <c r="M14">
        <v>5.16</v>
      </c>
      <c r="N14">
        <v>1</v>
      </c>
      <c r="O14" t="str">
        <f>IF(financial_fraud_data[[#This Row],[Risk_Score]]&gt;8,"High",IF(financial_fraud_data[[#This Row],[Risk_Score]]&gt;5,"Med","Low"))</f>
        <v>Med</v>
      </c>
      <c r="P14" t="str">
        <f>TEXT(financial_fraud_data[[#This Row],[Transaction_Date]],"MMM")</f>
        <v>Jan</v>
      </c>
      <c r="Q14" t="str">
        <f>IF(financial_fraud_data[[#This Row],[Is_Fraud]]=1,"Yes","No")</f>
        <v>Yes</v>
      </c>
      <c r="R14" s="2" t="s">
        <v>3037</v>
      </c>
    </row>
    <row r="15" spans="1:18" x14ac:dyDescent="0.2">
      <c r="A15" t="s">
        <v>59</v>
      </c>
      <c r="B15" t="s">
        <v>60</v>
      </c>
      <c r="C15" s="1">
        <v>45292.541666666664</v>
      </c>
      <c r="D15">
        <v>10656.34</v>
      </c>
      <c r="E15" t="s">
        <v>42</v>
      </c>
      <c r="F15" t="s">
        <v>27</v>
      </c>
      <c r="G15" t="s">
        <v>35</v>
      </c>
      <c r="H15" t="s">
        <v>19</v>
      </c>
      <c r="I15" t="s">
        <v>19</v>
      </c>
      <c r="J15" t="s">
        <v>37</v>
      </c>
      <c r="K15">
        <v>0</v>
      </c>
      <c r="L15">
        <v>4</v>
      </c>
      <c r="M15">
        <v>7.07</v>
      </c>
      <c r="N15">
        <v>1</v>
      </c>
      <c r="O15" t="str">
        <f>IF(financial_fraud_data[[#This Row],[Risk_Score]]&gt;8,"High",IF(financial_fraud_data[[#This Row],[Risk_Score]]&gt;5,"Med","Low"))</f>
        <v>Med</v>
      </c>
      <c r="P15" t="str">
        <f>TEXT(financial_fraud_data[[#This Row],[Transaction_Date]],"MMM")</f>
        <v>Jan</v>
      </c>
      <c r="Q15" t="str">
        <f>IF(financial_fraud_data[[#This Row],[Is_Fraud]]=1,"Yes","No")</f>
        <v>Yes</v>
      </c>
      <c r="R15" s="2">
        <f>SUM(financial_fraud_data[Transaction_Amount])</f>
        <v>62422423.49999997</v>
      </c>
    </row>
    <row r="16" spans="1:18" x14ac:dyDescent="0.2">
      <c r="A16" t="s">
        <v>61</v>
      </c>
      <c r="B16" t="s">
        <v>62</v>
      </c>
      <c r="C16" s="1">
        <v>45292.583333333336</v>
      </c>
      <c r="D16">
        <v>9132.16</v>
      </c>
      <c r="E16" t="s">
        <v>42</v>
      </c>
      <c r="F16" t="s">
        <v>50</v>
      </c>
      <c r="G16" t="s">
        <v>35</v>
      </c>
      <c r="H16" t="s">
        <v>23</v>
      </c>
      <c r="I16" t="s">
        <v>23</v>
      </c>
      <c r="J16" t="s">
        <v>37</v>
      </c>
      <c r="K16">
        <v>1</v>
      </c>
      <c r="L16">
        <v>3</v>
      </c>
      <c r="M16">
        <v>7.41</v>
      </c>
      <c r="N16">
        <v>1</v>
      </c>
      <c r="O16" t="str">
        <f>IF(financial_fraud_data[[#This Row],[Risk_Score]]&gt;8,"High",IF(financial_fraud_data[[#This Row],[Risk_Score]]&gt;5,"Med","Low"))</f>
        <v>Med</v>
      </c>
      <c r="P16" t="str">
        <f>TEXT(financial_fraud_data[[#This Row],[Transaction_Date]],"MMM")</f>
        <v>Jan</v>
      </c>
      <c r="Q16" t="str">
        <f>IF(financial_fraud_data[[#This Row],[Is_Fraud]]=1,"Yes","No")</f>
        <v>Yes</v>
      </c>
    </row>
    <row r="17" spans="1:19" x14ac:dyDescent="0.2">
      <c r="A17" t="s">
        <v>63</v>
      </c>
      <c r="B17" t="s">
        <v>64</v>
      </c>
      <c r="C17" s="1">
        <v>45292.625</v>
      </c>
      <c r="D17">
        <v>9211.06</v>
      </c>
      <c r="E17" t="s">
        <v>42</v>
      </c>
      <c r="F17" t="s">
        <v>47</v>
      </c>
      <c r="G17" t="s">
        <v>65</v>
      </c>
      <c r="H17" t="s">
        <v>19</v>
      </c>
      <c r="I17" t="s">
        <v>36</v>
      </c>
      <c r="J17" t="s">
        <v>37</v>
      </c>
      <c r="K17">
        <v>0</v>
      </c>
      <c r="L17">
        <v>1</v>
      </c>
      <c r="M17">
        <v>3.42</v>
      </c>
      <c r="N17">
        <v>0</v>
      </c>
      <c r="O17" t="str">
        <f>IF(financial_fraud_data[[#This Row],[Risk_Score]]&gt;8,"High",IF(financial_fraud_data[[#This Row],[Risk_Score]]&gt;5,"Med","Low"))</f>
        <v>Low</v>
      </c>
      <c r="P17" t="str">
        <f>TEXT(financial_fraud_data[[#This Row],[Transaction_Date]],"MMM")</f>
        <v>Jan</v>
      </c>
      <c r="Q17" t="str">
        <f>IF(financial_fraud_data[[#This Row],[Is_Fraud]]=1,"Yes","No")</f>
        <v>No</v>
      </c>
      <c r="R17" s="2" t="s">
        <v>3038</v>
      </c>
    </row>
    <row r="18" spans="1:19" x14ac:dyDescent="0.2">
      <c r="A18" t="s">
        <v>66</v>
      </c>
      <c r="B18" t="s">
        <v>67</v>
      </c>
      <c r="C18" s="1">
        <v>45292.666666666664</v>
      </c>
      <c r="D18">
        <v>15246.9</v>
      </c>
      <c r="E18" t="s">
        <v>42</v>
      </c>
      <c r="F18" t="s">
        <v>47</v>
      </c>
      <c r="G18" t="s">
        <v>18</v>
      </c>
      <c r="H18" t="s">
        <v>29</v>
      </c>
      <c r="I18" t="s">
        <v>23</v>
      </c>
      <c r="J18" t="s">
        <v>20</v>
      </c>
      <c r="K18">
        <v>0</v>
      </c>
      <c r="L18">
        <v>1</v>
      </c>
      <c r="M18">
        <v>4.0199999999999996</v>
      </c>
      <c r="N18">
        <v>0</v>
      </c>
      <c r="O18" t="str">
        <f>IF(financial_fraud_data[[#This Row],[Risk_Score]]&gt;8,"High",IF(financial_fraud_data[[#This Row],[Risk_Score]]&gt;5,"Med","Low"))</f>
        <v>Low</v>
      </c>
      <c r="P18" t="str">
        <f>TEXT(financial_fraud_data[[#This Row],[Transaction_Date]],"MMM")</f>
        <v>Jan</v>
      </c>
      <c r="Q18" t="str">
        <f>IF(financial_fraud_data[[#This Row],[Is_Fraud]]=1,"Yes","No")</f>
        <v>No</v>
      </c>
      <c r="R18" s="2">
        <f>COUNTIF(O2:O2501,"High")</f>
        <v>747</v>
      </c>
    </row>
    <row r="19" spans="1:19" x14ac:dyDescent="0.2">
      <c r="A19" t="s">
        <v>68</v>
      </c>
      <c r="B19" t="s">
        <v>69</v>
      </c>
      <c r="C19" s="1">
        <v>45292.708333333336</v>
      </c>
      <c r="D19">
        <v>26261.58</v>
      </c>
      <c r="E19" t="s">
        <v>42</v>
      </c>
      <c r="F19" t="s">
        <v>17</v>
      </c>
      <c r="G19" t="s">
        <v>35</v>
      </c>
      <c r="H19" t="s">
        <v>19</v>
      </c>
      <c r="I19" t="s">
        <v>29</v>
      </c>
      <c r="J19" t="s">
        <v>37</v>
      </c>
      <c r="K19">
        <v>0</v>
      </c>
      <c r="L19">
        <v>4</v>
      </c>
      <c r="M19">
        <v>9.6300000000000008</v>
      </c>
      <c r="N19">
        <v>1</v>
      </c>
      <c r="O19" t="str">
        <f>IF(financial_fraud_data[[#This Row],[Risk_Score]]&gt;8,"High",IF(financial_fraud_data[[#This Row],[Risk_Score]]&gt;5,"Med","Low"))</f>
        <v>High</v>
      </c>
      <c r="P19" t="str">
        <f>TEXT(financial_fraud_data[[#This Row],[Transaction_Date]],"MMM")</f>
        <v>Jan</v>
      </c>
      <c r="Q19" t="str">
        <f>IF(financial_fraud_data[[#This Row],[Is_Fraud]]=1,"Yes","No")</f>
        <v>Yes</v>
      </c>
    </row>
    <row r="20" spans="1:19" x14ac:dyDescent="0.2">
      <c r="A20" t="s">
        <v>70</v>
      </c>
      <c r="B20" t="s">
        <v>71</v>
      </c>
      <c r="C20" s="1">
        <v>45292.75</v>
      </c>
      <c r="D20">
        <v>21625.65</v>
      </c>
      <c r="E20" t="s">
        <v>34</v>
      </c>
      <c r="F20" t="s">
        <v>47</v>
      </c>
      <c r="G20" t="s">
        <v>65</v>
      </c>
      <c r="H20" t="s">
        <v>23</v>
      </c>
      <c r="I20" t="s">
        <v>19</v>
      </c>
      <c r="J20" t="s">
        <v>51</v>
      </c>
      <c r="K20">
        <v>0</v>
      </c>
      <c r="L20">
        <v>0</v>
      </c>
      <c r="M20">
        <v>3.16</v>
      </c>
      <c r="N20">
        <v>0</v>
      </c>
      <c r="O20" t="str">
        <f>IF(financial_fraud_data[[#This Row],[Risk_Score]]&gt;8,"High",IF(financial_fraud_data[[#This Row],[Risk_Score]]&gt;5,"Med","Low"))</f>
        <v>Low</v>
      </c>
      <c r="P20" t="str">
        <f>TEXT(financial_fraud_data[[#This Row],[Transaction_Date]],"MMM")</f>
        <v>Jan</v>
      </c>
      <c r="Q20" t="str">
        <f>IF(financial_fraud_data[[#This Row],[Is_Fraud]]=1,"Yes","No")</f>
        <v>No</v>
      </c>
      <c r="R20" t="s">
        <v>3039</v>
      </c>
      <c r="S20" t="s">
        <v>3040</v>
      </c>
    </row>
    <row r="21" spans="1:19" x14ac:dyDescent="0.2">
      <c r="A21" t="s">
        <v>72</v>
      </c>
      <c r="B21" t="s">
        <v>73</v>
      </c>
      <c r="C21" s="1">
        <v>45292.791666666664</v>
      </c>
      <c r="D21">
        <v>14596.9</v>
      </c>
      <c r="E21" t="s">
        <v>34</v>
      </c>
      <c r="F21" t="s">
        <v>17</v>
      </c>
      <c r="G21" t="s">
        <v>56</v>
      </c>
      <c r="H21" t="s">
        <v>36</v>
      </c>
      <c r="I21" t="s">
        <v>23</v>
      </c>
      <c r="J21" t="s">
        <v>51</v>
      </c>
      <c r="K21">
        <v>0</v>
      </c>
      <c r="L21">
        <v>1</v>
      </c>
      <c r="M21">
        <v>3.96</v>
      </c>
      <c r="N21">
        <v>0</v>
      </c>
      <c r="O21" t="str">
        <f>IF(financial_fraud_data[[#This Row],[Risk_Score]]&gt;8,"High",IF(financial_fraud_data[[#This Row],[Risk_Score]]&gt;5,"Med","Low"))</f>
        <v>Low</v>
      </c>
      <c r="P21" t="str">
        <f>TEXT(financial_fraud_data[[#This Row],[Transaction_Date]],"MMM")</f>
        <v>Jan</v>
      </c>
      <c r="Q21" t="str">
        <f>IF(financial_fraud_data[[#This Row],[Is_Fraud]]=1,"Yes","No")</f>
        <v>No</v>
      </c>
      <c r="R21" t="s">
        <v>3041</v>
      </c>
      <c r="S21" t="s">
        <v>3042</v>
      </c>
    </row>
    <row r="22" spans="1:19" x14ac:dyDescent="0.2">
      <c r="A22" t="s">
        <v>74</v>
      </c>
      <c r="B22" t="s">
        <v>75</v>
      </c>
      <c r="C22" s="1">
        <v>45292.833333333336</v>
      </c>
      <c r="D22">
        <v>30612.05</v>
      </c>
      <c r="E22" t="s">
        <v>16</v>
      </c>
      <c r="F22" t="s">
        <v>50</v>
      </c>
      <c r="G22" t="s">
        <v>35</v>
      </c>
      <c r="H22" t="s">
        <v>29</v>
      </c>
      <c r="I22" t="s">
        <v>19</v>
      </c>
      <c r="J22" t="s">
        <v>37</v>
      </c>
      <c r="K22">
        <v>0</v>
      </c>
      <c r="L22">
        <v>0</v>
      </c>
      <c r="M22">
        <v>4.0599999999999996</v>
      </c>
      <c r="N22">
        <v>0</v>
      </c>
      <c r="O22" t="str">
        <f>IF(financial_fraud_data[[#This Row],[Risk_Score]]&gt;8,"High",IF(financial_fraud_data[[#This Row],[Risk_Score]]&gt;5,"Med","Low"))</f>
        <v>Low</v>
      </c>
      <c r="P22" t="str">
        <f>TEXT(financial_fraud_data[[#This Row],[Transaction_Date]],"MMM")</f>
        <v>Jan</v>
      </c>
      <c r="Q22" t="str">
        <f>IF(financial_fraud_data[[#This Row],[Is_Fraud]]=1,"Yes","No")</f>
        <v>No</v>
      </c>
      <c r="R22" t="s">
        <v>3043</v>
      </c>
      <c r="S22" t="s">
        <v>3044</v>
      </c>
    </row>
    <row r="23" spans="1:19" x14ac:dyDescent="0.2">
      <c r="A23" t="s">
        <v>76</v>
      </c>
      <c r="B23" t="s">
        <v>77</v>
      </c>
      <c r="C23" s="1">
        <v>45292.875</v>
      </c>
      <c r="D23">
        <v>7017.72</v>
      </c>
      <c r="E23" t="s">
        <v>16</v>
      </c>
      <c r="F23" t="s">
        <v>47</v>
      </c>
      <c r="G23" t="s">
        <v>35</v>
      </c>
      <c r="H23" t="s">
        <v>24</v>
      </c>
      <c r="I23" t="s">
        <v>29</v>
      </c>
      <c r="J23" t="s">
        <v>51</v>
      </c>
      <c r="K23">
        <v>0</v>
      </c>
      <c r="L23">
        <v>4</v>
      </c>
      <c r="M23">
        <v>7.7</v>
      </c>
      <c r="N23">
        <v>1</v>
      </c>
      <c r="O23" t="str">
        <f>IF(financial_fraud_data[[#This Row],[Risk_Score]]&gt;8,"High",IF(financial_fraud_data[[#This Row],[Risk_Score]]&gt;5,"Med","Low"))</f>
        <v>Med</v>
      </c>
      <c r="P23" t="str">
        <f>TEXT(financial_fraud_data[[#This Row],[Transaction_Date]],"MMM")</f>
        <v>Jan</v>
      </c>
      <c r="Q23" t="str">
        <f>IF(financial_fraud_data[[#This Row],[Is_Fraud]]=1,"Yes","No")</f>
        <v>Yes</v>
      </c>
    </row>
    <row r="24" spans="1:19" x14ac:dyDescent="0.2">
      <c r="A24" t="s">
        <v>78</v>
      </c>
      <c r="B24" t="s">
        <v>79</v>
      </c>
      <c r="C24" s="1">
        <v>45292.916666666664</v>
      </c>
      <c r="D24">
        <v>14642.63</v>
      </c>
      <c r="E24" t="s">
        <v>80</v>
      </c>
      <c r="F24" t="s">
        <v>50</v>
      </c>
      <c r="G24" t="s">
        <v>65</v>
      </c>
      <c r="H24" t="s">
        <v>23</v>
      </c>
      <c r="I24" t="s">
        <v>23</v>
      </c>
      <c r="J24" t="s">
        <v>37</v>
      </c>
      <c r="K24">
        <v>0</v>
      </c>
      <c r="L24">
        <v>1</v>
      </c>
      <c r="M24">
        <v>2.96</v>
      </c>
      <c r="N24">
        <v>0</v>
      </c>
      <c r="O24" t="str">
        <f>IF(financial_fraud_data[[#This Row],[Risk_Score]]&gt;8,"High",IF(financial_fraud_data[[#This Row],[Risk_Score]]&gt;5,"Med","Low"))</f>
        <v>Low</v>
      </c>
      <c r="P24" t="str">
        <f>TEXT(financial_fraud_data[[#This Row],[Transaction_Date]],"MMM")</f>
        <v>Jan</v>
      </c>
      <c r="Q24" t="str">
        <f>IF(financial_fraud_data[[#This Row],[Is_Fraud]]=1,"Yes","No")</f>
        <v>No</v>
      </c>
    </row>
    <row r="25" spans="1:19" x14ac:dyDescent="0.2">
      <c r="A25" t="s">
        <v>81</v>
      </c>
      <c r="B25" t="s">
        <v>82</v>
      </c>
      <c r="C25" s="1">
        <v>45292.958333333336</v>
      </c>
      <c r="D25">
        <v>18349.77</v>
      </c>
      <c r="E25" t="s">
        <v>16</v>
      </c>
      <c r="F25" t="s">
        <v>47</v>
      </c>
      <c r="G25" t="s">
        <v>18</v>
      </c>
      <c r="H25" t="s">
        <v>24</v>
      </c>
      <c r="I25" t="s">
        <v>23</v>
      </c>
      <c r="J25" t="s">
        <v>37</v>
      </c>
      <c r="K25">
        <v>0</v>
      </c>
      <c r="L25">
        <v>2</v>
      </c>
      <c r="M25">
        <v>5.83</v>
      </c>
      <c r="N25">
        <v>1</v>
      </c>
      <c r="O25" t="str">
        <f>IF(financial_fraud_data[[#This Row],[Risk_Score]]&gt;8,"High",IF(financial_fraud_data[[#This Row],[Risk_Score]]&gt;5,"Med","Low"))</f>
        <v>Med</v>
      </c>
      <c r="P25" t="str">
        <f>TEXT(financial_fraud_data[[#This Row],[Transaction_Date]],"MMM")</f>
        <v>Jan</v>
      </c>
      <c r="Q25" t="str">
        <f>IF(financial_fraud_data[[#This Row],[Is_Fraud]]=1,"Yes","No")</f>
        <v>Yes</v>
      </c>
    </row>
    <row r="26" spans="1:19" x14ac:dyDescent="0.2">
      <c r="A26" t="s">
        <v>83</v>
      </c>
      <c r="B26" t="s">
        <v>84</v>
      </c>
      <c r="C26" s="1">
        <v>45293</v>
      </c>
      <c r="D26">
        <v>22830.7</v>
      </c>
      <c r="E26" t="s">
        <v>16</v>
      </c>
      <c r="F26" t="s">
        <v>47</v>
      </c>
      <c r="G26" t="s">
        <v>56</v>
      </c>
      <c r="H26" t="s">
        <v>36</v>
      </c>
      <c r="I26" t="s">
        <v>29</v>
      </c>
      <c r="J26" t="s">
        <v>51</v>
      </c>
      <c r="K26">
        <v>0</v>
      </c>
      <c r="L26">
        <v>3</v>
      </c>
      <c r="M26">
        <v>7.78</v>
      </c>
      <c r="N26">
        <v>1</v>
      </c>
      <c r="O26" t="str">
        <f>IF(financial_fraud_data[[#This Row],[Risk_Score]]&gt;8,"High",IF(financial_fraud_data[[#This Row],[Risk_Score]]&gt;5,"Med","Low"))</f>
        <v>Med</v>
      </c>
      <c r="P26" t="str">
        <f>TEXT(financial_fraud_data[[#This Row],[Transaction_Date]],"MMM")</f>
        <v>Jan</v>
      </c>
      <c r="Q26" t="str">
        <f>IF(financial_fraud_data[[#This Row],[Is_Fraud]]=1,"Yes","No")</f>
        <v>Yes</v>
      </c>
    </row>
    <row r="27" spans="1:19" x14ac:dyDescent="0.2">
      <c r="A27" t="s">
        <v>85</v>
      </c>
      <c r="B27" t="s">
        <v>86</v>
      </c>
      <c r="C27" s="1">
        <v>45293.041666666664</v>
      </c>
      <c r="D27">
        <v>39269.54</v>
      </c>
      <c r="E27" t="s">
        <v>42</v>
      </c>
      <c r="F27" t="s">
        <v>17</v>
      </c>
      <c r="G27" t="s">
        <v>35</v>
      </c>
      <c r="H27" t="s">
        <v>24</v>
      </c>
      <c r="I27" t="s">
        <v>29</v>
      </c>
      <c r="J27" t="s">
        <v>51</v>
      </c>
      <c r="K27">
        <v>0</v>
      </c>
      <c r="L27">
        <v>0</v>
      </c>
      <c r="M27">
        <v>4.93</v>
      </c>
      <c r="N27">
        <v>0</v>
      </c>
      <c r="O27" t="str">
        <f>IF(financial_fraud_data[[#This Row],[Risk_Score]]&gt;8,"High",IF(financial_fraud_data[[#This Row],[Risk_Score]]&gt;5,"Med","Low"))</f>
        <v>Low</v>
      </c>
      <c r="P27" t="str">
        <f>TEXT(financial_fraud_data[[#This Row],[Transaction_Date]],"MMM")</f>
        <v>Jan</v>
      </c>
      <c r="Q27" t="str">
        <f>IF(financial_fraud_data[[#This Row],[Is_Fraud]]=1,"Yes","No")</f>
        <v>No</v>
      </c>
    </row>
    <row r="28" spans="1:19" x14ac:dyDescent="0.2">
      <c r="A28" t="s">
        <v>87</v>
      </c>
      <c r="B28" t="s">
        <v>88</v>
      </c>
      <c r="C28" s="1">
        <v>45293.083333333336</v>
      </c>
      <c r="D28">
        <v>10023.709999999999</v>
      </c>
      <c r="E28" t="s">
        <v>42</v>
      </c>
      <c r="F28" t="s">
        <v>50</v>
      </c>
      <c r="G28" t="s">
        <v>18</v>
      </c>
      <c r="H28" t="s">
        <v>23</v>
      </c>
      <c r="I28" t="s">
        <v>29</v>
      </c>
      <c r="J28" t="s">
        <v>51</v>
      </c>
      <c r="K28">
        <v>0</v>
      </c>
      <c r="L28">
        <v>0</v>
      </c>
      <c r="M28">
        <v>2</v>
      </c>
      <c r="N28">
        <v>0</v>
      </c>
      <c r="O28" t="str">
        <f>IF(financial_fraud_data[[#This Row],[Risk_Score]]&gt;8,"High",IF(financial_fraud_data[[#This Row],[Risk_Score]]&gt;5,"Med","Low"))</f>
        <v>Low</v>
      </c>
      <c r="P28" t="str">
        <f>TEXT(financial_fraud_data[[#This Row],[Transaction_Date]],"MMM")</f>
        <v>Jan</v>
      </c>
      <c r="Q28" t="str">
        <f>IF(financial_fraud_data[[#This Row],[Is_Fraud]]=1,"Yes","No")</f>
        <v>No</v>
      </c>
    </row>
    <row r="29" spans="1:19" x14ac:dyDescent="0.2">
      <c r="A29" t="s">
        <v>89</v>
      </c>
      <c r="B29" t="s">
        <v>90</v>
      </c>
      <c r="C29" s="1">
        <v>45293.125</v>
      </c>
      <c r="D29">
        <v>25736.01</v>
      </c>
      <c r="E29" t="s">
        <v>16</v>
      </c>
      <c r="F29" t="s">
        <v>47</v>
      </c>
      <c r="G29" t="s">
        <v>56</v>
      </c>
      <c r="H29" t="s">
        <v>23</v>
      </c>
      <c r="I29" t="s">
        <v>19</v>
      </c>
      <c r="J29" t="s">
        <v>51</v>
      </c>
      <c r="K29">
        <v>0</v>
      </c>
      <c r="L29">
        <v>0</v>
      </c>
      <c r="M29">
        <v>3.57</v>
      </c>
      <c r="N29">
        <v>0</v>
      </c>
      <c r="O29" t="str">
        <f>IF(financial_fraud_data[[#This Row],[Risk_Score]]&gt;8,"High",IF(financial_fraud_data[[#This Row],[Risk_Score]]&gt;5,"Med","Low"))</f>
        <v>Low</v>
      </c>
      <c r="P29" t="str">
        <f>TEXT(financial_fraud_data[[#This Row],[Transaction_Date]],"MMM")</f>
        <v>Jan</v>
      </c>
      <c r="Q29" t="str">
        <f>IF(financial_fraud_data[[#This Row],[Is_Fraud]]=1,"Yes","No")</f>
        <v>No</v>
      </c>
    </row>
    <row r="30" spans="1:19" x14ac:dyDescent="0.2">
      <c r="A30" t="s">
        <v>91</v>
      </c>
      <c r="B30" t="s">
        <v>92</v>
      </c>
      <c r="C30" s="1">
        <v>45293.166666666664</v>
      </c>
      <c r="D30">
        <v>29641.11</v>
      </c>
      <c r="E30" t="s">
        <v>80</v>
      </c>
      <c r="F30" t="s">
        <v>27</v>
      </c>
      <c r="G30" t="s">
        <v>28</v>
      </c>
      <c r="H30" t="s">
        <v>36</v>
      </c>
      <c r="I30" t="s">
        <v>29</v>
      </c>
      <c r="J30" t="s">
        <v>37</v>
      </c>
      <c r="K30">
        <v>0</v>
      </c>
      <c r="L30">
        <v>0</v>
      </c>
      <c r="M30">
        <v>3.96</v>
      </c>
      <c r="N30">
        <v>0</v>
      </c>
      <c r="O30" t="str">
        <f>IF(financial_fraud_data[[#This Row],[Risk_Score]]&gt;8,"High",IF(financial_fraud_data[[#This Row],[Risk_Score]]&gt;5,"Med","Low"))</f>
        <v>Low</v>
      </c>
      <c r="P30" t="str">
        <f>TEXT(financial_fraud_data[[#This Row],[Transaction_Date]],"MMM")</f>
        <v>Jan</v>
      </c>
      <c r="Q30" t="str">
        <f>IF(financial_fraud_data[[#This Row],[Is_Fraud]]=1,"Yes","No")</f>
        <v>No</v>
      </c>
    </row>
    <row r="31" spans="1:19" x14ac:dyDescent="0.2">
      <c r="A31" t="s">
        <v>93</v>
      </c>
      <c r="B31" t="s">
        <v>94</v>
      </c>
      <c r="C31" s="1">
        <v>45293.208333333336</v>
      </c>
      <c r="D31">
        <v>2370.1999999999998</v>
      </c>
      <c r="E31" t="s">
        <v>42</v>
      </c>
      <c r="F31" t="s">
        <v>50</v>
      </c>
      <c r="G31" t="s">
        <v>28</v>
      </c>
      <c r="H31" t="s">
        <v>23</v>
      </c>
      <c r="I31" t="s">
        <v>19</v>
      </c>
      <c r="J31" t="s">
        <v>51</v>
      </c>
      <c r="K31">
        <v>0</v>
      </c>
      <c r="L31">
        <v>4</v>
      </c>
      <c r="M31">
        <v>7.24</v>
      </c>
      <c r="N31">
        <v>1</v>
      </c>
      <c r="O31" t="str">
        <f>IF(financial_fraud_data[[#This Row],[Risk_Score]]&gt;8,"High",IF(financial_fraud_data[[#This Row],[Risk_Score]]&gt;5,"Med","Low"))</f>
        <v>Med</v>
      </c>
      <c r="P31" t="str">
        <f>TEXT(financial_fraud_data[[#This Row],[Transaction_Date]],"MMM")</f>
        <v>Jan</v>
      </c>
      <c r="Q31" t="str">
        <f>IF(financial_fraud_data[[#This Row],[Is_Fraud]]=1,"Yes","No")</f>
        <v>Yes</v>
      </c>
    </row>
    <row r="32" spans="1:19" x14ac:dyDescent="0.2">
      <c r="A32" t="s">
        <v>95</v>
      </c>
      <c r="B32" t="s">
        <v>96</v>
      </c>
      <c r="C32" s="1">
        <v>45293.25</v>
      </c>
      <c r="D32">
        <v>30396.87</v>
      </c>
      <c r="E32" t="s">
        <v>16</v>
      </c>
      <c r="F32" t="s">
        <v>50</v>
      </c>
      <c r="G32" t="s">
        <v>56</v>
      </c>
      <c r="H32" t="s">
        <v>36</v>
      </c>
      <c r="I32" t="s">
        <v>36</v>
      </c>
      <c r="J32" t="s">
        <v>51</v>
      </c>
      <c r="K32">
        <v>0</v>
      </c>
      <c r="L32">
        <v>4</v>
      </c>
      <c r="M32">
        <v>9.0399999999999991</v>
      </c>
      <c r="N32">
        <v>1</v>
      </c>
      <c r="O32" t="str">
        <f>IF(financial_fraud_data[[#This Row],[Risk_Score]]&gt;8,"High",IF(financial_fraud_data[[#This Row],[Risk_Score]]&gt;5,"Med","Low"))</f>
        <v>High</v>
      </c>
      <c r="P32" t="str">
        <f>TEXT(financial_fraud_data[[#This Row],[Transaction_Date]],"MMM")</f>
        <v>Jan</v>
      </c>
      <c r="Q32" t="str">
        <f>IF(financial_fraud_data[[#This Row],[Is_Fraud]]=1,"Yes","No")</f>
        <v>Yes</v>
      </c>
    </row>
    <row r="33" spans="1:17" x14ac:dyDescent="0.2">
      <c r="A33" t="s">
        <v>97</v>
      </c>
      <c r="B33" t="s">
        <v>98</v>
      </c>
      <c r="C33" s="1">
        <v>45293.291666666664</v>
      </c>
      <c r="D33">
        <v>8567.68</v>
      </c>
      <c r="E33" t="s">
        <v>16</v>
      </c>
      <c r="F33" t="s">
        <v>50</v>
      </c>
      <c r="G33" t="s">
        <v>65</v>
      </c>
      <c r="H33" t="s">
        <v>36</v>
      </c>
      <c r="I33" t="s">
        <v>23</v>
      </c>
      <c r="J33" t="s">
        <v>20</v>
      </c>
      <c r="K33">
        <v>0</v>
      </c>
      <c r="L33">
        <v>4</v>
      </c>
      <c r="M33">
        <v>7.86</v>
      </c>
      <c r="N33">
        <v>1</v>
      </c>
      <c r="O33" t="str">
        <f>IF(financial_fraud_data[[#This Row],[Risk_Score]]&gt;8,"High",IF(financial_fraud_data[[#This Row],[Risk_Score]]&gt;5,"Med","Low"))</f>
        <v>Med</v>
      </c>
      <c r="P33" t="str">
        <f>TEXT(financial_fraud_data[[#This Row],[Transaction_Date]],"MMM")</f>
        <v>Jan</v>
      </c>
      <c r="Q33" t="str">
        <f>IF(financial_fraud_data[[#This Row],[Is_Fraud]]=1,"Yes","No")</f>
        <v>Yes</v>
      </c>
    </row>
    <row r="34" spans="1:17" x14ac:dyDescent="0.2">
      <c r="A34" t="s">
        <v>99</v>
      </c>
      <c r="B34" t="s">
        <v>100</v>
      </c>
      <c r="C34" s="1">
        <v>45293.333333333336</v>
      </c>
      <c r="D34">
        <v>3299.33</v>
      </c>
      <c r="E34" t="s">
        <v>34</v>
      </c>
      <c r="F34" t="s">
        <v>17</v>
      </c>
      <c r="G34" t="s">
        <v>56</v>
      </c>
      <c r="H34" t="s">
        <v>23</v>
      </c>
      <c r="I34" t="s">
        <v>23</v>
      </c>
      <c r="J34" t="s">
        <v>51</v>
      </c>
      <c r="K34">
        <v>0</v>
      </c>
      <c r="L34">
        <v>4</v>
      </c>
      <c r="M34">
        <v>6.33</v>
      </c>
      <c r="N34">
        <v>1</v>
      </c>
      <c r="O34" t="str">
        <f>IF(financial_fraud_data[[#This Row],[Risk_Score]]&gt;8,"High",IF(financial_fraud_data[[#This Row],[Risk_Score]]&gt;5,"Med","Low"))</f>
        <v>Med</v>
      </c>
      <c r="P34" t="str">
        <f>TEXT(financial_fraud_data[[#This Row],[Transaction_Date]],"MMM")</f>
        <v>Jan</v>
      </c>
      <c r="Q34" t="str">
        <f>IF(financial_fraud_data[[#This Row],[Is_Fraud]]=1,"Yes","No")</f>
        <v>Yes</v>
      </c>
    </row>
    <row r="35" spans="1:17" x14ac:dyDescent="0.2">
      <c r="A35" t="s">
        <v>101</v>
      </c>
      <c r="B35" t="s">
        <v>102</v>
      </c>
      <c r="C35" s="1">
        <v>45293.375</v>
      </c>
      <c r="D35">
        <v>47446.83</v>
      </c>
      <c r="E35" t="s">
        <v>80</v>
      </c>
      <c r="F35" t="s">
        <v>27</v>
      </c>
      <c r="G35" t="s">
        <v>56</v>
      </c>
      <c r="H35" t="s">
        <v>19</v>
      </c>
      <c r="I35" t="s">
        <v>24</v>
      </c>
      <c r="J35" t="s">
        <v>51</v>
      </c>
      <c r="K35">
        <v>0</v>
      </c>
      <c r="L35">
        <v>1</v>
      </c>
      <c r="M35">
        <v>7.24</v>
      </c>
      <c r="N35">
        <v>1</v>
      </c>
      <c r="O35" t="str">
        <f>IF(financial_fraud_data[[#This Row],[Risk_Score]]&gt;8,"High",IF(financial_fraud_data[[#This Row],[Risk_Score]]&gt;5,"Med","Low"))</f>
        <v>Med</v>
      </c>
      <c r="P35" t="str">
        <f>TEXT(financial_fraud_data[[#This Row],[Transaction_Date]],"MMM")</f>
        <v>Jan</v>
      </c>
      <c r="Q35" t="str">
        <f>IF(financial_fraud_data[[#This Row],[Is_Fraud]]=1,"Yes","No")</f>
        <v>Yes</v>
      </c>
    </row>
    <row r="36" spans="1:17" x14ac:dyDescent="0.2">
      <c r="A36" t="s">
        <v>103</v>
      </c>
      <c r="B36" t="s">
        <v>104</v>
      </c>
      <c r="C36" s="1">
        <v>45293.416666666664</v>
      </c>
      <c r="D36">
        <v>48283.32</v>
      </c>
      <c r="E36" t="s">
        <v>34</v>
      </c>
      <c r="F36" t="s">
        <v>50</v>
      </c>
      <c r="G36" t="s">
        <v>65</v>
      </c>
      <c r="H36" t="s">
        <v>36</v>
      </c>
      <c r="I36" t="s">
        <v>36</v>
      </c>
      <c r="J36" t="s">
        <v>37</v>
      </c>
      <c r="K36">
        <v>0</v>
      </c>
      <c r="L36">
        <v>4</v>
      </c>
      <c r="M36">
        <v>10.83</v>
      </c>
      <c r="N36">
        <v>1</v>
      </c>
      <c r="O36" t="str">
        <f>IF(financial_fraud_data[[#This Row],[Risk_Score]]&gt;8,"High",IF(financial_fraud_data[[#This Row],[Risk_Score]]&gt;5,"Med","Low"))</f>
        <v>High</v>
      </c>
      <c r="P36" t="str">
        <f>TEXT(financial_fraud_data[[#This Row],[Transaction_Date]],"MMM")</f>
        <v>Jan</v>
      </c>
      <c r="Q36" t="str">
        <f>IF(financial_fraud_data[[#This Row],[Is_Fraud]]=1,"Yes","No")</f>
        <v>Yes</v>
      </c>
    </row>
    <row r="37" spans="1:17" x14ac:dyDescent="0.2">
      <c r="A37" t="s">
        <v>105</v>
      </c>
      <c r="B37" t="s">
        <v>106</v>
      </c>
      <c r="C37" s="1">
        <v>45293.458333333336</v>
      </c>
      <c r="D37">
        <v>40429.449999999997</v>
      </c>
      <c r="E37" t="s">
        <v>80</v>
      </c>
      <c r="F37" t="s">
        <v>47</v>
      </c>
      <c r="G37" t="s">
        <v>65</v>
      </c>
      <c r="H37" t="s">
        <v>23</v>
      </c>
      <c r="I37" t="s">
        <v>29</v>
      </c>
      <c r="J37" t="s">
        <v>37</v>
      </c>
      <c r="K37">
        <v>0</v>
      </c>
      <c r="L37">
        <v>1</v>
      </c>
      <c r="M37">
        <v>6.54</v>
      </c>
      <c r="N37">
        <v>1</v>
      </c>
      <c r="O37" t="str">
        <f>IF(financial_fraud_data[[#This Row],[Risk_Score]]&gt;8,"High",IF(financial_fraud_data[[#This Row],[Risk_Score]]&gt;5,"Med","Low"))</f>
        <v>Med</v>
      </c>
      <c r="P37" t="str">
        <f>TEXT(financial_fraud_data[[#This Row],[Transaction_Date]],"MMM")</f>
        <v>Jan</v>
      </c>
      <c r="Q37" t="str">
        <f>IF(financial_fraud_data[[#This Row],[Is_Fraud]]=1,"Yes","No")</f>
        <v>Yes</v>
      </c>
    </row>
    <row r="38" spans="1:17" x14ac:dyDescent="0.2">
      <c r="A38" t="s">
        <v>107</v>
      </c>
      <c r="B38" t="s">
        <v>108</v>
      </c>
      <c r="C38" s="1">
        <v>45293.5</v>
      </c>
      <c r="D38">
        <v>15265.46</v>
      </c>
      <c r="E38" t="s">
        <v>42</v>
      </c>
      <c r="F38" t="s">
        <v>47</v>
      </c>
      <c r="G38" t="s">
        <v>18</v>
      </c>
      <c r="H38" t="s">
        <v>19</v>
      </c>
      <c r="I38" t="s">
        <v>29</v>
      </c>
      <c r="J38" t="s">
        <v>20</v>
      </c>
      <c r="K38">
        <v>0</v>
      </c>
      <c r="L38">
        <v>2</v>
      </c>
      <c r="M38">
        <v>5.53</v>
      </c>
      <c r="N38">
        <v>1</v>
      </c>
      <c r="O38" t="str">
        <f>IF(financial_fraud_data[[#This Row],[Risk_Score]]&gt;8,"High",IF(financial_fraud_data[[#This Row],[Risk_Score]]&gt;5,"Med","Low"))</f>
        <v>Med</v>
      </c>
      <c r="P38" t="str">
        <f>TEXT(financial_fraud_data[[#This Row],[Transaction_Date]],"MMM")</f>
        <v>Jan</v>
      </c>
      <c r="Q38" t="str">
        <f>IF(financial_fraud_data[[#This Row],[Is_Fraud]]=1,"Yes","No")</f>
        <v>Yes</v>
      </c>
    </row>
    <row r="39" spans="1:17" x14ac:dyDescent="0.2">
      <c r="A39" t="s">
        <v>109</v>
      </c>
      <c r="B39" t="s">
        <v>79</v>
      </c>
      <c r="C39" s="1">
        <v>45293.541666666664</v>
      </c>
      <c r="D39">
        <v>4928.72</v>
      </c>
      <c r="E39" t="s">
        <v>80</v>
      </c>
      <c r="F39" t="s">
        <v>17</v>
      </c>
      <c r="G39" t="s">
        <v>18</v>
      </c>
      <c r="H39" t="s">
        <v>36</v>
      </c>
      <c r="I39" t="s">
        <v>36</v>
      </c>
      <c r="J39" t="s">
        <v>51</v>
      </c>
      <c r="K39">
        <v>0</v>
      </c>
      <c r="L39">
        <v>4</v>
      </c>
      <c r="M39">
        <v>6.49</v>
      </c>
      <c r="N39">
        <v>1</v>
      </c>
      <c r="O39" t="str">
        <f>IF(financial_fraud_data[[#This Row],[Risk_Score]]&gt;8,"High",IF(financial_fraud_data[[#This Row],[Risk_Score]]&gt;5,"Med","Low"))</f>
        <v>Med</v>
      </c>
      <c r="P39" t="str">
        <f>TEXT(financial_fraud_data[[#This Row],[Transaction_Date]],"MMM")</f>
        <v>Jan</v>
      </c>
      <c r="Q39" t="str">
        <f>IF(financial_fraud_data[[#This Row],[Is_Fraud]]=1,"Yes","No")</f>
        <v>Yes</v>
      </c>
    </row>
    <row r="40" spans="1:17" x14ac:dyDescent="0.2">
      <c r="A40" t="s">
        <v>110</v>
      </c>
      <c r="B40" t="s">
        <v>111</v>
      </c>
      <c r="C40" s="1">
        <v>45293.583333333336</v>
      </c>
      <c r="D40">
        <v>34227.440000000002</v>
      </c>
      <c r="E40" t="s">
        <v>16</v>
      </c>
      <c r="F40" t="s">
        <v>47</v>
      </c>
      <c r="G40" t="s">
        <v>65</v>
      </c>
      <c r="H40" t="s">
        <v>19</v>
      </c>
      <c r="I40" t="s">
        <v>29</v>
      </c>
      <c r="J40" t="s">
        <v>51</v>
      </c>
      <c r="K40">
        <v>0</v>
      </c>
      <c r="L40">
        <v>2</v>
      </c>
      <c r="M40">
        <v>7.42</v>
      </c>
      <c r="N40">
        <v>1</v>
      </c>
      <c r="O40" t="str">
        <f>IF(financial_fraud_data[[#This Row],[Risk_Score]]&gt;8,"High",IF(financial_fraud_data[[#This Row],[Risk_Score]]&gt;5,"Med","Low"))</f>
        <v>Med</v>
      </c>
      <c r="P40" t="str">
        <f>TEXT(financial_fraud_data[[#This Row],[Transaction_Date]],"MMM")</f>
        <v>Jan</v>
      </c>
      <c r="Q40" t="str">
        <f>IF(financial_fraud_data[[#This Row],[Is_Fraud]]=1,"Yes","No")</f>
        <v>Yes</v>
      </c>
    </row>
    <row r="41" spans="1:17" x14ac:dyDescent="0.2">
      <c r="A41" t="s">
        <v>112</v>
      </c>
      <c r="B41" t="s">
        <v>113</v>
      </c>
      <c r="C41" s="1">
        <v>45293.625</v>
      </c>
      <c r="D41">
        <v>22035.62</v>
      </c>
      <c r="E41" t="s">
        <v>16</v>
      </c>
      <c r="F41" t="s">
        <v>50</v>
      </c>
      <c r="G41" t="s">
        <v>28</v>
      </c>
      <c r="H41" t="s">
        <v>29</v>
      </c>
      <c r="I41" t="s">
        <v>24</v>
      </c>
      <c r="J41" t="s">
        <v>51</v>
      </c>
      <c r="K41">
        <v>0</v>
      </c>
      <c r="L41">
        <v>4</v>
      </c>
      <c r="M41">
        <v>9.1999999999999993</v>
      </c>
      <c r="N41">
        <v>1</v>
      </c>
      <c r="O41" t="str">
        <f>IF(financial_fraud_data[[#This Row],[Risk_Score]]&gt;8,"High",IF(financial_fraud_data[[#This Row],[Risk_Score]]&gt;5,"Med","Low"))</f>
        <v>High</v>
      </c>
      <c r="P41" t="str">
        <f>TEXT(financial_fraud_data[[#This Row],[Transaction_Date]],"MMM")</f>
        <v>Jan</v>
      </c>
      <c r="Q41" t="str">
        <f>IF(financial_fraud_data[[#This Row],[Is_Fraud]]=1,"Yes","No")</f>
        <v>Yes</v>
      </c>
    </row>
    <row r="42" spans="1:17" x14ac:dyDescent="0.2">
      <c r="A42" t="s">
        <v>114</v>
      </c>
      <c r="B42" t="s">
        <v>115</v>
      </c>
      <c r="C42" s="1">
        <v>45293.666666666664</v>
      </c>
      <c r="D42">
        <v>6145.81</v>
      </c>
      <c r="E42" t="s">
        <v>80</v>
      </c>
      <c r="F42" t="s">
        <v>47</v>
      </c>
      <c r="G42" t="s">
        <v>28</v>
      </c>
      <c r="H42" t="s">
        <v>29</v>
      </c>
      <c r="I42" t="s">
        <v>19</v>
      </c>
      <c r="J42" t="s">
        <v>51</v>
      </c>
      <c r="K42">
        <v>0</v>
      </c>
      <c r="L42">
        <v>2</v>
      </c>
      <c r="M42">
        <v>4.6100000000000003</v>
      </c>
      <c r="N42">
        <v>0</v>
      </c>
      <c r="O42" t="str">
        <f>IF(financial_fraud_data[[#This Row],[Risk_Score]]&gt;8,"High",IF(financial_fraud_data[[#This Row],[Risk_Score]]&gt;5,"Med","Low"))</f>
        <v>Low</v>
      </c>
      <c r="P42" t="str">
        <f>TEXT(financial_fraud_data[[#This Row],[Transaction_Date]],"MMM")</f>
        <v>Jan</v>
      </c>
      <c r="Q42" t="str">
        <f>IF(financial_fraud_data[[#This Row],[Is_Fraud]]=1,"Yes","No")</f>
        <v>No</v>
      </c>
    </row>
    <row r="43" spans="1:17" x14ac:dyDescent="0.2">
      <c r="A43" t="s">
        <v>116</v>
      </c>
      <c r="B43" t="s">
        <v>117</v>
      </c>
      <c r="C43" s="1">
        <v>45293.708333333336</v>
      </c>
      <c r="D43">
        <v>24784.09</v>
      </c>
      <c r="E43" t="s">
        <v>80</v>
      </c>
      <c r="F43" t="s">
        <v>50</v>
      </c>
      <c r="G43" t="s">
        <v>56</v>
      </c>
      <c r="H43" t="s">
        <v>19</v>
      </c>
      <c r="I43" t="s">
        <v>23</v>
      </c>
      <c r="J43" t="s">
        <v>51</v>
      </c>
      <c r="K43">
        <v>0</v>
      </c>
      <c r="L43">
        <v>3</v>
      </c>
      <c r="M43">
        <v>7.98</v>
      </c>
      <c r="N43">
        <v>1</v>
      </c>
      <c r="O43" t="str">
        <f>IF(financial_fraud_data[[#This Row],[Risk_Score]]&gt;8,"High",IF(financial_fraud_data[[#This Row],[Risk_Score]]&gt;5,"Med","Low"))</f>
        <v>Med</v>
      </c>
      <c r="P43" t="str">
        <f>TEXT(financial_fraud_data[[#This Row],[Transaction_Date]],"MMM")</f>
        <v>Jan</v>
      </c>
      <c r="Q43" t="str">
        <f>IF(financial_fraud_data[[#This Row],[Is_Fraud]]=1,"Yes","No")</f>
        <v>Yes</v>
      </c>
    </row>
    <row r="44" spans="1:17" x14ac:dyDescent="0.2">
      <c r="A44" t="s">
        <v>118</v>
      </c>
      <c r="B44" t="s">
        <v>119</v>
      </c>
      <c r="C44" s="1">
        <v>45293.75</v>
      </c>
      <c r="D44">
        <v>1767.71</v>
      </c>
      <c r="E44" t="s">
        <v>80</v>
      </c>
      <c r="F44" t="s">
        <v>47</v>
      </c>
      <c r="G44" t="s">
        <v>35</v>
      </c>
      <c r="H44" t="s">
        <v>36</v>
      </c>
      <c r="I44" t="s">
        <v>36</v>
      </c>
      <c r="J44" t="s">
        <v>51</v>
      </c>
      <c r="K44">
        <v>0</v>
      </c>
      <c r="L44">
        <v>2</v>
      </c>
      <c r="M44">
        <v>3.18</v>
      </c>
      <c r="N44">
        <v>0</v>
      </c>
      <c r="O44" t="str">
        <f>IF(financial_fraud_data[[#This Row],[Risk_Score]]&gt;8,"High",IF(financial_fraud_data[[#This Row],[Risk_Score]]&gt;5,"Med","Low"))</f>
        <v>Low</v>
      </c>
      <c r="P44" t="str">
        <f>TEXT(financial_fraud_data[[#This Row],[Transaction_Date]],"MMM")</f>
        <v>Jan</v>
      </c>
      <c r="Q44" t="str">
        <f>IF(financial_fraud_data[[#This Row],[Is_Fraud]]=1,"Yes","No")</f>
        <v>No</v>
      </c>
    </row>
    <row r="45" spans="1:17" x14ac:dyDescent="0.2">
      <c r="A45" t="s">
        <v>120</v>
      </c>
      <c r="B45" t="s">
        <v>121</v>
      </c>
      <c r="C45" s="1">
        <v>45293.791666666664</v>
      </c>
      <c r="D45">
        <v>45470.55</v>
      </c>
      <c r="E45" t="s">
        <v>34</v>
      </c>
      <c r="F45" t="s">
        <v>27</v>
      </c>
      <c r="G45" t="s">
        <v>56</v>
      </c>
      <c r="H45" t="s">
        <v>23</v>
      </c>
      <c r="I45" t="s">
        <v>23</v>
      </c>
      <c r="J45" t="s">
        <v>20</v>
      </c>
      <c r="K45">
        <v>0</v>
      </c>
      <c r="L45">
        <v>1</v>
      </c>
      <c r="M45">
        <v>6.05</v>
      </c>
      <c r="N45">
        <v>1</v>
      </c>
      <c r="O45" t="str">
        <f>IF(financial_fraud_data[[#This Row],[Risk_Score]]&gt;8,"High",IF(financial_fraud_data[[#This Row],[Risk_Score]]&gt;5,"Med","Low"))</f>
        <v>Med</v>
      </c>
      <c r="P45" t="str">
        <f>TEXT(financial_fraud_data[[#This Row],[Transaction_Date]],"MMM")</f>
        <v>Jan</v>
      </c>
      <c r="Q45" t="str">
        <f>IF(financial_fraud_data[[#This Row],[Is_Fraud]]=1,"Yes","No")</f>
        <v>Yes</v>
      </c>
    </row>
    <row r="46" spans="1:17" x14ac:dyDescent="0.2">
      <c r="A46" t="s">
        <v>122</v>
      </c>
      <c r="B46" t="s">
        <v>123</v>
      </c>
      <c r="C46" s="1">
        <v>45293.833333333336</v>
      </c>
      <c r="D46">
        <v>12976.06</v>
      </c>
      <c r="E46" t="s">
        <v>80</v>
      </c>
      <c r="F46" t="s">
        <v>17</v>
      </c>
      <c r="G46" t="s">
        <v>56</v>
      </c>
      <c r="H46" t="s">
        <v>24</v>
      </c>
      <c r="I46" t="s">
        <v>19</v>
      </c>
      <c r="J46" t="s">
        <v>51</v>
      </c>
      <c r="K46">
        <v>0</v>
      </c>
      <c r="L46">
        <v>0</v>
      </c>
      <c r="M46">
        <v>2.2999999999999998</v>
      </c>
      <c r="N46">
        <v>0</v>
      </c>
      <c r="O46" t="str">
        <f>IF(financial_fraud_data[[#This Row],[Risk_Score]]&gt;8,"High",IF(financial_fraud_data[[#This Row],[Risk_Score]]&gt;5,"Med","Low"))</f>
        <v>Low</v>
      </c>
      <c r="P46" t="str">
        <f>TEXT(financial_fraud_data[[#This Row],[Transaction_Date]],"MMM")</f>
        <v>Jan</v>
      </c>
      <c r="Q46" t="str">
        <f>IF(financial_fraud_data[[#This Row],[Is_Fraud]]=1,"Yes","No")</f>
        <v>No</v>
      </c>
    </row>
    <row r="47" spans="1:17" x14ac:dyDescent="0.2">
      <c r="A47" t="s">
        <v>124</v>
      </c>
      <c r="B47" t="s">
        <v>125</v>
      </c>
      <c r="C47" s="1">
        <v>45293.875</v>
      </c>
      <c r="D47">
        <v>33142.99</v>
      </c>
      <c r="E47" t="s">
        <v>42</v>
      </c>
      <c r="F47" t="s">
        <v>17</v>
      </c>
      <c r="G47" t="s">
        <v>35</v>
      </c>
      <c r="H47" t="s">
        <v>23</v>
      </c>
      <c r="I47" t="s">
        <v>36</v>
      </c>
      <c r="J47" t="s">
        <v>51</v>
      </c>
      <c r="K47">
        <v>0</v>
      </c>
      <c r="L47">
        <v>2</v>
      </c>
      <c r="M47">
        <v>7.31</v>
      </c>
      <c r="N47">
        <v>1</v>
      </c>
      <c r="O47" t="str">
        <f>IF(financial_fraud_data[[#This Row],[Risk_Score]]&gt;8,"High",IF(financial_fraud_data[[#This Row],[Risk_Score]]&gt;5,"Med","Low"))</f>
        <v>Med</v>
      </c>
      <c r="P47" t="str">
        <f>TEXT(financial_fraud_data[[#This Row],[Transaction_Date]],"MMM")</f>
        <v>Jan</v>
      </c>
      <c r="Q47" t="str">
        <f>IF(financial_fraud_data[[#This Row],[Is_Fraud]]=1,"Yes","No")</f>
        <v>Yes</v>
      </c>
    </row>
    <row r="48" spans="1:17" x14ac:dyDescent="0.2">
      <c r="A48" t="s">
        <v>126</v>
      </c>
      <c r="B48" t="s">
        <v>127</v>
      </c>
      <c r="C48" s="1">
        <v>45293.916666666664</v>
      </c>
      <c r="D48">
        <v>15619.97</v>
      </c>
      <c r="E48" t="s">
        <v>34</v>
      </c>
      <c r="F48" t="s">
        <v>27</v>
      </c>
      <c r="G48" t="s">
        <v>65</v>
      </c>
      <c r="H48" t="s">
        <v>24</v>
      </c>
      <c r="I48" t="s">
        <v>19</v>
      </c>
      <c r="J48" t="s">
        <v>51</v>
      </c>
      <c r="K48">
        <v>0</v>
      </c>
      <c r="L48">
        <v>0</v>
      </c>
      <c r="M48">
        <v>2.56</v>
      </c>
      <c r="N48">
        <v>0</v>
      </c>
      <c r="O48" t="str">
        <f>IF(financial_fraud_data[[#This Row],[Risk_Score]]&gt;8,"High",IF(financial_fraud_data[[#This Row],[Risk_Score]]&gt;5,"Med","Low"))</f>
        <v>Low</v>
      </c>
      <c r="P48" t="str">
        <f>TEXT(financial_fraud_data[[#This Row],[Transaction_Date]],"MMM")</f>
        <v>Jan</v>
      </c>
      <c r="Q48" t="str">
        <f>IF(financial_fraud_data[[#This Row],[Is_Fraud]]=1,"Yes","No")</f>
        <v>No</v>
      </c>
    </row>
    <row r="49" spans="1:17" x14ac:dyDescent="0.2">
      <c r="A49" t="s">
        <v>128</v>
      </c>
      <c r="B49" t="s">
        <v>129</v>
      </c>
      <c r="C49" s="1">
        <v>45293.958333333336</v>
      </c>
      <c r="D49">
        <v>26027.4</v>
      </c>
      <c r="E49" t="s">
        <v>34</v>
      </c>
      <c r="F49" t="s">
        <v>27</v>
      </c>
      <c r="G49" t="s">
        <v>28</v>
      </c>
      <c r="H49" t="s">
        <v>24</v>
      </c>
      <c r="I49" t="s">
        <v>29</v>
      </c>
      <c r="J49" t="s">
        <v>20</v>
      </c>
      <c r="K49">
        <v>0</v>
      </c>
      <c r="L49">
        <v>3</v>
      </c>
      <c r="M49">
        <v>8.1</v>
      </c>
      <c r="N49">
        <v>1</v>
      </c>
      <c r="O49" t="str">
        <f>IF(financial_fraud_data[[#This Row],[Risk_Score]]&gt;8,"High",IF(financial_fraud_data[[#This Row],[Risk_Score]]&gt;5,"Med","Low"))</f>
        <v>High</v>
      </c>
      <c r="P49" t="str">
        <f>TEXT(financial_fraud_data[[#This Row],[Transaction_Date]],"MMM")</f>
        <v>Jan</v>
      </c>
      <c r="Q49" t="str">
        <f>IF(financial_fraud_data[[#This Row],[Is_Fraud]]=1,"Yes","No")</f>
        <v>Yes</v>
      </c>
    </row>
    <row r="50" spans="1:17" x14ac:dyDescent="0.2">
      <c r="A50" t="s">
        <v>130</v>
      </c>
      <c r="B50" t="s">
        <v>131</v>
      </c>
      <c r="C50" s="1">
        <v>45294</v>
      </c>
      <c r="D50">
        <v>27358.18</v>
      </c>
      <c r="E50" t="s">
        <v>80</v>
      </c>
      <c r="F50" t="s">
        <v>17</v>
      </c>
      <c r="G50" t="s">
        <v>56</v>
      </c>
      <c r="H50" t="s">
        <v>36</v>
      </c>
      <c r="I50" t="s">
        <v>29</v>
      </c>
      <c r="J50" t="s">
        <v>51</v>
      </c>
      <c r="K50">
        <v>0</v>
      </c>
      <c r="L50">
        <v>3</v>
      </c>
      <c r="M50">
        <v>8.24</v>
      </c>
      <c r="N50">
        <v>1</v>
      </c>
      <c r="O50" t="str">
        <f>IF(financial_fraud_data[[#This Row],[Risk_Score]]&gt;8,"High",IF(financial_fraud_data[[#This Row],[Risk_Score]]&gt;5,"Med","Low"))</f>
        <v>High</v>
      </c>
      <c r="P50" t="str">
        <f>TEXT(financial_fraud_data[[#This Row],[Transaction_Date]],"MMM")</f>
        <v>Jan</v>
      </c>
      <c r="Q50" t="str">
        <f>IF(financial_fraud_data[[#This Row],[Is_Fraud]]=1,"Yes","No")</f>
        <v>Yes</v>
      </c>
    </row>
    <row r="51" spans="1:17" x14ac:dyDescent="0.2">
      <c r="A51" t="s">
        <v>132</v>
      </c>
      <c r="B51" t="s">
        <v>133</v>
      </c>
      <c r="C51" s="1">
        <v>45294.041666666664</v>
      </c>
      <c r="D51">
        <v>9283.48</v>
      </c>
      <c r="E51" t="s">
        <v>42</v>
      </c>
      <c r="F51" t="s">
        <v>27</v>
      </c>
      <c r="G51" t="s">
        <v>35</v>
      </c>
      <c r="H51" t="s">
        <v>19</v>
      </c>
      <c r="I51" t="s">
        <v>29</v>
      </c>
      <c r="J51" t="s">
        <v>20</v>
      </c>
      <c r="K51">
        <v>0</v>
      </c>
      <c r="L51">
        <v>1</v>
      </c>
      <c r="M51">
        <v>3.43</v>
      </c>
      <c r="N51">
        <v>0</v>
      </c>
      <c r="O51" t="str">
        <f>IF(financial_fraud_data[[#This Row],[Risk_Score]]&gt;8,"High",IF(financial_fraud_data[[#This Row],[Risk_Score]]&gt;5,"Med","Low"))</f>
        <v>Low</v>
      </c>
      <c r="P51" t="str">
        <f>TEXT(financial_fraud_data[[#This Row],[Transaction_Date]],"MMM")</f>
        <v>Jan</v>
      </c>
      <c r="Q51" t="str">
        <f>IF(financial_fraud_data[[#This Row],[Is_Fraud]]=1,"Yes","No")</f>
        <v>No</v>
      </c>
    </row>
    <row r="52" spans="1:17" x14ac:dyDescent="0.2">
      <c r="A52" t="s">
        <v>134</v>
      </c>
      <c r="B52" t="s">
        <v>84</v>
      </c>
      <c r="C52" s="1">
        <v>45294.083333333336</v>
      </c>
      <c r="D52">
        <v>48480.75</v>
      </c>
      <c r="E52" t="s">
        <v>34</v>
      </c>
      <c r="F52" t="s">
        <v>50</v>
      </c>
      <c r="G52" t="s">
        <v>18</v>
      </c>
      <c r="H52" t="s">
        <v>23</v>
      </c>
      <c r="I52" t="s">
        <v>19</v>
      </c>
      <c r="J52" t="s">
        <v>37</v>
      </c>
      <c r="K52">
        <v>1</v>
      </c>
      <c r="L52">
        <v>1</v>
      </c>
      <c r="M52">
        <v>9.35</v>
      </c>
      <c r="N52">
        <v>1</v>
      </c>
      <c r="O52" t="str">
        <f>IF(financial_fraud_data[[#This Row],[Risk_Score]]&gt;8,"High",IF(financial_fraud_data[[#This Row],[Risk_Score]]&gt;5,"Med","Low"))</f>
        <v>High</v>
      </c>
      <c r="P52" t="str">
        <f>TEXT(financial_fraud_data[[#This Row],[Transaction_Date]],"MMM")</f>
        <v>Jan</v>
      </c>
      <c r="Q52" t="str">
        <f>IF(financial_fraud_data[[#This Row],[Is_Fraud]]=1,"Yes","No")</f>
        <v>Yes</v>
      </c>
    </row>
    <row r="53" spans="1:17" x14ac:dyDescent="0.2">
      <c r="A53" t="s">
        <v>135</v>
      </c>
      <c r="B53" t="s">
        <v>136</v>
      </c>
      <c r="C53" s="1">
        <v>45294.125</v>
      </c>
      <c r="D53">
        <v>38767.879999999997</v>
      </c>
      <c r="E53" t="s">
        <v>16</v>
      </c>
      <c r="F53" t="s">
        <v>47</v>
      </c>
      <c r="G53" t="s">
        <v>56</v>
      </c>
      <c r="H53" t="s">
        <v>19</v>
      </c>
      <c r="I53" t="s">
        <v>19</v>
      </c>
      <c r="J53" t="s">
        <v>51</v>
      </c>
      <c r="K53">
        <v>0</v>
      </c>
      <c r="L53">
        <v>2</v>
      </c>
      <c r="M53">
        <v>6.88</v>
      </c>
      <c r="N53">
        <v>1</v>
      </c>
      <c r="O53" t="str">
        <f>IF(financial_fraud_data[[#This Row],[Risk_Score]]&gt;8,"High",IF(financial_fraud_data[[#This Row],[Risk_Score]]&gt;5,"Med","Low"))</f>
        <v>Med</v>
      </c>
      <c r="P53" t="str">
        <f>TEXT(financial_fraud_data[[#This Row],[Transaction_Date]],"MMM")</f>
        <v>Jan</v>
      </c>
      <c r="Q53" t="str">
        <f>IF(financial_fraud_data[[#This Row],[Is_Fraud]]=1,"Yes","No")</f>
        <v>Yes</v>
      </c>
    </row>
    <row r="54" spans="1:17" x14ac:dyDescent="0.2">
      <c r="A54" t="s">
        <v>137</v>
      </c>
      <c r="B54" t="s">
        <v>138</v>
      </c>
      <c r="C54" s="1">
        <v>45294.166666666664</v>
      </c>
      <c r="D54">
        <v>46977.97</v>
      </c>
      <c r="E54" t="s">
        <v>34</v>
      </c>
      <c r="F54" t="s">
        <v>17</v>
      </c>
      <c r="G54" t="s">
        <v>28</v>
      </c>
      <c r="H54" t="s">
        <v>29</v>
      </c>
      <c r="I54" t="s">
        <v>19</v>
      </c>
      <c r="J54" t="s">
        <v>20</v>
      </c>
      <c r="K54">
        <v>0</v>
      </c>
      <c r="L54">
        <v>4</v>
      </c>
      <c r="M54">
        <v>11.7</v>
      </c>
      <c r="N54">
        <v>1</v>
      </c>
      <c r="O54" t="str">
        <f>IF(financial_fraud_data[[#This Row],[Risk_Score]]&gt;8,"High",IF(financial_fraud_data[[#This Row],[Risk_Score]]&gt;5,"Med","Low"))</f>
        <v>High</v>
      </c>
      <c r="P54" t="str">
        <f>TEXT(financial_fraud_data[[#This Row],[Transaction_Date]],"MMM")</f>
        <v>Jan</v>
      </c>
      <c r="Q54" t="str">
        <f>IF(financial_fraud_data[[#This Row],[Is_Fraud]]=1,"Yes","No")</f>
        <v>Yes</v>
      </c>
    </row>
    <row r="55" spans="1:17" x14ac:dyDescent="0.2">
      <c r="A55" t="s">
        <v>139</v>
      </c>
      <c r="B55" t="s">
        <v>140</v>
      </c>
      <c r="C55" s="1">
        <v>45294.208333333336</v>
      </c>
      <c r="D55">
        <v>44746.63</v>
      </c>
      <c r="E55" t="s">
        <v>80</v>
      </c>
      <c r="F55" t="s">
        <v>27</v>
      </c>
      <c r="G55" t="s">
        <v>65</v>
      </c>
      <c r="H55" t="s">
        <v>36</v>
      </c>
      <c r="I55" t="s">
        <v>23</v>
      </c>
      <c r="J55" t="s">
        <v>37</v>
      </c>
      <c r="K55">
        <v>0</v>
      </c>
      <c r="L55">
        <v>3</v>
      </c>
      <c r="M55">
        <v>9.9700000000000006</v>
      </c>
      <c r="N55">
        <v>1</v>
      </c>
      <c r="O55" t="str">
        <f>IF(financial_fraud_data[[#This Row],[Risk_Score]]&gt;8,"High",IF(financial_fraud_data[[#This Row],[Risk_Score]]&gt;5,"Med","Low"))</f>
        <v>High</v>
      </c>
      <c r="P55" t="str">
        <f>TEXT(financial_fraud_data[[#This Row],[Transaction_Date]],"MMM")</f>
        <v>Jan</v>
      </c>
      <c r="Q55" t="str">
        <f>IF(financial_fraud_data[[#This Row],[Is_Fraud]]=1,"Yes","No")</f>
        <v>Yes</v>
      </c>
    </row>
    <row r="56" spans="1:17" x14ac:dyDescent="0.2">
      <c r="A56" t="s">
        <v>141</v>
      </c>
      <c r="B56" t="s">
        <v>142</v>
      </c>
      <c r="C56" s="1">
        <v>45294.25</v>
      </c>
      <c r="D56">
        <v>29915.1</v>
      </c>
      <c r="E56" t="s">
        <v>42</v>
      </c>
      <c r="F56" t="s">
        <v>50</v>
      </c>
      <c r="G56" t="s">
        <v>56</v>
      </c>
      <c r="H56" t="s">
        <v>36</v>
      </c>
      <c r="I56" t="s">
        <v>19</v>
      </c>
      <c r="J56" t="s">
        <v>20</v>
      </c>
      <c r="K56">
        <v>0</v>
      </c>
      <c r="L56">
        <v>0</v>
      </c>
      <c r="M56">
        <v>3.99</v>
      </c>
      <c r="N56">
        <v>0</v>
      </c>
      <c r="O56" t="str">
        <f>IF(financial_fraud_data[[#This Row],[Risk_Score]]&gt;8,"High",IF(financial_fraud_data[[#This Row],[Risk_Score]]&gt;5,"Med","Low"))</f>
        <v>Low</v>
      </c>
      <c r="P56" t="str">
        <f>TEXT(financial_fraud_data[[#This Row],[Transaction_Date]],"MMM")</f>
        <v>Jan</v>
      </c>
      <c r="Q56" t="str">
        <f>IF(financial_fraud_data[[#This Row],[Is_Fraud]]=1,"Yes","No")</f>
        <v>No</v>
      </c>
    </row>
    <row r="57" spans="1:17" x14ac:dyDescent="0.2">
      <c r="A57" t="s">
        <v>143</v>
      </c>
      <c r="B57" t="s">
        <v>144</v>
      </c>
      <c r="C57" s="1">
        <v>45294.291666666664</v>
      </c>
      <c r="D57">
        <v>46097.62</v>
      </c>
      <c r="E57" t="s">
        <v>80</v>
      </c>
      <c r="F57" t="s">
        <v>17</v>
      </c>
      <c r="G57" t="s">
        <v>56</v>
      </c>
      <c r="H57" t="s">
        <v>29</v>
      </c>
      <c r="I57" t="s">
        <v>29</v>
      </c>
      <c r="J57" t="s">
        <v>20</v>
      </c>
      <c r="K57">
        <v>0</v>
      </c>
      <c r="L57">
        <v>4</v>
      </c>
      <c r="M57">
        <v>10.61</v>
      </c>
      <c r="N57">
        <v>1</v>
      </c>
      <c r="O57" t="str">
        <f>IF(financial_fraud_data[[#This Row],[Risk_Score]]&gt;8,"High",IF(financial_fraud_data[[#This Row],[Risk_Score]]&gt;5,"Med","Low"))</f>
        <v>High</v>
      </c>
      <c r="P57" t="str">
        <f>TEXT(financial_fraud_data[[#This Row],[Transaction_Date]],"MMM")</f>
        <v>Jan</v>
      </c>
      <c r="Q57" t="str">
        <f>IF(financial_fraud_data[[#This Row],[Is_Fraud]]=1,"Yes","No")</f>
        <v>Yes</v>
      </c>
    </row>
    <row r="58" spans="1:17" x14ac:dyDescent="0.2">
      <c r="A58" t="s">
        <v>145</v>
      </c>
      <c r="B58" t="s">
        <v>146</v>
      </c>
      <c r="C58" s="1">
        <v>45294.333333333336</v>
      </c>
      <c r="D58">
        <v>4470.2</v>
      </c>
      <c r="E58" t="s">
        <v>16</v>
      </c>
      <c r="F58" t="s">
        <v>27</v>
      </c>
      <c r="G58" t="s">
        <v>35</v>
      </c>
      <c r="H58" t="s">
        <v>23</v>
      </c>
      <c r="I58" t="s">
        <v>24</v>
      </c>
      <c r="J58" t="s">
        <v>37</v>
      </c>
      <c r="K58">
        <v>0</v>
      </c>
      <c r="L58">
        <v>3</v>
      </c>
      <c r="M58">
        <v>5.95</v>
      </c>
      <c r="N58">
        <v>1</v>
      </c>
      <c r="O58" t="str">
        <f>IF(financial_fraud_data[[#This Row],[Risk_Score]]&gt;8,"High",IF(financial_fraud_data[[#This Row],[Risk_Score]]&gt;5,"Med","Low"))</f>
        <v>Med</v>
      </c>
      <c r="P58" t="str">
        <f>TEXT(financial_fraud_data[[#This Row],[Transaction_Date]],"MMM")</f>
        <v>Jan</v>
      </c>
      <c r="Q58" t="str">
        <f>IF(financial_fraud_data[[#This Row],[Is_Fraud]]=1,"Yes","No")</f>
        <v>Yes</v>
      </c>
    </row>
    <row r="59" spans="1:17" x14ac:dyDescent="0.2">
      <c r="A59" t="s">
        <v>147</v>
      </c>
      <c r="B59" t="s">
        <v>148</v>
      </c>
      <c r="C59" s="1">
        <v>45294.375</v>
      </c>
      <c r="D59">
        <v>9839.34</v>
      </c>
      <c r="E59" t="s">
        <v>16</v>
      </c>
      <c r="F59" t="s">
        <v>17</v>
      </c>
      <c r="G59" t="s">
        <v>18</v>
      </c>
      <c r="H59" t="s">
        <v>29</v>
      </c>
      <c r="I59" t="s">
        <v>19</v>
      </c>
      <c r="J59" t="s">
        <v>51</v>
      </c>
      <c r="K59">
        <v>0</v>
      </c>
      <c r="L59">
        <v>2</v>
      </c>
      <c r="M59">
        <v>4.9800000000000004</v>
      </c>
      <c r="N59">
        <v>0</v>
      </c>
      <c r="O59" t="str">
        <f>IF(financial_fraud_data[[#This Row],[Risk_Score]]&gt;8,"High",IF(financial_fraud_data[[#This Row],[Risk_Score]]&gt;5,"Med","Low"))</f>
        <v>Low</v>
      </c>
      <c r="P59" t="str">
        <f>TEXT(financial_fraud_data[[#This Row],[Transaction_Date]],"MMM")</f>
        <v>Jan</v>
      </c>
      <c r="Q59" t="str">
        <f>IF(financial_fraud_data[[#This Row],[Is_Fraud]]=1,"Yes","No")</f>
        <v>No</v>
      </c>
    </row>
    <row r="60" spans="1:17" x14ac:dyDescent="0.2">
      <c r="A60" t="s">
        <v>149</v>
      </c>
      <c r="B60" t="s">
        <v>150</v>
      </c>
      <c r="C60" s="1">
        <v>45294.416666666664</v>
      </c>
      <c r="D60">
        <v>2309.1</v>
      </c>
      <c r="E60" t="s">
        <v>16</v>
      </c>
      <c r="F60" t="s">
        <v>27</v>
      </c>
      <c r="G60" t="s">
        <v>18</v>
      </c>
      <c r="H60" t="s">
        <v>23</v>
      </c>
      <c r="I60" t="s">
        <v>24</v>
      </c>
      <c r="J60" t="s">
        <v>51</v>
      </c>
      <c r="K60">
        <v>0</v>
      </c>
      <c r="L60">
        <v>3</v>
      </c>
      <c r="M60">
        <v>5.73</v>
      </c>
      <c r="N60">
        <v>1</v>
      </c>
      <c r="O60" t="str">
        <f>IF(financial_fraud_data[[#This Row],[Risk_Score]]&gt;8,"High",IF(financial_fraud_data[[#This Row],[Risk_Score]]&gt;5,"Med","Low"))</f>
        <v>Med</v>
      </c>
      <c r="P60" t="str">
        <f>TEXT(financial_fraud_data[[#This Row],[Transaction_Date]],"MMM")</f>
        <v>Jan</v>
      </c>
      <c r="Q60" t="str">
        <f>IF(financial_fraud_data[[#This Row],[Is_Fraud]]=1,"Yes","No")</f>
        <v>Yes</v>
      </c>
    </row>
    <row r="61" spans="1:17" x14ac:dyDescent="0.2">
      <c r="A61" t="s">
        <v>151</v>
      </c>
      <c r="B61" t="s">
        <v>152</v>
      </c>
      <c r="C61" s="1">
        <v>45294.458333333336</v>
      </c>
      <c r="D61">
        <v>16300.25</v>
      </c>
      <c r="E61" t="s">
        <v>80</v>
      </c>
      <c r="F61" t="s">
        <v>17</v>
      </c>
      <c r="G61" t="s">
        <v>65</v>
      </c>
      <c r="H61" t="s">
        <v>24</v>
      </c>
      <c r="I61" t="s">
        <v>29</v>
      </c>
      <c r="J61" t="s">
        <v>20</v>
      </c>
      <c r="K61">
        <v>0</v>
      </c>
      <c r="L61">
        <v>1</v>
      </c>
      <c r="M61">
        <v>4.13</v>
      </c>
      <c r="N61">
        <v>0</v>
      </c>
      <c r="O61" t="str">
        <f>IF(financial_fraud_data[[#This Row],[Risk_Score]]&gt;8,"High",IF(financial_fraud_data[[#This Row],[Risk_Score]]&gt;5,"Med","Low"))</f>
        <v>Low</v>
      </c>
      <c r="P61" t="str">
        <f>TEXT(financial_fraud_data[[#This Row],[Transaction_Date]],"MMM")</f>
        <v>Jan</v>
      </c>
      <c r="Q61" t="str">
        <f>IF(financial_fraud_data[[#This Row],[Is_Fraud]]=1,"Yes","No")</f>
        <v>No</v>
      </c>
    </row>
    <row r="62" spans="1:17" x14ac:dyDescent="0.2">
      <c r="A62" t="s">
        <v>153</v>
      </c>
      <c r="B62" t="s">
        <v>154</v>
      </c>
      <c r="C62" s="1">
        <v>45294.5</v>
      </c>
      <c r="D62">
        <v>19464.43</v>
      </c>
      <c r="E62" t="s">
        <v>34</v>
      </c>
      <c r="F62" t="s">
        <v>50</v>
      </c>
      <c r="G62" t="s">
        <v>28</v>
      </c>
      <c r="H62" t="s">
        <v>36</v>
      </c>
      <c r="I62" t="s">
        <v>19</v>
      </c>
      <c r="J62" t="s">
        <v>37</v>
      </c>
      <c r="K62">
        <v>0</v>
      </c>
      <c r="L62">
        <v>0</v>
      </c>
      <c r="M62">
        <v>2.95</v>
      </c>
      <c r="N62">
        <v>0</v>
      </c>
      <c r="O62" t="str">
        <f>IF(financial_fraud_data[[#This Row],[Risk_Score]]&gt;8,"High",IF(financial_fraud_data[[#This Row],[Risk_Score]]&gt;5,"Med","Low"))</f>
        <v>Low</v>
      </c>
      <c r="P62" t="str">
        <f>TEXT(financial_fraud_data[[#This Row],[Transaction_Date]],"MMM")</f>
        <v>Jan</v>
      </c>
      <c r="Q62" t="str">
        <f>IF(financial_fraud_data[[#This Row],[Is_Fraud]]=1,"Yes","No")</f>
        <v>No</v>
      </c>
    </row>
    <row r="63" spans="1:17" x14ac:dyDescent="0.2">
      <c r="A63" t="s">
        <v>155</v>
      </c>
      <c r="B63" t="s">
        <v>156</v>
      </c>
      <c r="C63" s="1">
        <v>45294.541666666664</v>
      </c>
      <c r="D63">
        <v>13603.88</v>
      </c>
      <c r="E63" t="s">
        <v>80</v>
      </c>
      <c r="F63" t="s">
        <v>50</v>
      </c>
      <c r="G63" t="s">
        <v>65</v>
      </c>
      <c r="H63" t="s">
        <v>23</v>
      </c>
      <c r="I63" t="s">
        <v>23</v>
      </c>
      <c r="J63" t="s">
        <v>51</v>
      </c>
      <c r="K63">
        <v>0</v>
      </c>
      <c r="L63">
        <v>0</v>
      </c>
      <c r="M63">
        <v>1.36</v>
      </c>
      <c r="N63">
        <v>0</v>
      </c>
      <c r="O63" t="str">
        <f>IF(financial_fraud_data[[#This Row],[Risk_Score]]&gt;8,"High",IF(financial_fraud_data[[#This Row],[Risk_Score]]&gt;5,"Med","Low"))</f>
        <v>Low</v>
      </c>
      <c r="P63" t="str">
        <f>TEXT(financial_fraud_data[[#This Row],[Transaction_Date]],"MMM")</f>
        <v>Jan</v>
      </c>
      <c r="Q63" t="str">
        <f>IF(financial_fraud_data[[#This Row],[Is_Fraud]]=1,"Yes","No")</f>
        <v>No</v>
      </c>
    </row>
    <row r="64" spans="1:17" x14ac:dyDescent="0.2">
      <c r="A64" t="s">
        <v>157</v>
      </c>
      <c r="B64" t="s">
        <v>158</v>
      </c>
      <c r="C64" s="1">
        <v>45294.583333333336</v>
      </c>
      <c r="D64">
        <v>41445.440000000002</v>
      </c>
      <c r="E64" t="s">
        <v>42</v>
      </c>
      <c r="F64" t="s">
        <v>47</v>
      </c>
      <c r="G64" t="s">
        <v>56</v>
      </c>
      <c r="H64" t="s">
        <v>19</v>
      </c>
      <c r="I64" t="s">
        <v>23</v>
      </c>
      <c r="J64" t="s">
        <v>20</v>
      </c>
      <c r="K64">
        <v>0</v>
      </c>
      <c r="L64">
        <v>1</v>
      </c>
      <c r="M64">
        <v>6.64</v>
      </c>
      <c r="N64">
        <v>1</v>
      </c>
      <c r="O64" t="str">
        <f>IF(financial_fraud_data[[#This Row],[Risk_Score]]&gt;8,"High",IF(financial_fraud_data[[#This Row],[Risk_Score]]&gt;5,"Med","Low"))</f>
        <v>Med</v>
      </c>
      <c r="P64" t="str">
        <f>TEXT(financial_fraud_data[[#This Row],[Transaction_Date]],"MMM")</f>
        <v>Jan</v>
      </c>
      <c r="Q64" t="str">
        <f>IF(financial_fraud_data[[#This Row],[Is_Fraud]]=1,"Yes","No")</f>
        <v>Yes</v>
      </c>
    </row>
    <row r="65" spans="1:17" x14ac:dyDescent="0.2">
      <c r="A65" t="s">
        <v>159</v>
      </c>
      <c r="B65" t="s">
        <v>160</v>
      </c>
      <c r="C65" s="1">
        <v>45294.625</v>
      </c>
      <c r="D65">
        <v>17869.830000000002</v>
      </c>
      <c r="E65" t="s">
        <v>34</v>
      </c>
      <c r="F65" t="s">
        <v>17</v>
      </c>
      <c r="G65" t="s">
        <v>56</v>
      </c>
      <c r="H65" t="s">
        <v>19</v>
      </c>
      <c r="I65" t="s">
        <v>24</v>
      </c>
      <c r="J65" t="s">
        <v>37</v>
      </c>
      <c r="K65">
        <v>1</v>
      </c>
      <c r="L65">
        <v>4</v>
      </c>
      <c r="M65">
        <v>10.79</v>
      </c>
      <c r="N65">
        <v>1</v>
      </c>
      <c r="O65" t="str">
        <f>IF(financial_fraud_data[[#This Row],[Risk_Score]]&gt;8,"High",IF(financial_fraud_data[[#This Row],[Risk_Score]]&gt;5,"Med","Low"))</f>
        <v>High</v>
      </c>
      <c r="P65" t="str">
        <f>TEXT(financial_fraud_data[[#This Row],[Transaction_Date]],"MMM")</f>
        <v>Jan</v>
      </c>
      <c r="Q65" t="str">
        <f>IF(financial_fraud_data[[#This Row],[Is_Fraud]]=1,"Yes","No")</f>
        <v>Yes</v>
      </c>
    </row>
    <row r="66" spans="1:17" x14ac:dyDescent="0.2">
      <c r="A66" t="s">
        <v>161</v>
      </c>
      <c r="B66" t="s">
        <v>162</v>
      </c>
      <c r="C66" s="1">
        <v>45294.666666666664</v>
      </c>
      <c r="D66">
        <v>14082.68</v>
      </c>
      <c r="E66" t="s">
        <v>16</v>
      </c>
      <c r="F66" t="s">
        <v>47</v>
      </c>
      <c r="G66" t="s">
        <v>18</v>
      </c>
      <c r="H66" t="s">
        <v>36</v>
      </c>
      <c r="I66" t="s">
        <v>23</v>
      </c>
      <c r="J66" t="s">
        <v>20</v>
      </c>
      <c r="K66">
        <v>0</v>
      </c>
      <c r="L66">
        <v>1</v>
      </c>
      <c r="M66">
        <v>3.91</v>
      </c>
      <c r="N66">
        <v>0</v>
      </c>
      <c r="O66" t="str">
        <f>IF(financial_fraud_data[[#This Row],[Risk_Score]]&gt;8,"High",IF(financial_fraud_data[[#This Row],[Risk_Score]]&gt;5,"Med","Low"))</f>
        <v>Low</v>
      </c>
      <c r="P66" t="str">
        <f>TEXT(financial_fraud_data[[#This Row],[Transaction_Date]],"MMM")</f>
        <v>Jan</v>
      </c>
      <c r="Q66" t="str">
        <f>IF(financial_fraud_data[[#This Row],[Is_Fraud]]=1,"Yes","No")</f>
        <v>No</v>
      </c>
    </row>
    <row r="67" spans="1:17" x14ac:dyDescent="0.2">
      <c r="A67" t="s">
        <v>163</v>
      </c>
      <c r="B67" t="s">
        <v>164</v>
      </c>
      <c r="C67" s="1">
        <v>45294.708333333336</v>
      </c>
      <c r="D67">
        <v>27157.67</v>
      </c>
      <c r="E67" t="s">
        <v>80</v>
      </c>
      <c r="F67" t="s">
        <v>17</v>
      </c>
      <c r="G67" t="s">
        <v>28</v>
      </c>
      <c r="H67" t="s">
        <v>29</v>
      </c>
      <c r="I67" t="s">
        <v>23</v>
      </c>
      <c r="J67" t="s">
        <v>37</v>
      </c>
      <c r="K67">
        <v>0</v>
      </c>
      <c r="L67">
        <v>0</v>
      </c>
      <c r="M67">
        <v>3.72</v>
      </c>
      <c r="N67">
        <v>0</v>
      </c>
      <c r="O67" t="str">
        <f>IF(financial_fraud_data[[#This Row],[Risk_Score]]&gt;8,"High",IF(financial_fraud_data[[#This Row],[Risk_Score]]&gt;5,"Med","Low"))</f>
        <v>Low</v>
      </c>
      <c r="P67" t="str">
        <f>TEXT(financial_fraud_data[[#This Row],[Transaction_Date]],"MMM")</f>
        <v>Jan</v>
      </c>
      <c r="Q67" t="str">
        <f>IF(financial_fraud_data[[#This Row],[Is_Fraud]]=1,"Yes","No")</f>
        <v>No</v>
      </c>
    </row>
    <row r="68" spans="1:17" x14ac:dyDescent="0.2">
      <c r="A68" t="s">
        <v>165</v>
      </c>
      <c r="B68" t="s">
        <v>166</v>
      </c>
      <c r="C68" s="1">
        <v>45294.75</v>
      </c>
      <c r="D68">
        <v>7089.17</v>
      </c>
      <c r="E68" t="s">
        <v>16</v>
      </c>
      <c r="F68" t="s">
        <v>27</v>
      </c>
      <c r="G68" t="s">
        <v>35</v>
      </c>
      <c r="H68" t="s">
        <v>29</v>
      </c>
      <c r="I68" t="s">
        <v>23</v>
      </c>
      <c r="J68" t="s">
        <v>51</v>
      </c>
      <c r="K68">
        <v>0</v>
      </c>
      <c r="L68">
        <v>2</v>
      </c>
      <c r="M68">
        <v>4.71</v>
      </c>
      <c r="N68">
        <v>0</v>
      </c>
      <c r="O68" t="str">
        <f>IF(financial_fraud_data[[#This Row],[Risk_Score]]&gt;8,"High",IF(financial_fraud_data[[#This Row],[Risk_Score]]&gt;5,"Med","Low"))</f>
        <v>Low</v>
      </c>
      <c r="P68" t="str">
        <f>TEXT(financial_fraud_data[[#This Row],[Transaction_Date]],"MMM")</f>
        <v>Jan</v>
      </c>
      <c r="Q68" t="str">
        <f>IF(financial_fraud_data[[#This Row],[Is_Fraud]]=1,"Yes","No")</f>
        <v>No</v>
      </c>
    </row>
    <row r="69" spans="1:17" x14ac:dyDescent="0.2">
      <c r="A69" t="s">
        <v>167</v>
      </c>
      <c r="B69" t="s">
        <v>168</v>
      </c>
      <c r="C69" s="1">
        <v>45294.791666666664</v>
      </c>
      <c r="D69">
        <v>40119.74</v>
      </c>
      <c r="E69" t="s">
        <v>16</v>
      </c>
      <c r="F69" t="s">
        <v>27</v>
      </c>
      <c r="G69" t="s">
        <v>28</v>
      </c>
      <c r="H69" t="s">
        <v>23</v>
      </c>
      <c r="I69" t="s">
        <v>29</v>
      </c>
      <c r="J69" t="s">
        <v>51</v>
      </c>
      <c r="K69">
        <v>0</v>
      </c>
      <c r="L69">
        <v>4</v>
      </c>
      <c r="M69">
        <v>11.01</v>
      </c>
      <c r="N69">
        <v>1</v>
      </c>
      <c r="O69" t="str">
        <f>IF(financial_fraud_data[[#This Row],[Risk_Score]]&gt;8,"High",IF(financial_fraud_data[[#This Row],[Risk_Score]]&gt;5,"Med","Low"))</f>
        <v>High</v>
      </c>
      <c r="P69" t="str">
        <f>TEXT(financial_fraud_data[[#This Row],[Transaction_Date]],"MMM")</f>
        <v>Jan</v>
      </c>
      <c r="Q69" t="str">
        <f>IF(financial_fraud_data[[#This Row],[Is_Fraud]]=1,"Yes","No")</f>
        <v>Yes</v>
      </c>
    </row>
    <row r="70" spans="1:17" x14ac:dyDescent="0.2">
      <c r="A70" t="s">
        <v>169</v>
      </c>
      <c r="B70" t="s">
        <v>170</v>
      </c>
      <c r="C70" s="1">
        <v>45294.833333333336</v>
      </c>
      <c r="D70">
        <v>3773.8</v>
      </c>
      <c r="E70" t="s">
        <v>42</v>
      </c>
      <c r="F70" t="s">
        <v>47</v>
      </c>
      <c r="G70" t="s">
        <v>56</v>
      </c>
      <c r="H70" t="s">
        <v>29</v>
      </c>
      <c r="I70" t="s">
        <v>23</v>
      </c>
      <c r="J70" t="s">
        <v>20</v>
      </c>
      <c r="K70">
        <v>0</v>
      </c>
      <c r="L70">
        <v>3</v>
      </c>
      <c r="M70">
        <v>5.88</v>
      </c>
      <c r="N70">
        <v>1</v>
      </c>
      <c r="O70" t="str">
        <f>IF(financial_fraud_data[[#This Row],[Risk_Score]]&gt;8,"High",IF(financial_fraud_data[[#This Row],[Risk_Score]]&gt;5,"Med","Low"))</f>
        <v>Med</v>
      </c>
      <c r="P70" t="str">
        <f>TEXT(financial_fraud_data[[#This Row],[Transaction_Date]],"MMM")</f>
        <v>Jan</v>
      </c>
      <c r="Q70" t="str">
        <f>IF(financial_fraud_data[[#This Row],[Is_Fraud]]=1,"Yes","No")</f>
        <v>Yes</v>
      </c>
    </row>
    <row r="71" spans="1:17" x14ac:dyDescent="0.2">
      <c r="A71" t="s">
        <v>171</v>
      </c>
      <c r="B71" t="s">
        <v>172</v>
      </c>
      <c r="C71" s="1">
        <v>45294.875</v>
      </c>
      <c r="D71">
        <v>49345</v>
      </c>
      <c r="E71" t="s">
        <v>34</v>
      </c>
      <c r="F71" t="s">
        <v>17</v>
      </c>
      <c r="G71" t="s">
        <v>35</v>
      </c>
      <c r="H71" t="s">
        <v>36</v>
      </c>
      <c r="I71" t="s">
        <v>36</v>
      </c>
      <c r="J71" t="s">
        <v>51</v>
      </c>
      <c r="K71">
        <v>0</v>
      </c>
      <c r="L71">
        <v>2</v>
      </c>
      <c r="M71">
        <v>7.93</v>
      </c>
      <c r="N71">
        <v>1</v>
      </c>
      <c r="O71" t="str">
        <f>IF(financial_fraud_data[[#This Row],[Risk_Score]]&gt;8,"High",IF(financial_fraud_data[[#This Row],[Risk_Score]]&gt;5,"Med","Low"))</f>
        <v>Med</v>
      </c>
      <c r="P71" t="str">
        <f>TEXT(financial_fraud_data[[#This Row],[Transaction_Date]],"MMM")</f>
        <v>Jan</v>
      </c>
      <c r="Q71" t="str">
        <f>IF(financial_fraud_data[[#This Row],[Is_Fraud]]=1,"Yes","No")</f>
        <v>Yes</v>
      </c>
    </row>
    <row r="72" spans="1:17" x14ac:dyDescent="0.2">
      <c r="A72" t="s">
        <v>173</v>
      </c>
      <c r="B72" t="s">
        <v>174</v>
      </c>
      <c r="C72" s="1">
        <v>45294.916666666664</v>
      </c>
      <c r="D72">
        <v>38623.629999999997</v>
      </c>
      <c r="E72" t="s">
        <v>42</v>
      </c>
      <c r="F72" t="s">
        <v>47</v>
      </c>
      <c r="G72" t="s">
        <v>28</v>
      </c>
      <c r="H72" t="s">
        <v>23</v>
      </c>
      <c r="I72" t="s">
        <v>19</v>
      </c>
      <c r="J72" t="s">
        <v>51</v>
      </c>
      <c r="K72">
        <v>1</v>
      </c>
      <c r="L72">
        <v>4</v>
      </c>
      <c r="M72">
        <v>12.86</v>
      </c>
      <c r="N72">
        <v>1</v>
      </c>
      <c r="O72" t="str">
        <f>IF(financial_fraud_data[[#This Row],[Risk_Score]]&gt;8,"High",IF(financial_fraud_data[[#This Row],[Risk_Score]]&gt;5,"Med","Low"))</f>
        <v>High</v>
      </c>
      <c r="P72" t="str">
        <f>TEXT(financial_fraud_data[[#This Row],[Transaction_Date]],"MMM")</f>
        <v>Jan</v>
      </c>
      <c r="Q72" t="str">
        <f>IF(financial_fraud_data[[#This Row],[Is_Fraud]]=1,"Yes","No")</f>
        <v>Yes</v>
      </c>
    </row>
    <row r="73" spans="1:17" x14ac:dyDescent="0.2">
      <c r="A73" t="s">
        <v>175</v>
      </c>
      <c r="B73" t="s">
        <v>176</v>
      </c>
      <c r="C73" s="1">
        <v>45294.958333333336</v>
      </c>
      <c r="D73">
        <v>9975.85</v>
      </c>
      <c r="E73" t="s">
        <v>42</v>
      </c>
      <c r="F73" t="s">
        <v>50</v>
      </c>
      <c r="G73" t="s">
        <v>28</v>
      </c>
      <c r="H73" t="s">
        <v>24</v>
      </c>
      <c r="I73" t="s">
        <v>23</v>
      </c>
      <c r="J73" t="s">
        <v>37</v>
      </c>
      <c r="K73">
        <v>0</v>
      </c>
      <c r="L73">
        <v>0</v>
      </c>
      <c r="M73">
        <v>2</v>
      </c>
      <c r="N73">
        <v>0</v>
      </c>
      <c r="O73" t="str">
        <f>IF(financial_fraud_data[[#This Row],[Risk_Score]]&gt;8,"High",IF(financial_fraud_data[[#This Row],[Risk_Score]]&gt;5,"Med","Low"))</f>
        <v>Low</v>
      </c>
      <c r="P73" t="str">
        <f>TEXT(financial_fraud_data[[#This Row],[Transaction_Date]],"MMM")</f>
        <v>Jan</v>
      </c>
      <c r="Q73" t="str">
        <f>IF(financial_fraud_data[[#This Row],[Is_Fraud]]=1,"Yes","No")</f>
        <v>No</v>
      </c>
    </row>
    <row r="74" spans="1:17" x14ac:dyDescent="0.2">
      <c r="A74" t="s">
        <v>177</v>
      </c>
      <c r="B74" t="s">
        <v>178</v>
      </c>
      <c r="C74" s="1">
        <v>45295</v>
      </c>
      <c r="D74">
        <v>325.83</v>
      </c>
      <c r="E74" t="s">
        <v>42</v>
      </c>
      <c r="F74" t="s">
        <v>47</v>
      </c>
      <c r="G74" t="s">
        <v>35</v>
      </c>
      <c r="H74" t="s">
        <v>29</v>
      </c>
      <c r="I74" t="s">
        <v>23</v>
      </c>
      <c r="J74" t="s">
        <v>51</v>
      </c>
      <c r="K74">
        <v>0</v>
      </c>
      <c r="L74">
        <v>0</v>
      </c>
      <c r="M74">
        <v>1.03</v>
      </c>
      <c r="N74">
        <v>0</v>
      </c>
      <c r="O74" t="str">
        <f>IF(financial_fraud_data[[#This Row],[Risk_Score]]&gt;8,"High",IF(financial_fraud_data[[#This Row],[Risk_Score]]&gt;5,"Med","Low"))</f>
        <v>Low</v>
      </c>
      <c r="P74" t="str">
        <f>TEXT(financial_fraud_data[[#This Row],[Transaction_Date]],"MMM")</f>
        <v>Jan</v>
      </c>
      <c r="Q74" t="str">
        <f>IF(financial_fraud_data[[#This Row],[Is_Fraud]]=1,"Yes","No")</f>
        <v>No</v>
      </c>
    </row>
    <row r="75" spans="1:17" x14ac:dyDescent="0.2">
      <c r="A75" t="s">
        <v>179</v>
      </c>
      <c r="B75" t="s">
        <v>180</v>
      </c>
      <c r="C75" s="1">
        <v>45295.041666666664</v>
      </c>
      <c r="D75">
        <v>40782.300000000003</v>
      </c>
      <c r="E75" t="s">
        <v>16</v>
      </c>
      <c r="F75" t="s">
        <v>47</v>
      </c>
      <c r="G75" t="s">
        <v>56</v>
      </c>
      <c r="H75" t="s">
        <v>29</v>
      </c>
      <c r="I75" t="s">
        <v>23</v>
      </c>
      <c r="J75" t="s">
        <v>37</v>
      </c>
      <c r="K75">
        <v>0</v>
      </c>
      <c r="L75">
        <v>2</v>
      </c>
      <c r="M75">
        <v>8.08</v>
      </c>
      <c r="N75">
        <v>1</v>
      </c>
      <c r="O75" t="str">
        <f>IF(financial_fraud_data[[#This Row],[Risk_Score]]&gt;8,"High",IF(financial_fraud_data[[#This Row],[Risk_Score]]&gt;5,"Med","Low"))</f>
        <v>High</v>
      </c>
      <c r="P75" t="str">
        <f>TEXT(financial_fraud_data[[#This Row],[Transaction_Date]],"MMM")</f>
        <v>Jan</v>
      </c>
      <c r="Q75" t="str">
        <f>IF(financial_fraud_data[[#This Row],[Is_Fraud]]=1,"Yes","No")</f>
        <v>Yes</v>
      </c>
    </row>
    <row r="76" spans="1:17" x14ac:dyDescent="0.2">
      <c r="A76" t="s">
        <v>181</v>
      </c>
      <c r="B76" t="s">
        <v>182</v>
      </c>
      <c r="C76" s="1">
        <v>45295.083333333336</v>
      </c>
      <c r="D76">
        <v>35357.519999999997</v>
      </c>
      <c r="E76" t="s">
        <v>42</v>
      </c>
      <c r="F76" t="s">
        <v>27</v>
      </c>
      <c r="G76" t="s">
        <v>28</v>
      </c>
      <c r="H76" t="s">
        <v>23</v>
      </c>
      <c r="I76" t="s">
        <v>36</v>
      </c>
      <c r="J76" t="s">
        <v>37</v>
      </c>
      <c r="K76">
        <v>0</v>
      </c>
      <c r="L76">
        <v>4</v>
      </c>
      <c r="M76">
        <v>10.54</v>
      </c>
      <c r="N76">
        <v>1</v>
      </c>
      <c r="O76" t="str">
        <f>IF(financial_fraud_data[[#This Row],[Risk_Score]]&gt;8,"High",IF(financial_fraud_data[[#This Row],[Risk_Score]]&gt;5,"Med","Low"))</f>
        <v>High</v>
      </c>
      <c r="P76" t="str">
        <f>TEXT(financial_fraud_data[[#This Row],[Transaction_Date]],"MMM")</f>
        <v>Jan</v>
      </c>
      <c r="Q76" t="str">
        <f>IF(financial_fraud_data[[#This Row],[Is_Fraud]]=1,"Yes","No")</f>
        <v>Yes</v>
      </c>
    </row>
    <row r="77" spans="1:17" x14ac:dyDescent="0.2">
      <c r="A77" t="s">
        <v>183</v>
      </c>
      <c r="B77" t="s">
        <v>184</v>
      </c>
      <c r="C77" s="1">
        <v>45295.125</v>
      </c>
      <c r="D77">
        <v>36463.910000000003</v>
      </c>
      <c r="E77" t="s">
        <v>42</v>
      </c>
      <c r="F77" t="s">
        <v>47</v>
      </c>
      <c r="G77" t="s">
        <v>35</v>
      </c>
      <c r="H77" t="s">
        <v>19</v>
      </c>
      <c r="I77" t="s">
        <v>23</v>
      </c>
      <c r="J77" t="s">
        <v>20</v>
      </c>
      <c r="K77">
        <v>0</v>
      </c>
      <c r="L77">
        <v>3</v>
      </c>
      <c r="M77">
        <v>9.15</v>
      </c>
      <c r="N77">
        <v>1</v>
      </c>
      <c r="O77" t="str">
        <f>IF(financial_fraud_data[[#This Row],[Risk_Score]]&gt;8,"High",IF(financial_fraud_data[[#This Row],[Risk_Score]]&gt;5,"Med","Low"))</f>
        <v>High</v>
      </c>
      <c r="P77" t="str">
        <f>TEXT(financial_fraud_data[[#This Row],[Transaction_Date]],"MMM")</f>
        <v>Jan</v>
      </c>
      <c r="Q77" t="str">
        <f>IF(financial_fraud_data[[#This Row],[Is_Fraud]]=1,"Yes","No")</f>
        <v>Yes</v>
      </c>
    </row>
    <row r="78" spans="1:17" x14ac:dyDescent="0.2">
      <c r="A78" t="s">
        <v>185</v>
      </c>
      <c r="B78" t="s">
        <v>186</v>
      </c>
      <c r="C78" s="1">
        <v>45295.166666666664</v>
      </c>
      <c r="D78">
        <v>38574.949999999997</v>
      </c>
      <c r="E78" t="s">
        <v>34</v>
      </c>
      <c r="F78" t="s">
        <v>17</v>
      </c>
      <c r="G78" t="s">
        <v>56</v>
      </c>
      <c r="H78" t="s">
        <v>29</v>
      </c>
      <c r="I78" t="s">
        <v>23</v>
      </c>
      <c r="J78" t="s">
        <v>37</v>
      </c>
      <c r="K78">
        <v>0</v>
      </c>
      <c r="L78">
        <v>3</v>
      </c>
      <c r="M78">
        <v>9.36</v>
      </c>
      <c r="N78">
        <v>1</v>
      </c>
      <c r="O78" t="str">
        <f>IF(financial_fraud_data[[#This Row],[Risk_Score]]&gt;8,"High",IF(financial_fraud_data[[#This Row],[Risk_Score]]&gt;5,"Med","Low"))</f>
        <v>High</v>
      </c>
      <c r="P78" t="str">
        <f>TEXT(financial_fraud_data[[#This Row],[Transaction_Date]],"MMM")</f>
        <v>Jan</v>
      </c>
      <c r="Q78" t="str">
        <f>IF(financial_fraud_data[[#This Row],[Is_Fraud]]=1,"Yes","No")</f>
        <v>Yes</v>
      </c>
    </row>
    <row r="79" spans="1:17" x14ac:dyDescent="0.2">
      <c r="A79" t="s">
        <v>187</v>
      </c>
      <c r="B79" t="s">
        <v>75</v>
      </c>
      <c r="C79" s="1">
        <v>45295.208333333336</v>
      </c>
      <c r="D79">
        <v>3748.53</v>
      </c>
      <c r="E79" t="s">
        <v>34</v>
      </c>
      <c r="F79" t="s">
        <v>27</v>
      </c>
      <c r="G79" t="s">
        <v>35</v>
      </c>
      <c r="H79" t="s">
        <v>36</v>
      </c>
      <c r="I79" t="s">
        <v>19</v>
      </c>
      <c r="J79" t="s">
        <v>51</v>
      </c>
      <c r="K79">
        <v>0</v>
      </c>
      <c r="L79">
        <v>1</v>
      </c>
      <c r="M79">
        <v>2.87</v>
      </c>
      <c r="N79">
        <v>0</v>
      </c>
      <c r="O79" t="str">
        <f>IF(financial_fraud_data[[#This Row],[Risk_Score]]&gt;8,"High",IF(financial_fraud_data[[#This Row],[Risk_Score]]&gt;5,"Med","Low"))</f>
        <v>Low</v>
      </c>
      <c r="P79" t="str">
        <f>TEXT(financial_fraud_data[[#This Row],[Transaction_Date]],"MMM")</f>
        <v>Jan</v>
      </c>
      <c r="Q79" t="str">
        <f>IF(financial_fraud_data[[#This Row],[Is_Fraud]]=1,"Yes","No")</f>
        <v>No</v>
      </c>
    </row>
    <row r="80" spans="1:17" x14ac:dyDescent="0.2">
      <c r="A80" t="s">
        <v>188</v>
      </c>
      <c r="B80" t="s">
        <v>189</v>
      </c>
      <c r="C80" s="1">
        <v>45295.25</v>
      </c>
      <c r="D80">
        <v>17955.36</v>
      </c>
      <c r="E80" t="s">
        <v>42</v>
      </c>
      <c r="F80" t="s">
        <v>47</v>
      </c>
      <c r="G80" t="s">
        <v>35</v>
      </c>
      <c r="H80" t="s">
        <v>29</v>
      </c>
      <c r="I80" t="s">
        <v>36</v>
      </c>
      <c r="J80" t="s">
        <v>37</v>
      </c>
      <c r="K80">
        <v>0</v>
      </c>
      <c r="L80">
        <v>2</v>
      </c>
      <c r="M80">
        <v>5.8</v>
      </c>
      <c r="N80">
        <v>1</v>
      </c>
      <c r="O80" t="str">
        <f>IF(financial_fraud_data[[#This Row],[Risk_Score]]&gt;8,"High",IF(financial_fraud_data[[#This Row],[Risk_Score]]&gt;5,"Med","Low"))</f>
        <v>Med</v>
      </c>
      <c r="P80" t="str">
        <f>TEXT(financial_fraud_data[[#This Row],[Transaction_Date]],"MMM")</f>
        <v>Jan</v>
      </c>
      <c r="Q80" t="str">
        <f>IF(financial_fraud_data[[#This Row],[Is_Fraud]]=1,"Yes","No")</f>
        <v>Yes</v>
      </c>
    </row>
    <row r="81" spans="1:17" x14ac:dyDescent="0.2">
      <c r="A81" t="s">
        <v>190</v>
      </c>
      <c r="B81" t="s">
        <v>191</v>
      </c>
      <c r="C81" s="1">
        <v>45295.291666666664</v>
      </c>
      <c r="D81">
        <v>5837.66</v>
      </c>
      <c r="E81" t="s">
        <v>34</v>
      </c>
      <c r="F81" t="s">
        <v>50</v>
      </c>
      <c r="G81" t="s">
        <v>28</v>
      </c>
      <c r="H81" t="s">
        <v>24</v>
      </c>
      <c r="I81" t="s">
        <v>36</v>
      </c>
      <c r="J81" t="s">
        <v>37</v>
      </c>
      <c r="K81">
        <v>0</v>
      </c>
      <c r="L81">
        <v>4</v>
      </c>
      <c r="M81">
        <v>7.58</v>
      </c>
      <c r="N81">
        <v>1</v>
      </c>
      <c r="O81" t="str">
        <f>IF(financial_fraud_data[[#This Row],[Risk_Score]]&gt;8,"High",IF(financial_fraud_data[[#This Row],[Risk_Score]]&gt;5,"Med","Low"))</f>
        <v>Med</v>
      </c>
      <c r="P81" t="str">
        <f>TEXT(financial_fraud_data[[#This Row],[Transaction_Date]],"MMM")</f>
        <v>Jan</v>
      </c>
      <c r="Q81" t="str">
        <f>IF(financial_fraud_data[[#This Row],[Is_Fraud]]=1,"Yes","No")</f>
        <v>Yes</v>
      </c>
    </row>
    <row r="82" spans="1:17" x14ac:dyDescent="0.2">
      <c r="A82" t="s">
        <v>192</v>
      </c>
      <c r="B82" t="s">
        <v>193</v>
      </c>
      <c r="C82" s="1">
        <v>45295.333333333336</v>
      </c>
      <c r="D82">
        <v>43162.02</v>
      </c>
      <c r="E82" t="s">
        <v>34</v>
      </c>
      <c r="F82" t="s">
        <v>47</v>
      </c>
      <c r="G82" t="s">
        <v>56</v>
      </c>
      <c r="H82" t="s">
        <v>29</v>
      </c>
      <c r="I82" t="s">
        <v>23</v>
      </c>
      <c r="J82" t="s">
        <v>20</v>
      </c>
      <c r="K82">
        <v>0</v>
      </c>
      <c r="L82">
        <v>2</v>
      </c>
      <c r="M82">
        <v>8.32</v>
      </c>
      <c r="N82">
        <v>1</v>
      </c>
      <c r="O82" t="str">
        <f>IF(financial_fraud_data[[#This Row],[Risk_Score]]&gt;8,"High",IF(financial_fraud_data[[#This Row],[Risk_Score]]&gt;5,"Med","Low"))</f>
        <v>High</v>
      </c>
      <c r="P82" t="str">
        <f>TEXT(financial_fraud_data[[#This Row],[Transaction_Date]],"MMM")</f>
        <v>Jan</v>
      </c>
      <c r="Q82" t="str">
        <f>IF(financial_fraud_data[[#This Row],[Is_Fraud]]=1,"Yes","No")</f>
        <v>Yes</v>
      </c>
    </row>
    <row r="83" spans="1:17" x14ac:dyDescent="0.2">
      <c r="A83" t="s">
        <v>194</v>
      </c>
      <c r="B83" t="s">
        <v>195</v>
      </c>
      <c r="C83" s="1">
        <v>45295.375</v>
      </c>
      <c r="D83">
        <v>31183.74</v>
      </c>
      <c r="E83" t="s">
        <v>42</v>
      </c>
      <c r="F83" t="s">
        <v>47</v>
      </c>
      <c r="G83" t="s">
        <v>28</v>
      </c>
      <c r="H83" t="s">
        <v>19</v>
      </c>
      <c r="I83" t="s">
        <v>36</v>
      </c>
      <c r="J83" t="s">
        <v>51</v>
      </c>
      <c r="K83">
        <v>0</v>
      </c>
      <c r="L83">
        <v>3</v>
      </c>
      <c r="M83">
        <v>8.6199999999999992</v>
      </c>
      <c r="N83">
        <v>1</v>
      </c>
      <c r="O83" t="str">
        <f>IF(financial_fraud_data[[#This Row],[Risk_Score]]&gt;8,"High",IF(financial_fraud_data[[#This Row],[Risk_Score]]&gt;5,"Med","Low"))</f>
        <v>High</v>
      </c>
      <c r="P83" t="str">
        <f>TEXT(financial_fraud_data[[#This Row],[Transaction_Date]],"MMM")</f>
        <v>Jan</v>
      </c>
      <c r="Q83" t="str">
        <f>IF(financial_fraud_data[[#This Row],[Is_Fraud]]=1,"Yes","No")</f>
        <v>Yes</v>
      </c>
    </row>
    <row r="84" spans="1:17" x14ac:dyDescent="0.2">
      <c r="A84" t="s">
        <v>196</v>
      </c>
      <c r="B84" t="s">
        <v>197</v>
      </c>
      <c r="C84" s="1">
        <v>45295.416666666664</v>
      </c>
      <c r="D84">
        <v>16578.36</v>
      </c>
      <c r="E84" t="s">
        <v>16</v>
      </c>
      <c r="F84" t="s">
        <v>47</v>
      </c>
      <c r="G84" t="s">
        <v>65</v>
      </c>
      <c r="H84" t="s">
        <v>29</v>
      </c>
      <c r="I84" t="s">
        <v>24</v>
      </c>
      <c r="J84" t="s">
        <v>51</v>
      </c>
      <c r="K84">
        <v>0</v>
      </c>
      <c r="L84">
        <v>4</v>
      </c>
      <c r="M84">
        <v>8.66</v>
      </c>
      <c r="N84">
        <v>1</v>
      </c>
      <c r="O84" t="str">
        <f>IF(financial_fraud_data[[#This Row],[Risk_Score]]&gt;8,"High",IF(financial_fraud_data[[#This Row],[Risk_Score]]&gt;5,"Med","Low"))</f>
        <v>High</v>
      </c>
      <c r="P84" t="str">
        <f>TEXT(financial_fraud_data[[#This Row],[Transaction_Date]],"MMM")</f>
        <v>Jan</v>
      </c>
      <c r="Q84" t="str">
        <f>IF(financial_fraud_data[[#This Row],[Is_Fraud]]=1,"Yes","No")</f>
        <v>Yes</v>
      </c>
    </row>
    <row r="85" spans="1:17" x14ac:dyDescent="0.2">
      <c r="A85" t="s">
        <v>198</v>
      </c>
      <c r="B85" t="s">
        <v>199</v>
      </c>
      <c r="C85" s="1">
        <v>45295.458333333336</v>
      </c>
      <c r="D85">
        <v>3224.74</v>
      </c>
      <c r="E85" t="s">
        <v>42</v>
      </c>
      <c r="F85" t="s">
        <v>27</v>
      </c>
      <c r="G85" t="s">
        <v>65</v>
      </c>
      <c r="H85" t="s">
        <v>23</v>
      </c>
      <c r="I85" t="s">
        <v>36</v>
      </c>
      <c r="J85" t="s">
        <v>51</v>
      </c>
      <c r="K85">
        <v>0</v>
      </c>
      <c r="L85">
        <v>0</v>
      </c>
      <c r="M85">
        <v>1.32</v>
      </c>
      <c r="N85">
        <v>0</v>
      </c>
      <c r="O85" t="str">
        <f>IF(financial_fraud_data[[#This Row],[Risk_Score]]&gt;8,"High",IF(financial_fraud_data[[#This Row],[Risk_Score]]&gt;5,"Med","Low"))</f>
        <v>Low</v>
      </c>
      <c r="P85" t="str">
        <f>TEXT(financial_fraud_data[[#This Row],[Transaction_Date]],"MMM")</f>
        <v>Jan</v>
      </c>
      <c r="Q85" t="str">
        <f>IF(financial_fraud_data[[#This Row],[Is_Fraud]]=1,"Yes","No")</f>
        <v>No</v>
      </c>
    </row>
    <row r="86" spans="1:17" x14ac:dyDescent="0.2">
      <c r="A86" t="s">
        <v>200</v>
      </c>
      <c r="B86" t="s">
        <v>201</v>
      </c>
      <c r="C86" s="1">
        <v>45295.5</v>
      </c>
      <c r="D86">
        <v>15583.57</v>
      </c>
      <c r="E86" t="s">
        <v>34</v>
      </c>
      <c r="F86" t="s">
        <v>17</v>
      </c>
      <c r="G86" t="s">
        <v>56</v>
      </c>
      <c r="H86" t="s">
        <v>29</v>
      </c>
      <c r="I86" t="s">
        <v>36</v>
      </c>
      <c r="J86" t="s">
        <v>37</v>
      </c>
      <c r="K86">
        <v>0</v>
      </c>
      <c r="L86">
        <v>0</v>
      </c>
      <c r="M86">
        <v>2.56</v>
      </c>
      <c r="N86">
        <v>0</v>
      </c>
      <c r="O86" t="str">
        <f>IF(financial_fraud_data[[#This Row],[Risk_Score]]&gt;8,"High",IF(financial_fraud_data[[#This Row],[Risk_Score]]&gt;5,"Med","Low"))</f>
        <v>Low</v>
      </c>
      <c r="P86" t="str">
        <f>TEXT(financial_fraud_data[[#This Row],[Transaction_Date]],"MMM")</f>
        <v>Jan</v>
      </c>
      <c r="Q86" t="str">
        <f>IF(financial_fraud_data[[#This Row],[Is_Fraud]]=1,"Yes","No")</f>
        <v>No</v>
      </c>
    </row>
    <row r="87" spans="1:17" x14ac:dyDescent="0.2">
      <c r="A87" t="s">
        <v>202</v>
      </c>
      <c r="B87" t="s">
        <v>203</v>
      </c>
      <c r="C87" s="1">
        <v>45295.541666666664</v>
      </c>
      <c r="D87">
        <v>16292.91</v>
      </c>
      <c r="E87" t="s">
        <v>16</v>
      </c>
      <c r="F87" t="s">
        <v>50</v>
      </c>
      <c r="G87" t="s">
        <v>35</v>
      </c>
      <c r="H87" t="s">
        <v>19</v>
      </c>
      <c r="I87" t="s">
        <v>36</v>
      </c>
      <c r="J87" t="s">
        <v>51</v>
      </c>
      <c r="K87">
        <v>0</v>
      </c>
      <c r="L87">
        <v>4</v>
      </c>
      <c r="M87">
        <v>8.6300000000000008</v>
      </c>
      <c r="N87">
        <v>1</v>
      </c>
      <c r="O87" t="str">
        <f>IF(financial_fraud_data[[#This Row],[Risk_Score]]&gt;8,"High",IF(financial_fraud_data[[#This Row],[Risk_Score]]&gt;5,"Med","Low"))</f>
        <v>High</v>
      </c>
      <c r="P87" t="str">
        <f>TEXT(financial_fraud_data[[#This Row],[Transaction_Date]],"MMM")</f>
        <v>Jan</v>
      </c>
      <c r="Q87" t="str">
        <f>IF(financial_fraud_data[[#This Row],[Is_Fraud]]=1,"Yes","No")</f>
        <v>Yes</v>
      </c>
    </row>
    <row r="88" spans="1:17" x14ac:dyDescent="0.2">
      <c r="A88" t="s">
        <v>204</v>
      </c>
      <c r="B88" t="s">
        <v>205</v>
      </c>
      <c r="C88" s="1">
        <v>45295.583333333336</v>
      </c>
      <c r="D88">
        <v>36493.83</v>
      </c>
      <c r="E88" t="s">
        <v>80</v>
      </c>
      <c r="F88" t="s">
        <v>47</v>
      </c>
      <c r="G88" t="s">
        <v>28</v>
      </c>
      <c r="H88" t="s">
        <v>23</v>
      </c>
      <c r="I88" t="s">
        <v>29</v>
      </c>
      <c r="J88" t="s">
        <v>51</v>
      </c>
      <c r="K88">
        <v>0</v>
      </c>
      <c r="L88">
        <v>2</v>
      </c>
      <c r="M88">
        <v>7.65</v>
      </c>
      <c r="N88">
        <v>1</v>
      </c>
      <c r="O88" t="str">
        <f>IF(financial_fraud_data[[#This Row],[Risk_Score]]&gt;8,"High",IF(financial_fraud_data[[#This Row],[Risk_Score]]&gt;5,"Med","Low"))</f>
        <v>Med</v>
      </c>
      <c r="P88" t="str">
        <f>TEXT(financial_fraud_data[[#This Row],[Transaction_Date]],"MMM")</f>
        <v>Jan</v>
      </c>
      <c r="Q88" t="str">
        <f>IF(financial_fraud_data[[#This Row],[Is_Fraud]]=1,"Yes","No")</f>
        <v>Yes</v>
      </c>
    </row>
    <row r="89" spans="1:17" x14ac:dyDescent="0.2">
      <c r="A89" t="s">
        <v>206</v>
      </c>
      <c r="B89" t="s">
        <v>170</v>
      </c>
      <c r="C89" s="1">
        <v>45295.625</v>
      </c>
      <c r="D89">
        <v>31896</v>
      </c>
      <c r="E89" t="s">
        <v>16</v>
      </c>
      <c r="F89" t="s">
        <v>17</v>
      </c>
      <c r="G89" t="s">
        <v>28</v>
      </c>
      <c r="H89" t="s">
        <v>36</v>
      </c>
      <c r="I89" t="s">
        <v>29</v>
      </c>
      <c r="J89" t="s">
        <v>37</v>
      </c>
      <c r="K89">
        <v>1</v>
      </c>
      <c r="L89">
        <v>2</v>
      </c>
      <c r="M89">
        <v>9.19</v>
      </c>
      <c r="N89">
        <v>1</v>
      </c>
      <c r="O89" t="str">
        <f>IF(financial_fraud_data[[#This Row],[Risk_Score]]&gt;8,"High",IF(financial_fraud_data[[#This Row],[Risk_Score]]&gt;5,"Med","Low"))</f>
        <v>High</v>
      </c>
      <c r="P89" t="str">
        <f>TEXT(financial_fraud_data[[#This Row],[Transaction_Date]],"MMM")</f>
        <v>Jan</v>
      </c>
      <c r="Q89" t="str">
        <f>IF(financial_fraud_data[[#This Row],[Is_Fraud]]=1,"Yes","No")</f>
        <v>Yes</v>
      </c>
    </row>
    <row r="90" spans="1:17" x14ac:dyDescent="0.2">
      <c r="A90" t="s">
        <v>207</v>
      </c>
      <c r="B90" t="s">
        <v>208</v>
      </c>
      <c r="C90" s="1">
        <v>45295.666666666664</v>
      </c>
      <c r="D90">
        <v>44366.28</v>
      </c>
      <c r="E90" t="s">
        <v>34</v>
      </c>
      <c r="F90" t="s">
        <v>17</v>
      </c>
      <c r="G90" t="s">
        <v>56</v>
      </c>
      <c r="H90" t="s">
        <v>23</v>
      </c>
      <c r="I90" t="s">
        <v>29</v>
      </c>
      <c r="J90" t="s">
        <v>20</v>
      </c>
      <c r="K90">
        <v>1</v>
      </c>
      <c r="L90">
        <v>0</v>
      </c>
      <c r="M90">
        <v>7.44</v>
      </c>
      <c r="N90">
        <v>1</v>
      </c>
      <c r="O90" t="str">
        <f>IF(financial_fraud_data[[#This Row],[Risk_Score]]&gt;8,"High",IF(financial_fraud_data[[#This Row],[Risk_Score]]&gt;5,"Med","Low"))</f>
        <v>Med</v>
      </c>
      <c r="P90" t="str">
        <f>TEXT(financial_fraud_data[[#This Row],[Transaction_Date]],"MMM")</f>
        <v>Jan</v>
      </c>
      <c r="Q90" t="str">
        <f>IF(financial_fraud_data[[#This Row],[Is_Fraud]]=1,"Yes","No")</f>
        <v>Yes</v>
      </c>
    </row>
    <row r="91" spans="1:17" x14ac:dyDescent="0.2">
      <c r="A91" t="s">
        <v>209</v>
      </c>
      <c r="B91" t="s">
        <v>210</v>
      </c>
      <c r="C91" s="1">
        <v>45295.708333333336</v>
      </c>
      <c r="D91">
        <v>23637.14</v>
      </c>
      <c r="E91" t="s">
        <v>16</v>
      </c>
      <c r="F91" t="s">
        <v>27</v>
      </c>
      <c r="G91" t="s">
        <v>56</v>
      </c>
      <c r="H91" t="s">
        <v>24</v>
      </c>
      <c r="I91" t="s">
        <v>36</v>
      </c>
      <c r="J91" t="s">
        <v>20</v>
      </c>
      <c r="K91">
        <v>0</v>
      </c>
      <c r="L91">
        <v>0</v>
      </c>
      <c r="M91">
        <v>3.36</v>
      </c>
      <c r="N91">
        <v>0</v>
      </c>
      <c r="O91" t="str">
        <f>IF(financial_fraud_data[[#This Row],[Risk_Score]]&gt;8,"High",IF(financial_fraud_data[[#This Row],[Risk_Score]]&gt;5,"Med","Low"))</f>
        <v>Low</v>
      </c>
      <c r="P91" t="str">
        <f>TEXT(financial_fraud_data[[#This Row],[Transaction_Date]],"MMM")</f>
        <v>Jan</v>
      </c>
      <c r="Q91" t="str">
        <f>IF(financial_fraud_data[[#This Row],[Is_Fraud]]=1,"Yes","No")</f>
        <v>No</v>
      </c>
    </row>
    <row r="92" spans="1:17" x14ac:dyDescent="0.2">
      <c r="A92" t="s">
        <v>211</v>
      </c>
      <c r="B92" t="s">
        <v>186</v>
      </c>
      <c r="C92" s="1">
        <v>45295.75</v>
      </c>
      <c r="D92">
        <v>6023.73</v>
      </c>
      <c r="E92" t="s">
        <v>42</v>
      </c>
      <c r="F92" t="s">
        <v>50</v>
      </c>
      <c r="G92" t="s">
        <v>65</v>
      </c>
      <c r="H92" t="s">
        <v>23</v>
      </c>
      <c r="I92" t="s">
        <v>24</v>
      </c>
      <c r="J92" t="s">
        <v>37</v>
      </c>
      <c r="K92">
        <v>1</v>
      </c>
      <c r="L92">
        <v>3</v>
      </c>
      <c r="M92">
        <v>8.1</v>
      </c>
      <c r="N92">
        <v>1</v>
      </c>
      <c r="O92" t="str">
        <f>IF(financial_fraud_data[[#This Row],[Risk_Score]]&gt;8,"High",IF(financial_fraud_data[[#This Row],[Risk_Score]]&gt;5,"Med","Low"))</f>
        <v>High</v>
      </c>
      <c r="P92" t="str">
        <f>TEXT(financial_fraud_data[[#This Row],[Transaction_Date]],"MMM")</f>
        <v>Jan</v>
      </c>
      <c r="Q92" t="str">
        <f>IF(financial_fraud_data[[#This Row],[Is_Fraud]]=1,"Yes","No")</f>
        <v>Yes</v>
      </c>
    </row>
    <row r="93" spans="1:17" x14ac:dyDescent="0.2">
      <c r="A93" t="s">
        <v>212</v>
      </c>
      <c r="B93" t="s">
        <v>213</v>
      </c>
      <c r="C93" s="1">
        <v>45295.791666666664</v>
      </c>
      <c r="D93">
        <v>35676.58</v>
      </c>
      <c r="E93" t="s">
        <v>80</v>
      </c>
      <c r="F93" t="s">
        <v>27</v>
      </c>
      <c r="G93" t="s">
        <v>18</v>
      </c>
      <c r="H93" t="s">
        <v>36</v>
      </c>
      <c r="I93" t="s">
        <v>36</v>
      </c>
      <c r="J93" t="s">
        <v>20</v>
      </c>
      <c r="K93">
        <v>0</v>
      </c>
      <c r="L93">
        <v>4</v>
      </c>
      <c r="M93">
        <v>9.57</v>
      </c>
      <c r="N93">
        <v>1</v>
      </c>
      <c r="O93" t="str">
        <f>IF(financial_fraud_data[[#This Row],[Risk_Score]]&gt;8,"High",IF(financial_fraud_data[[#This Row],[Risk_Score]]&gt;5,"Med","Low"))</f>
        <v>High</v>
      </c>
      <c r="P93" t="str">
        <f>TEXT(financial_fraud_data[[#This Row],[Transaction_Date]],"MMM")</f>
        <v>Jan</v>
      </c>
      <c r="Q93" t="str">
        <f>IF(financial_fraud_data[[#This Row],[Is_Fraud]]=1,"Yes","No")</f>
        <v>Yes</v>
      </c>
    </row>
    <row r="94" spans="1:17" x14ac:dyDescent="0.2">
      <c r="A94" t="s">
        <v>214</v>
      </c>
      <c r="B94" t="s">
        <v>168</v>
      </c>
      <c r="C94" s="1">
        <v>45295.833333333336</v>
      </c>
      <c r="D94">
        <v>38051.21</v>
      </c>
      <c r="E94" t="s">
        <v>80</v>
      </c>
      <c r="F94" t="s">
        <v>17</v>
      </c>
      <c r="G94" t="s">
        <v>56</v>
      </c>
      <c r="H94" t="s">
        <v>29</v>
      </c>
      <c r="I94" t="s">
        <v>23</v>
      </c>
      <c r="J94" t="s">
        <v>20</v>
      </c>
      <c r="K94">
        <v>0</v>
      </c>
      <c r="L94">
        <v>2</v>
      </c>
      <c r="M94">
        <v>7.81</v>
      </c>
      <c r="N94">
        <v>1</v>
      </c>
      <c r="O94" t="str">
        <f>IF(financial_fraud_data[[#This Row],[Risk_Score]]&gt;8,"High",IF(financial_fraud_data[[#This Row],[Risk_Score]]&gt;5,"Med","Low"))</f>
        <v>Med</v>
      </c>
      <c r="P94" t="str">
        <f>TEXT(financial_fraud_data[[#This Row],[Transaction_Date]],"MMM")</f>
        <v>Jan</v>
      </c>
      <c r="Q94" t="str">
        <f>IF(financial_fraud_data[[#This Row],[Is_Fraud]]=1,"Yes","No")</f>
        <v>Yes</v>
      </c>
    </row>
    <row r="95" spans="1:17" x14ac:dyDescent="0.2">
      <c r="A95" t="s">
        <v>215</v>
      </c>
      <c r="B95" t="s">
        <v>115</v>
      </c>
      <c r="C95" s="1">
        <v>45295.875</v>
      </c>
      <c r="D95">
        <v>28085.8</v>
      </c>
      <c r="E95" t="s">
        <v>80</v>
      </c>
      <c r="F95" t="s">
        <v>17</v>
      </c>
      <c r="G95" t="s">
        <v>18</v>
      </c>
      <c r="H95" t="s">
        <v>23</v>
      </c>
      <c r="I95" t="s">
        <v>24</v>
      </c>
      <c r="J95" t="s">
        <v>20</v>
      </c>
      <c r="K95">
        <v>0</v>
      </c>
      <c r="L95">
        <v>3</v>
      </c>
      <c r="M95">
        <v>8.31</v>
      </c>
      <c r="N95">
        <v>1</v>
      </c>
      <c r="O95" t="str">
        <f>IF(financial_fraud_data[[#This Row],[Risk_Score]]&gt;8,"High",IF(financial_fraud_data[[#This Row],[Risk_Score]]&gt;5,"Med","Low"))</f>
        <v>High</v>
      </c>
      <c r="P95" t="str">
        <f>TEXT(financial_fraud_data[[#This Row],[Transaction_Date]],"MMM")</f>
        <v>Jan</v>
      </c>
      <c r="Q95" t="str">
        <f>IF(financial_fraud_data[[#This Row],[Is_Fraud]]=1,"Yes","No")</f>
        <v>Yes</v>
      </c>
    </row>
    <row r="96" spans="1:17" x14ac:dyDescent="0.2">
      <c r="A96" t="s">
        <v>216</v>
      </c>
      <c r="B96" t="s">
        <v>217</v>
      </c>
      <c r="C96" s="1">
        <v>45295.916666666664</v>
      </c>
      <c r="D96">
        <v>38559.81</v>
      </c>
      <c r="E96" t="s">
        <v>34</v>
      </c>
      <c r="F96" t="s">
        <v>17</v>
      </c>
      <c r="G96" t="s">
        <v>56</v>
      </c>
      <c r="H96" t="s">
        <v>23</v>
      </c>
      <c r="I96" t="s">
        <v>29</v>
      </c>
      <c r="J96" t="s">
        <v>51</v>
      </c>
      <c r="K96">
        <v>0</v>
      </c>
      <c r="L96">
        <v>2</v>
      </c>
      <c r="M96">
        <v>7.86</v>
      </c>
      <c r="N96">
        <v>1</v>
      </c>
      <c r="O96" t="str">
        <f>IF(financial_fraud_data[[#This Row],[Risk_Score]]&gt;8,"High",IF(financial_fraud_data[[#This Row],[Risk_Score]]&gt;5,"Med","Low"))</f>
        <v>Med</v>
      </c>
      <c r="P96" t="str">
        <f>TEXT(financial_fraud_data[[#This Row],[Transaction_Date]],"MMM")</f>
        <v>Jan</v>
      </c>
      <c r="Q96" t="str">
        <f>IF(financial_fraud_data[[#This Row],[Is_Fraud]]=1,"Yes","No")</f>
        <v>Yes</v>
      </c>
    </row>
    <row r="97" spans="1:17" x14ac:dyDescent="0.2">
      <c r="A97" t="s">
        <v>218</v>
      </c>
      <c r="B97" t="s">
        <v>219</v>
      </c>
      <c r="C97" s="1">
        <v>45295.958333333336</v>
      </c>
      <c r="D97">
        <v>24715.09</v>
      </c>
      <c r="E97" t="s">
        <v>34</v>
      </c>
      <c r="F97" t="s">
        <v>27</v>
      </c>
      <c r="G97" t="s">
        <v>35</v>
      </c>
      <c r="H97" t="s">
        <v>23</v>
      </c>
      <c r="I97" t="s">
        <v>19</v>
      </c>
      <c r="J97" t="s">
        <v>20</v>
      </c>
      <c r="K97">
        <v>0</v>
      </c>
      <c r="L97">
        <v>0</v>
      </c>
      <c r="M97">
        <v>3.47</v>
      </c>
      <c r="N97">
        <v>0</v>
      </c>
      <c r="O97" t="str">
        <f>IF(financial_fraud_data[[#This Row],[Risk_Score]]&gt;8,"High",IF(financial_fraud_data[[#This Row],[Risk_Score]]&gt;5,"Med","Low"))</f>
        <v>Low</v>
      </c>
      <c r="P97" t="str">
        <f>TEXT(financial_fraud_data[[#This Row],[Transaction_Date]],"MMM")</f>
        <v>Jan</v>
      </c>
      <c r="Q97" t="str">
        <f>IF(financial_fraud_data[[#This Row],[Is_Fraud]]=1,"Yes","No")</f>
        <v>No</v>
      </c>
    </row>
    <row r="98" spans="1:17" x14ac:dyDescent="0.2">
      <c r="A98" t="s">
        <v>220</v>
      </c>
      <c r="B98" t="s">
        <v>221</v>
      </c>
      <c r="C98" s="1">
        <v>45296</v>
      </c>
      <c r="D98">
        <v>26160.5</v>
      </c>
      <c r="E98" t="s">
        <v>80</v>
      </c>
      <c r="F98" t="s">
        <v>50</v>
      </c>
      <c r="G98" t="s">
        <v>35</v>
      </c>
      <c r="H98" t="s">
        <v>23</v>
      </c>
      <c r="I98" t="s">
        <v>24</v>
      </c>
      <c r="J98" t="s">
        <v>51</v>
      </c>
      <c r="K98">
        <v>0</v>
      </c>
      <c r="L98">
        <v>4</v>
      </c>
      <c r="M98">
        <v>9.6199999999999992</v>
      </c>
      <c r="N98">
        <v>1</v>
      </c>
      <c r="O98" t="str">
        <f>IF(financial_fraud_data[[#This Row],[Risk_Score]]&gt;8,"High",IF(financial_fraud_data[[#This Row],[Risk_Score]]&gt;5,"Med","Low"))</f>
        <v>High</v>
      </c>
      <c r="P98" t="str">
        <f>TEXT(financial_fraud_data[[#This Row],[Transaction_Date]],"MMM")</f>
        <v>Jan</v>
      </c>
      <c r="Q98" t="str">
        <f>IF(financial_fraud_data[[#This Row],[Is_Fraud]]=1,"Yes","No")</f>
        <v>Yes</v>
      </c>
    </row>
    <row r="99" spans="1:17" x14ac:dyDescent="0.2">
      <c r="A99" t="s">
        <v>222</v>
      </c>
      <c r="B99" t="s">
        <v>71</v>
      </c>
      <c r="C99" s="1">
        <v>45296.041666666664</v>
      </c>
      <c r="D99">
        <v>21405.67</v>
      </c>
      <c r="E99" t="s">
        <v>16</v>
      </c>
      <c r="F99" t="s">
        <v>47</v>
      </c>
      <c r="G99" t="s">
        <v>65</v>
      </c>
      <c r="H99" t="s">
        <v>36</v>
      </c>
      <c r="I99" t="s">
        <v>29</v>
      </c>
      <c r="J99" t="s">
        <v>20</v>
      </c>
      <c r="K99">
        <v>0</v>
      </c>
      <c r="L99">
        <v>1</v>
      </c>
      <c r="M99">
        <v>4.6399999999999997</v>
      </c>
      <c r="N99">
        <v>0</v>
      </c>
      <c r="O99" t="str">
        <f>IF(financial_fraud_data[[#This Row],[Risk_Score]]&gt;8,"High",IF(financial_fraud_data[[#This Row],[Risk_Score]]&gt;5,"Med","Low"))</f>
        <v>Low</v>
      </c>
      <c r="P99" t="str">
        <f>TEXT(financial_fraud_data[[#This Row],[Transaction_Date]],"MMM")</f>
        <v>Jan</v>
      </c>
      <c r="Q99" t="str">
        <f>IF(financial_fraud_data[[#This Row],[Is_Fraud]]=1,"Yes","No")</f>
        <v>No</v>
      </c>
    </row>
    <row r="100" spans="1:17" x14ac:dyDescent="0.2">
      <c r="A100" t="s">
        <v>223</v>
      </c>
      <c r="B100" t="s">
        <v>224</v>
      </c>
      <c r="C100" s="1">
        <v>45296.083333333336</v>
      </c>
      <c r="D100">
        <v>1319.69</v>
      </c>
      <c r="E100" t="s">
        <v>80</v>
      </c>
      <c r="F100" t="s">
        <v>27</v>
      </c>
      <c r="G100" t="s">
        <v>65</v>
      </c>
      <c r="H100" t="s">
        <v>19</v>
      </c>
      <c r="I100" t="s">
        <v>24</v>
      </c>
      <c r="J100" t="s">
        <v>51</v>
      </c>
      <c r="K100">
        <v>0</v>
      </c>
      <c r="L100">
        <v>4</v>
      </c>
      <c r="M100">
        <v>7.13</v>
      </c>
      <c r="N100">
        <v>1</v>
      </c>
      <c r="O100" t="str">
        <f>IF(financial_fraud_data[[#This Row],[Risk_Score]]&gt;8,"High",IF(financial_fraud_data[[#This Row],[Risk_Score]]&gt;5,"Med","Low"))</f>
        <v>Med</v>
      </c>
      <c r="P100" t="str">
        <f>TEXT(financial_fraud_data[[#This Row],[Transaction_Date]],"MMM")</f>
        <v>Jan</v>
      </c>
      <c r="Q100" t="str">
        <f>IF(financial_fraud_data[[#This Row],[Is_Fraud]]=1,"Yes","No")</f>
        <v>Yes</v>
      </c>
    </row>
    <row r="101" spans="1:17" x14ac:dyDescent="0.2">
      <c r="A101" t="s">
        <v>225</v>
      </c>
      <c r="B101" t="s">
        <v>174</v>
      </c>
      <c r="C101" s="1">
        <v>45296.125</v>
      </c>
      <c r="D101">
        <v>5439.18</v>
      </c>
      <c r="E101" t="s">
        <v>16</v>
      </c>
      <c r="F101" t="s">
        <v>17</v>
      </c>
      <c r="G101" t="s">
        <v>18</v>
      </c>
      <c r="H101" t="s">
        <v>19</v>
      </c>
      <c r="I101" t="s">
        <v>24</v>
      </c>
      <c r="J101" t="s">
        <v>37</v>
      </c>
      <c r="K101">
        <v>0</v>
      </c>
      <c r="L101">
        <v>1</v>
      </c>
      <c r="M101">
        <v>3.04</v>
      </c>
      <c r="N101">
        <v>0</v>
      </c>
      <c r="O101" t="str">
        <f>IF(financial_fraud_data[[#This Row],[Risk_Score]]&gt;8,"High",IF(financial_fraud_data[[#This Row],[Risk_Score]]&gt;5,"Med","Low"))</f>
        <v>Low</v>
      </c>
      <c r="P101" t="str">
        <f>TEXT(financial_fraud_data[[#This Row],[Transaction_Date]],"MMM")</f>
        <v>Jan</v>
      </c>
      <c r="Q101" t="str">
        <f>IF(financial_fraud_data[[#This Row],[Is_Fraud]]=1,"Yes","No")</f>
        <v>No</v>
      </c>
    </row>
    <row r="102" spans="1:17" x14ac:dyDescent="0.2">
      <c r="A102" t="s">
        <v>226</v>
      </c>
      <c r="B102" t="s">
        <v>227</v>
      </c>
      <c r="C102" s="1">
        <v>45296.166666666664</v>
      </c>
      <c r="D102">
        <v>1619.89</v>
      </c>
      <c r="E102" t="s">
        <v>16</v>
      </c>
      <c r="F102" t="s">
        <v>27</v>
      </c>
      <c r="G102" t="s">
        <v>56</v>
      </c>
      <c r="H102" t="s">
        <v>23</v>
      </c>
      <c r="I102" t="s">
        <v>36</v>
      </c>
      <c r="J102" t="s">
        <v>37</v>
      </c>
      <c r="K102">
        <v>0</v>
      </c>
      <c r="L102">
        <v>3</v>
      </c>
      <c r="M102">
        <v>5.66</v>
      </c>
      <c r="N102">
        <v>1</v>
      </c>
      <c r="O102" t="str">
        <f>IF(financial_fraud_data[[#This Row],[Risk_Score]]&gt;8,"High",IF(financial_fraud_data[[#This Row],[Risk_Score]]&gt;5,"Med","Low"))</f>
        <v>Med</v>
      </c>
      <c r="P102" t="str">
        <f>TEXT(financial_fraud_data[[#This Row],[Transaction_Date]],"MMM")</f>
        <v>Jan</v>
      </c>
      <c r="Q102" t="str">
        <f>IF(financial_fraud_data[[#This Row],[Is_Fraud]]=1,"Yes","No")</f>
        <v>Yes</v>
      </c>
    </row>
    <row r="103" spans="1:17" x14ac:dyDescent="0.2">
      <c r="A103" t="s">
        <v>228</v>
      </c>
      <c r="B103" t="s">
        <v>229</v>
      </c>
      <c r="C103" s="1">
        <v>45296.208333333336</v>
      </c>
      <c r="D103">
        <v>31838.7</v>
      </c>
      <c r="E103" t="s">
        <v>34</v>
      </c>
      <c r="F103" t="s">
        <v>17</v>
      </c>
      <c r="G103" t="s">
        <v>28</v>
      </c>
      <c r="H103" t="s">
        <v>36</v>
      </c>
      <c r="I103" t="s">
        <v>23</v>
      </c>
      <c r="J103" t="s">
        <v>20</v>
      </c>
      <c r="K103">
        <v>0</v>
      </c>
      <c r="L103">
        <v>1</v>
      </c>
      <c r="M103">
        <v>5.68</v>
      </c>
      <c r="N103">
        <v>1</v>
      </c>
      <c r="O103" t="str">
        <f>IF(financial_fraud_data[[#This Row],[Risk_Score]]&gt;8,"High",IF(financial_fraud_data[[#This Row],[Risk_Score]]&gt;5,"Med","Low"))</f>
        <v>Med</v>
      </c>
      <c r="P103" t="str">
        <f>TEXT(financial_fraud_data[[#This Row],[Transaction_Date]],"MMM")</f>
        <v>Jan</v>
      </c>
      <c r="Q103" t="str">
        <f>IF(financial_fraud_data[[#This Row],[Is_Fraud]]=1,"Yes","No")</f>
        <v>Yes</v>
      </c>
    </row>
    <row r="104" spans="1:17" x14ac:dyDescent="0.2">
      <c r="A104" t="s">
        <v>230</v>
      </c>
      <c r="B104" t="s">
        <v>231</v>
      </c>
      <c r="C104" s="1">
        <v>45296.25</v>
      </c>
      <c r="D104">
        <v>15752.08</v>
      </c>
      <c r="E104" t="s">
        <v>16</v>
      </c>
      <c r="F104" t="s">
        <v>47</v>
      </c>
      <c r="G104" t="s">
        <v>65</v>
      </c>
      <c r="H104" t="s">
        <v>36</v>
      </c>
      <c r="I104" t="s">
        <v>19</v>
      </c>
      <c r="J104" t="s">
        <v>51</v>
      </c>
      <c r="K104">
        <v>0</v>
      </c>
      <c r="L104">
        <v>1</v>
      </c>
      <c r="M104">
        <v>4.08</v>
      </c>
      <c r="N104">
        <v>0</v>
      </c>
      <c r="O104" t="str">
        <f>IF(financial_fraud_data[[#This Row],[Risk_Score]]&gt;8,"High",IF(financial_fraud_data[[#This Row],[Risk_Score]]&gt;5,"Med","Low"))</f>
        <v>Low</v>
      </c>
      <c r="P104" t="str">
        <f>TEXT(financial_fraud_data[[#This Row],[Transaction_Date]],"MMM")</f>
        <v>Jan</v>
      </c>
      <c r="Q104" t="str">
        <f>IF(financial_fraud_data[[#This Row],[Is_Fraud]]=1,"Yes","No")</f>
        <v>No</v>
      </c>
    </row>
    <row r="105" spans="1:17" x14ac:dyDescent="0.2">
      <c r="A105" t="s">
        <v>232</v>
      </c>
      <c r="B105" t="s">
        <v>233</v>
      </c>
      <c r="C105" s="1">
        <v>45296.291666666664</v>
      </c>
      <c r="D105">
        <v>25453.11</v>
      </c>
      <c r="E105" t="s">
        <v>80</v>
      </c>
      <c r="F105" t="s">
        <v>47</v>
      </c>
      <c r="G105" t="s">
        <v>28</v>
      </c>
      <c r="H105" t="s">
        <v>23</v>
      </c>
      <c r="I105" t="s">
        <v>29</v>
      </c>
      <c r="J105" t="s">
        <v>37</v>
      </c>
      <c r="K105">
        <v>1</v>
      </c>
      <c r="L105">
        <v>3</v>
      </c>
      <c r="M105">
        <v>10.050000000000001</v>
      </c>
      <c r="N105">
        <v>1</v>
      </c>
      <c r="O105" t="str">
        <f>IF(financial_fraud_data[[#This Row],[Risk_Score]]&gt;8,"High",IF(financial_fraud_data[[#This Row],[Risk_Score]]&gt;5,"Med","Low"))</f>
        <v>High</v>
      </c>
      <c r="P105" t="str">
        <f>TEXT(financial_fraud_data[[#This Row],[Transaction_Date]],"MMM")</f>
        <v>Jan</v>
      </c>
      <c r="Q105" t="str">
        <f>IF(financial_fraud_data[[#This Row],[Is_Fraud]]=1,"Yes","No")</f>
        <v>Yes</v>
      </c>
    </row>
    <row r="106" spans="1:17" x14ac:dyDescent="0.2">
      <c r="A106" t="s">
        <v>234</v>
      </c>
      <c r="B106" t="s">
        <v>235</v>
      </c>
      <c r="C106" s="1">
        <v>45296.333333333336</v>
      </c>
      <c r="D106">
        <v>45382.95</v>
      </c>
      <c r="E106" t="s">
        <v>34</v>
      </c>
      <c r="F106" t="s">
        <v>50</v>
      </c>
      <c r="G106" t="s">
        <v>28</v>
      </c>
      <c r="H106" t="s">
        <v>24</v>
      </c>
      <c r="I106" t="s">
        <v>24</v>
      </c>
      <c r="J106" t="s">
        <v>37</v>
      </c>
      <c r="K106">
        <v>0</v>
      </c>
      <c r="L106">
        <v>4</v>
      </c>
      <c r="M106">
        <v>10.54</v>
      </c>
      <c r="N106">
        <v>1</v>
      </c>
      <c r="O106" t="str">
        <f>IF(financial_fraud_data[[#This Row],[Risk_Score]]&gt;8,"High",IF(financial_fraud_data[[#This Row],[Risk_Score]]&gt;5,"Med","Low"))</f>
        <v>High</v>
      </c>
      <c r="P106" t="str">
        <f>TEXT(financial_fraud_data[[#This Row],[Transaction_Date]],"MMM")</f>
        <v>Jan</v>
      </c>
      <c r="Q106" t="str">
        <f>IF(financial_fraud_data[[#This Row],[Is_Fraud]]=1,"Yes","No")</f>
        <v>Yes</v>
      </c>
    </row>
    <row r="107" spans="1:17" x14ac:dyDescent="0.2">
      <c r="A107" t="s">
        <v>236</v>
      </c>
      <c r="B107" t="s">
        <v>237</v>
      </c>
      <c r="C107" s="1">
        <v>45296.375</v>
      </c>
      <c r="D107">
        <v>12502.15</v>
      </c>
      <c r="E107" t="s">
        <v>42</v>
      </c>
      <c r="F107" t="s">
        <v>17</v>
      </c>
      <c r="G107" t="s">
        <v>56</v>
      </c>
      <c r="H107" t="s">
        <v>23</v>
      </c>
      <c r="I107" t="s">
        <v>19</v>
      </c>
      <c r="J107" t="s">
        <v>37</v>
      </c>
      <c r="K107">
        <v>0</v>
      </c>
      <c r="L107">
        <v>3</v>
      </c>
      <c r="M107">
        <v>6.75</v>
      </c>
      <c r="N107">
        <v>1</v>
      </c>
      <c r="O107" t="str">
        <f>IF(financial_fraud_data[[#This Row],[Risk_Score]]&gt;8,"High",IF(financial_fraud_data[[#This Row],[Risk_Score]]&gt;5,"Med","Low"))</f>
        <v>Med</v>
      </c>
      <c r="P107" t="str">
        <f>TEXT(financial_fraud_data[[#This Row],[Transaction_Date]],"MMM")</f>
        <v>Jan</v>
      </c>
      <c r="Q107" t="str">
        <f>IF(financial_fraud_data[[#This Row],[Is_Fraud]]=1,"Yes","No")</f>
        <v>Yes</v>
      </c>
    </row>
    <row r="108" spans="1:17" x14ac:dyDescent="0.2">
      <c r="A108" t="s">
        <v>238</v>
      </c>
      <c r="B108" t="s">
        <v>239</v>
      </c>
      <c r="C108" s="1">
        <v>45296.416666666664</v>
      </c>
      <c r="D108">
        <v>20548.63</v>
      </c>
      <c r="E108" t="s">
        <v>42</v>
      </c>
      <c r="F108" t="s">
        <v>50</v>
      </c>
      <c r="G108" t="s">
        <v>18</v>
      </c>
      <c r="H108" t="s">
        <v>24</v>
      </c>
      <c r="I108" t="s">
        <v>24</v>
      </c>
      <c r="J108" t="s">
        <v>37</v>
      </c>
      <c r="K108">
        <v>0</v>
      </c>
      <c r="L108">
        <v>0</v>
      </c>
      <c r="M108">
        <v>2.0499999999999998</v>
      </c>
      <c r="N108">
        <v>0</v>
      </c>
      <c r="O108" t="str">
        <f>IF(financial_fraud_data[[#This Row],[Risk_Score]]&gt;8,"High",IF(financial_fraud_data[[#This Row],[Risk_Score]]&gt;5,"Med","Low"))</f>
        <v>Low</v>
      </c>
      <c r="P108" t="str">
        <f>TEXT(financial_fraud_data[[#This Row],[Transaction_Date]],"MMM")</f>
        <v>Jan</v>
      </c>
      <c r="Q108" t="str">
        <f>IF(financial_fraud_data[[#This Row],[Is_Fraud]]=1,"Yes","No")</f>
        <v>No</v>
      </c>
    </row>
    <row r="109" spans="1:17" x14ac:dyDescent="0.2">
      <c r="A109" t="s">
        <v>240</v>
      </c>
      <c r="B109" t="s">
        <v>241</v>
      </c>
      <c r="C109" s="1">
        <v>45296.458333333336</v>
      </c>
      <c r="D109">
        <v>37789.78</v>
      </c>
      <c r="E109" t="s">
        <v>34</v>
      </c>
      <c r="F109" t="s">
        <v>50</v>
      </c>
      <c r="G109" t="s">
        <v>56</v>
      </c>
      <c r="H109" t="s">
        <v>23</v>
      </c>
      <c r="I109" t="s">
        <v>23</v>
      </c>
      <c r="J109" t="s">
        <v>20</v>
      </c>
      <c r="K109">
        <v>0</v>
      </c>
      <c r="L109">
        <v>0</v>
      </c>
      <c r="M109">
        <v>3.78</v>
      </c>
      <c r="N109">
        <v>0</v>
      </c>
      <c r="O109" t="str">
        <f>IF(financial_fraud_data[[#This Row],[Risk_Score]]&gt;8,"High",IF(financial_fraud_data[[#This Row],[Risk_Score]]&gt;5,"Med","Low"))</f>
        <v>Low</v>
      </c>
      <c r="P109" t="str">
        <f>TEXT(financial_fraud_data[[#This Row],[Transaction_Date]],"MMM")</f>
        <v>Jan</v>
      </c>
      <c r="Q109" t="str">
        <f>IF(financial_fraud_data[[#This Row],[Is_Fraud]]=1,"Yes","No")</f>
        <v>No</v>
      </c>
    </row>
    <row r="110" spans="1:17" x14ac:dyDescent="0.2">
      <c r="A110" t="s">
        <v>242</v>
      </c>
      <c r="B110" t="s">
        <v>243</v>
      </c>
      <c r="C110" s="1">
        <v>45296.5</v>
      </c>
      <c r="D110">
        <v>11478.47</v>
      </c>
      <c r="E110" t="s">
        <v>80</v>
      </c>
      <c r="F110" t="s">
        <v>47</v>
      </c>
      <c r="G110" t="s">
        <v>65</v>
      </c>
      <c r="H110" t="s">
        <v>24</v>
      </c>
      <c r="I110" t="s">
        <v>19</v>
      </c>
      <c r="J110" t="s">
        <v>51</v>
      </c>
      <c r="K110">
        <v>0</v>
      </c>
      <c r="L110">
        <v>1</v>
      </c>
      <c r="M110">
        <v>3.65</v>
      </c>
      <c r="N110">
        <v>0</v>
      </c>
      <c r="O110" t="str">
        <f>IF(financial_fraud_data[[#This Row],[Risk_Score]]&gt;8,"High",IF(financial_fraud_data[[#This Row],[Risk_Score]]&gt;5,"Med","Low"))</f>
        <v>Low</v>
      </c>
      <c r="P110" t="str">
        <f>TEXT(financial_fraud_data[[#This Row],[Transaction_Date]],"MMM")</f>
        <v>Jan</v>
      </c>
      <c r="Q110" t="str">
        <f>IF(financial_fraud_data[[#This Row],[Is_Fraud]]=1,"Yes","No")</f>
        <v>No</v>
      </c>
    </row>
    <row r="111" spans="1:17" x14ac:dyDescent="0.2">
      <c r="A111" t="s">
        <v>244</v>
      </c>
      <c r="B111" t="s">
        <v>245</v>
      </c>
      <c r="C111" s="1">
        <v>45296.541666666664</v>
      </c>
      <c r="D111">
        <v>3895.15</v>
      </c>
      <c r="E111" t="s">
        <v>42</v>
      </c>
      <c r="F111" t="s">
        <v>27</v>
      </c>
      <c r="G111" t="s">
        <v>28</v>
      </c>
      <c r="H111" t="s">
        <v>24</v>
      </c>
      <c r="I111" t="s">
        <v>29</v>
      </c>
      <c r="J111" t="s">
        <v>37</v>
      </c>
      <c r="K111">
        <v>1</v>
      </c>
      <c r="L111">
        <v>3</v>
      </c>
      <c r="M111">
        <v>7.89</v>
      </c>
      <c r="N111">
        <v>1</v>
      </c>
      <c r="O111" t="str">
        <f>IF(financial_fraud_data[[#This Row],[Risk_Score]]&gt;8,"High",IF(financial_fraud_data[[#This Row],[Risk_Score]]&gt;5,"Med","Low"))</f>
        <v>Med</v>
      </c>
      <c r="P111" t="str">
        <f>TEXT(financial_fraud_data[[#This Row],[Transaction_Date]],"MMM")</f>
        <v>Jan</v>
      </c>
      <c r="Q111" t="str">
        <f>IF(financial_fraud_data[[#This Row],[Is_Fraud]]=1,"Yes","No")</f>
        <v>Yes</v>
      </c>
    </row>
    <row r="112" spans="1:17" x14ac:dyDescent="0.2">
      <c r="A112" t="s">
        <v>246</v>
      </c>
      <c r="B112" t="s">
        <v>247</v>
      </c>
      <c r="C112" s="1">
        <v>45296.583333333336</v>
      </c>
      <c r="D112">
        <v>14523.09</v>
      </c>
      <c r="E112" t="s">
        <v>42</v>
      </c>
      <c r="F112" t="s">
        <v>27</v>
      </c>
      <c r="G112" t="s">
        <v>56</v>
      </c>
      <c r="H112" t="s">
        <v>23</v>
      </c>
      <c r="I112" t="s">
        <v>24</v>
      </c>
      <c r="J112" t="s">
        <v>20</v>
      </c>
      <c r="K112">
        <v>0</v>
      </c>
      <c r="L112">
        <v>3</v>
      </c>
      <c r="M112">
        <v>6.95</v>
      </c>
      <c r="N112">
        <v>1</v>
      </c>
      <c r="O112" t="str">
        <f>IF(financial_fraud_data[[#This Row],[Risk_Score]]&gt;8,"High",IF(financial_fraud_data[[#This Row],[Risk_Score]]&gt;5,"Med","Low"))</f>
        <v>Med</v>
      </c>
      <c r="P112" t="str">
        <f>TEXT(financial_fraud_data[[#This Row],[Transaction_Date]],"MMM")</f>
        <v>Jan</v>
      </c>
      <c r="Q112" t="str">
        <f>IF(financial_fraud_data[[#This Row],[Is_Fraud]]=1,"Yes","No")</f>
        <v>Yes</v>
      </c>
    </row>
    <row r="113" spans="1:17" x14ac:dyDescent="0.2">
      <c r="A113" t="s">
        <v>248</v>
      </c>
      <c r="B113" t="s">
        <v>249</v>
      </c>
      <c r="C113" s="1">
        <v>45296.625</v>
      </c>
      <c r="D113">
        <v>8103</v>
      </c>
      <c r="E113" t="s">
        <v>16</v>
      </c>
      <c r="F113" t="s">
        <v>50</v>
      </c>
      <c r="G113" t="s">
        <v>56</v>
      </c>
      <c r="H113" t="s">
        <v>24</v>
      </c>
      <c r="I113" t="s">
        <v>23</v>
      </c>
      <c r="J113" t="s">
        <v>37</v>
      </c>
      <c r="K113">
        <v>0</v>
      </c>
      <c r="L113">
        <v>3</v>
      </c>
      <c r="M113">
        <v>6.31</v>
      </c>
      <c r="N113">
        <v>1</v>
      </c>
      <c r="O113" t="str">
        <f>IF(financial_fraud_data[[#This Row],[Risk_Score]]&gt;8,"High",IF(financial_fraud_data[[#This Row],[Risk_Score]]&gt;5,"Med","Low"))</f>
        <v>Med</v>
      </c>
      <c r="P113" t="str">
        <f>TEXT(financial_fraud_data[[#This Row],[Transaction_Date]],"MMM")</f>
        <v>Jan</v>
      </c>
      <c r="Q113" t="str">
        <f>IF(financial_fraud_data[[#This Row],[Is_Fraud]]=1,"Yes","No")</f>
        <v>Yes</v>
      </c>
    </row>
    <row r="114" spans="1:17" x14ac:dyDescent="0.2">
      <c r="A114" t="s">
        <v>250</v>
      </c>
      <c r="B114" t="s">
        <v>251</v>
      </c>
      <c r="C114" s="1">
        <v>45296.666666666664</v>
      </c>
      <c r="D114">
        <v>46488.4</v>
      </c>
      <c r="E114" t="s">
        <v>16</v>
      </c>
      <c r="F114" t="s">
        <v>47</v>
      </c>
      <c r="G114" t="s">
        <v>56</v>
      </c>
      <c r="H114" t="s">
        <v>29</v>
      </c>
      <c r="I114" t="s">
        <v>19</v>
      </c>
      <c r="J114" t="s">
        <v>37</v>
      </c>
      <c r="K114">
        <v>0</v>
      </c>
      <c r="L114">
        <v>4</v>
      </c>
      <c r="M114">
        <v>11.65</v>
      </c>
      <c r="N114">
        <v>1</v>
      </c>
      <c r="O114" t="str">
        <f>IF(financial_fraud_data[[#This Row],[Risk_Score]]&gt;8,"High",IF(financial_fraud_data[[#This Row],[Risk_Score]]&gt;5,"Med","Low"))</f>
        <v>High</v>
      </c>
      <c r="P114" t="str">
        <f>TEXT(financial_fraud_data[[#This Row],[Transaction_Date]],"MMM")</f>
        <v>Jan</v>
      </c>
      <c r="Q114" t="str">
        <f>IF(financial_fraud_data[[#This Row],[Is_Fraud]]=1,"Yes","No")</f>
        <v>Yes</v>
      </c>
    </row>
    <row r="115" spans="1:17" x14ac:dyDescent="0.2">
      <c r="A115" t="s">
        <v>252</v>
      </c>
      <c r="B115" t="s">
        <v>253</v>
      </c>
      <c r="C115" s="1">
        <v>45296.708333333336</v>
      </c>
      <c r="D115">
        <v>40415.61</v>
      </c>
      <c r="E115" t="s">
        <v>80</v>
      </c>
      <c r="F115" t="s">
        <v>17</v>
      </c>
      <c r="G115" t="s">
        <v>65</v>
      </c>
      <c r="H115" t="s">
        <v>19</v>
      </c>
      <c r="I115" t="s">
        <v>24</v>
      </c>
      <c r="J115" t="s">
        <v>37</v>
      </c>
      <c r="K115">
        <v>0</v>
      </c>
      <c r="L115">
        <v>2</v>
      </c>
      <c r="M115">
        <v>8.0399999999999991</v>
      </c>
      <c r="N115">
        <v>1</v>
      </c>
      <c r="O115" t="str">
        <f>IF(financial_fraud_data[[#This Row],[Risk_Score]]&gt;8,"High",IF(financial_fraud_data[[#This Row],[Risk_Score]]&gt;5,"Med","Low"))</f>
        <v>High</v>
      </c>
      <c r="P115" t="str">
        <f>TEXT(financial_fraud_data[[#This Row],[Transaction_Date]],"MMM")</f>
        <v>Jan</v>
      </c>
      <c r="Q115" t="str">
        <f>IF(financial_fraud_data[[#This Row],[Is_Fraud]]=1,"Yes","No")</f>
        <v>Yes</v>
      </c>
    </row>
    <row r="116" spans="1:17" x14ac:dyDescent="0.2">
      <c r="A116" t="s">
        <v>254</v>
      </c>
      <c r="B116" t="s">
        <v>255</v>
      </c>
      <c r="C116" s="1">
        <v>45296.75</v>
      </c>
      <c r="D116">
        <v>31688.52</v>
      </c>
      <c r="E116" t="s">
        <v>34</v>
      </c>
      <c r="F116" t="s">
        <v>27</v>
      </c>
      <c r="G116" t="s">
        <v>18</v>
      </c>
      <c r="H116" t="s">
        <v>36</v>
      </c>
      <c r="I116" t="s">
        <v>24</v>
      </c>
      <c r="J116" t="s">
        <v>37</v>
      </c>
      <c r="K116">
        <v>0</v>
      </c>
      <c r="L116">
        <v>2</v>
      </c>
      <c r="M116">
        <v>7.17</v>
      </c>
      <c r="N116">
        <v>1</v>
      </c>
      <c r="O116" t="str">
        <f>IF(financial_fraud_data[[#This Row],[Risk_Score]]&gt;8,"High",IF(financial_fraud_data[[#This Row],[Risk_Score]]&gt;5,"Med","Low"))</f>
        <v>Med</v>
      </c>
      <c r="P116" t="str">
        <f>TEXT(financial_fraud_data[[#This Row],[Transaction_Date]],"MMM")</f>
        <v>Jan</v>
      </c>
      <c r="Q116" t="str">
        <f>IF(financial_fraud_data[[#This Row],[Is_Fraud]]=1,"Yes","No")</f>
        <v>Yes</v>
      </c>
    </row>
    <row r="117" spans="1:17" x14ac:dyDescent="0.2">
      <c r="A117" t="s">
        <v>256</v>
      </c>
      <c r="B117" t="s">
        <v>257</v>
      </c>
      <c r="C117" s="1">
        <v>45296.791666666664</v>
      </c>
      <c r="D117">
        <v>43579.46</v>
      </c>
      <c r="E117" t="s">
        <v>80</v>
      </c>
      <c r="F117" t="s">
        <v>50</v>
      </c>
      <c r="G117" t="s">
        <v>56</v>
      </c>
      <c r="H117" t="s">
        <v>24</v>
      </c>
      <c r="I117" t="s">
        <v>29</v>
      </c>
      <c r="J117" t="s">
        <v>20</v>
      </c>
      <c r="K117">
        <v>0</v>
      </c>
      <c r="L117">
        <v>2</v>
      </c>
      <c r="M117">
        <v>8.36</v>
      </c>
      <c r="N117">
        <v>1</v>
      </c>
      <c r="O117" t="str">
        <f>IF(financial_fraud_data[[#This Row],[Risk_Score]]&gt;8,"High",IF(financial_fraud_data[[#This Row],[Risk_Score]]&gt;5,"Med","Low"))</f>
        <v>High</v>
      </c>
      <c r="P117" t="str">
        <f>TEXT(financial_fraud_data[[#This Row],[Transaction_Date]],"MMM")</f>
        <v>Jan</v>
      </c>
      <c r="Q117" t="str">
        <f>IF(financial_fraud_data[[#This Row],[Is_Fraud]]=1,"Yes","No")</f>
        <v>Yes</v>
      </c>
    </row>
    <row r="118" spans="1:17" x14ac:dyDescent="0.2">
      <c r="A118" t="s">
        <v>258</v>
      </c>
      <c r="B118" t="s">
        <v>259</v>
      </c>
      <c r="C118" s="1">
        <v>45296.833333333336</v>
      </c>
      <c r="D118">
        <v>40193.42</v>
      </c>
      <c r="E118" t="s">
        <v>34</v>
      </c>
      <c r="F118" t="s">
        <v>27</v>
      </c>
      <c r="G118" t="s">
        <v>65</v>
      </c>
      <c r="H118" t="s">
        <v>24</v>
      </c>
      <c r="I118" t="s">
        <v>23</v>
      </c>
      <c r="J118" t="s">
        <v>51</v>
      </c>
      <c r="K118">
        <v>0</v>
      </c>
      <c r="L118">
        <v>4</v>
      </c>
      <c r="M118">
        <v>11.02</v>
      </c>
      <c r="N118">
        <v>1</v>
      </c>
      <c r="O118" t="str">
        <f>IF(financial_fraud_data[[#This Row],[Risk_Score]]&gt;8,"High",IF(financial_fraud_data[[#This Row],[Risk_Score]]&gt;5,"Med","Low"))</f>
        <v>High</v>
      </c>
      <c r="P118" t="str">
        <f>TEXT(financial_fraud_data[[#This Row],[Transaction_Date]],"MMM")</f>
        <v>Jan</v>
      </c>
      <c r="Q118" t="str">
        <f>IF(financial_fraud_data[[#This Row],[Is_Fraud]]=1,"Yes","No")</f>
        <v>Yes</v>
      </c>
    </row>
    <row r="119" spans="1:17" x14ac:dyDescent="0.2">
      <c r="A119" t="s">
        <v>260</v>
      </c>
      <c r="B119" t="s">
        <v>261</v>
      </c>
      <c r="C119" s="1">
        <v>45296.875</v>
      </c>
      <c r="D119">
        <v>9369.17</v>
      </c>
      <c r="E119" t="s">
        <v>42</v>
      </c>
      <c r="F119" t="s">
        <v>27</v>
      </c>
      <c r="G119" t="s">
        <v>28</v>
      </c>
      <c r="H119" t="s">
        <v>36</v>
      </c>
      <c r="I119" t="s">
        <v>36</v>
      </c>
      <c r="J119" t="s">
        <v>20</v>
      </c>
      <c r="K119">
        <v>0</v>
      </c>
      <c r="L119">
        <v>3</v>
      </c>
      <c r="M119">
        <v>5.44</v>
      </c>
      <c r="N119">
        <v>1</v>
      </c>
      <c r="O119" t="str">
        <f>IF(financial_fraud_data[[#This Row],[Risk_Score]]&gt;8,"High",IF(financial_fraud_data[[#This Row],[Risk_Score]]&gt;5,"Med","Low"))</f>
        <v>Med</v>
      </c>
      <c r="P119" t="str">
        <f>TEXT(financial_fraud_data[[#This Row],[Transaction_Date]],"MMM")</f>
        <v>Jan</v>
      </c>
      <c r="Q119" t="str">
        <f>IF(financial_fraud_data[[#This Row],[Is_Fraud]]=1,"Yes","No")</f>
        <v>Yes</v>
      </c>
    </row>
    <row r="120" spans="1:17" x14ac:dyDescent="0.2">
      <c r="A120" t="s">
        <v>262</v>
      </c>
      <c r="B120" t="s">
        <v>263</v>
      </c>
      <c r="C120" s="1">
        <v>45296.916666666664</v>
      </c>
      <c r="D120">
        <v>44633.32</v>
      </c>
      <c r="E120" t="s">
        <v>16</v>
      </c>
      <c r="F120" t="s">
        <v>17</v>
      </c>
      <c r="G120" t="s">
        <v>35</v>
      </c>
      <c r="H120" t="s">
        <v>24</v>
      </c>
      <c r="I120" t="s">
        <v>24</v>
      </c>
      <c r="J120" t="s">
        <v>20</v>
      </c>
      <c r="K120">
        <v>0</v>
      </c>
      <c r="L120">
        <v>2</v>
      </c>
      <c r="M120">
        <v>7.46</v>
      </c>
      <c r="N120">
        <v>1</v>
      </c>
      <c r="O120" t="str">
        <f>IF(financial_fraud_data[[#This Row],[Risk_Score]]&gt;8,"High",IF(financial_fraud_data[[#This Row],[Risk_Score]]&gt;5,"Med","Low"))</f>
        <v>Med</v>
      </c>
      <c r="P120" t="str">
        <f>TEXT(financial_fraud_data[[#This Row],[Transaction_Date]],"MMM")</f>
        <v>Jan</v>
      </c>
      <c r="Q120" t="str">
        <f>IF(financial_fraud_data[[#This Row],[Is_Fraud]]=1,"Yes","No")</f>
        <v>Yes</v>
      </c>
    </row>
    <row r="121" spans="1:17" x14ac:dyDescent="0.2">
      <c r="A121" t="s">
        <v>264</v>
      </c>
      <c r="B121" t="s">
        <v>265</v>
      </c>
      <c r="C121" s="1">
        <v>45296.958333333336</v>
      </c>
      <c r="D121">
        <v>26990.14</v>
      </c>
      <c r="E121" t="s">
        <v>80</v>
      </c>
      <c r="F121" t="s">
        <v>47</v>
      </c>
      <c r="G121" t="s">
        <v>65</v>
      </c>
      <c r="H121" t="s">
        <v>36</v>
      </c>
      <c r="I121" t="s">
        <v>19</v>
      </c>
      <c r="J121" t="s">
        <v>20</v>
      </c>
      <c r="K121">
        <v>0</v>
      </c>
      <c r="L121">
        <v>3</v>
      </c>
      <c r="M121">
        <v>8.1999999999999993</v>
      </c>
      <c r="N121">
        <v>1</v>
      </c>
      <c r="O121" t="str">
        <f>IF(financial_fraud_data[[#This Row],[Risk_Score]]&gt;8,"High",IF(financial_fraud_data[[#This Row],[Risk_Score]]&gt;5,"Med","Low"))</f>
        <v>High</v>
      </c>
      <c r="P121" t="str">
        <f>TEXT(financial_fraud_data[[#This Row],[Transaction_Date]],"MMM")</f>
        <v>Jan</v>
      </c>
      <c r="Q121" t="str">
        <f>IF(financial_fraud_data[[#This Row],[Is_Fraud]]=1,"Yes","No")</f>
        <v>Yes</v>
      </c>
    </row>
    <row r="122" spans="1:17" x14ac:dyDescent="0.2">
      <c r="A122" t="s">
        <v>266</v>
      </c>
      <c r="B122" t="s">
        <v>203</v>
      </c>
      <c r="C122" s="1">
        <v>45297</v>
      </c>
      <c r="D122">
        <v>40381.64</v>
      </c>
      <c r="E122" t="s">
        <v>80</v>
      </c>
      <c r="F122" t="s">
        <v>17</v>
      </c>
      <c r="G122" t="s">
        <v>35</v>
      </c>
      <c r="H122" t="s">
        <v>23</v>
      </c>
      <c r="I122" t="s">
        <v>29</v>
      </c>
      <c r="J122" t="s">
        <v>37</v>
      </c>
      <c r="K122">
        <v>0</v>
      </c>
      <c r="L122">
        <v>1</v>
      </c>
      <c r="M122">
        <v>6.54</v>
      </c>
      <c r="N122">
        <v>1</v>
      </c>
      <c r="O122" t="str">
        <f>IF(financial_fraud_data[[#This Row],[Risk_Score]]&gt;8,"High",IF(financial_fraud_data[[#This Row],[Risk_Score]]&gt;5,"Med","Low"))</f>
        <v>Med</v>
      </c>
      <c r="P122" t="str">
        <f>TEXT(financial_fraud_data[[#This Row],[Transaction_Date]],"MMM")</f>
        <v>Jan</v>
      </c>
      <c r="Q122" t="str">
        <f>IF(financial_fraud_data[[#This Row],[Is_Fraud]]=1,"Yes","No")</f>
        <v>Yes</v>
      </c>
    </row>
    <row r="123" spans="1:17" x14ac:dyDescent="0.2">
      <c r="A123" t="s">
        <v>267</v>
      </c>
      <c r="B123" t="s">
        <v>268</v>
      </c>
      <c r="C123" s="1">
        <v>45297.041666666664</v>
      </c>
      <c r="D123">
        <v>44809.760000000002</v>
      </c>
      <c r="E123" t="s">
        <v>34</v>
      </c>
      <c r="F123" t="s">
        <v>47</v>
      </c>
      <c r="G123" t="s">
        <v>56</v>
      </c>
      <c r="H123" t="s">
        <v>29</v>
      </c>
      <c r="I123" t="s">
        <v>29</v>
      </c>
      <c r="J123" t="s">
        <v>51</v>
      </c>
      <c r="K123">
        <v>0</v>
      </c>
      <c r="L123">
        <v>2</v>
      </c>
      <c r="M123">
        <v>7.48</v>
      </c>
      <c r="N123">
        <v>1</v>
      </c>
      <c r="O123" t="str">
        <f>IF(financial_fraud_data[[#This Row],[Risk_Score]]&gt;8,"High",IF(financial_fraud_data[[#This Row],[Risk_Score]]&gt;5,"Med","Low"))</f>
        <v>Med</v>
      </c>
      <c r="P123" t="str">
        <f>TEXT(financial_fraud_data[[#This Row],[Transaction_Date]],"MMM")</f>
        <v>Jan</v>
      </c>
      <c r="Q123" t="str">
        <f>IF(financial_fraud_data[[#This Row],[Is_Fraud]]=1,"Yes","No")</f>
        <v>Yes</v>
      </c>
    </row>
    <row r="124" spans="1:17" x14ac:dyDescent="0.2">
      <c r="A124" t="s">
        <v>269</v>
      </c>
      <c r="B124" t="s">
        <v>270</v>
      </c>
      <c r="C124" s="1">
        <v>45297.083333333336</v>
      </c>
      <c r="D124">
        <v>15934.27</v>
      </c>
      <c r="E124" t="s">
        <v>34</v>
      </c>
      <c r="F124" t="s">
        <v>27</v>
      </c>
      <c r="G124" t="s">
        <v>56</v>
      </c>
      <c r="H124" t="s">
        <v>29</v>
      </c>
      <c r="I124" t="s">
        <v>24</v>
      </c>
      <c r="J124" t="s">
        <v>37</v>
      </c>
      <c r="K124">
        <v>1</v>
      </c>
      <c r="L124">
        <v>1</v>
      </c>
      <c r="M124">
        <v>6.09</v>
      </c>
      <c r="N124">
        <v>1</v>
      </c>
      <c r="O124" t="str">
        <f>IF(financial_fraud_data[[#This Row],[Risk_Score]]&gt;8,"High",IF(financial_fraud_data[[#This Row],[Risk_Score]]&gt;5,"Med","Low"))</f>
        <v>Med</v>
      </c>
      <c r="P124" t="str">
        <f>TEXT(financial_fraud_data[[#This Row],[Transaction_Date]],"MMM")</f>
        <v>Jan</v>
      </c>
      <c r="Q124" t="str">
        <f>IF(financial_fraud_data[[#This Row],[Is_Fraud]]=1,"Yes","No")</f>
        <v>Yes</v>
      </c>
    </row>
    <row r="125" spans="1:17" x14ac:dyDescent="0.2">
      <c r="A125" t="s">
        <v>271</v>
      </c>
      <c r="B125" t="s">
        <v>272</v>
      </c>
      <c r="C125" s="1">
        <v>45297.125</v>
      </c>
      <c r="D125">
        <v>5547.09</v>
      </c>
      <c r="E125" t="s">
        <v>80</v>
      </c>
      <c r="F125" t="s">
        <v>50</v>
      </c>
      <c r="G125" t="s">
        <v>65</v>
      </c>
      <c r="H125" t="s">
        <v>19</v>
      </c>
      <c r="I125" t="s">
        <v>24</v>
      </c>
      <c r="J125" t="s">
        <v>20</v>
      </c>
      <c r="K125">
        <v>0</v>
      </c>
      <c r="L125">
        <v>4</v>
      </c>
      <c r="M125">
        <v>7.55</v>
      </c>
      <c r="N125">
        <v>1</v>
      </c>
      <c r="O125" t="str">
        <f>IF(financial_fraud_data[[#This Row],[Risk_Score]]&gt;8,"High",IF(financial_fraud_data[[#This Row],[Risk_Score]]&gt;5,"Med","Low"))</f>
        <v>Med</v>
      </c>
      <c r="P125" t="str">
        <f>TEXT(financial_fraud_data[[#This Row],[Transaction_Date]],"MMM")</f>
        <v>Jan</v>
      </c>
      <c r="Q125" t="str">
        <f>IF(financial_fraud_data[[#This Row],[Is_Fraud]]=1,"Yes","No")</f>
        <v>Yes</v>
      </c>
    </row>
    <row r="126" spans="1:17" x14ac:dyDescent="0.2">
      <c r="A126" t="s">
        <v>273</v>
      </c>
      <c r="B126" t="s">
        <v>274</v>
      </c>
      <c r="C126" s="1">
        <v>45297.166666666664</v>
      </c>
      <c r="D126">
        <v>11435.36</v>
      </c>
      <c r="E126" t="s">
        <v>34</v>
      </c>
      <c r="F126" t="s">
        <v>17</v>
      </c>
      <c r="G126" t="s">
        <v>35</v>
      </c>
      <c r="H126" t="s">
        <v>24</v>
      </c>
      <c r="I126" t="s">
        <v>24</v>
      </c>
      <c r="J126" t="s">
        <v>37</v>
      </c>
      <c r="K126">
        <v>0</v>
      </c>
      <c r="L126">
        <v>0</v>
      </c>
      <c r="M126">
        <v>1.1399999999999999</v>
      </c>
      <c r="N126">
        <v>0</v>
      </c>
      <c r="O126" t="str">
        <f>IF(financial_fraud_data[[#This Row],[Risk_Score]]&gt;8,"High",IF(financial_fraud_data[[#This Row],[Risk_Score]]&gt;5,"Med","Low"))</f>
        <v>Low</v>
      </c>
      <c r="P126" t="str">
        <f>TEXT(financial_fraud_data[[#This Row],[Transaction_Date]],"MMM")</f>
        <v>Jan</v>
      </c>
      <c r="Q126" t="str">
        <f>IF(financial_fraud_data[[#This Row],[Is_Fraud]]=1,"Yes","No")</f>
        <v>No</v>
      </c>
    </row>
    <row r="127" spans="1:17" x14ac:dyDescent="0.2">
      <c r="A127" t="s">
        <v>275</v>
      </c>
      <c r="B127" t="s">
        <v>276</v>
      </c>
      <c r="C127" s="1">
        <v>45297.208333333336</v>
      </c>
      <c r="D127">
        <v>21384.03</v>
      </c>
      <c r="E127" t="s">
        <v>80</v>
      </c>
      <c r="F127" t="s">
        <v>47</v>
      </c>
      <c r="G127" t="s">
        <v>56</v>
      </c>
      <c r="H127" t="s">
        <v>19</v>
      </c>
      <c r="I127" t="s">
        <v>36</v>
      </c>
      <c r="J127" t="s">
        <v>51</v>
      </c>
      <c r="K127">
        <v>0</v>
      </c>
      <c r="L127">
        <v>4</v>
      </c>
      <c r="M127">
        <v>9.14</v>
      </c>
      <c r="N127">
        <v>1</v>
      </c>
      <c r="O127" t="str">
        <f>IF(financial_fraud_data[[#This Row],[Risk_Score]]&gt;8,"High",IF(financial_fraud_data[[#This Row],[Risk_Score]]&gt;5,"Med","Low"))</f>
        <v>High</v>
      </c>
      <c r="P127" t="str">
        <f>TEXT(financial_fraud_data[[#This Row],[Transaction_Date]],"MMM")</f>
        <v>Jan</v>
      </c>
      <c r="Q127" t="str">
        <f>IF(financial_fraud_data[[#This Row],[Is_Fraud]]=1,"Yes","No")</f>
        <v>Yes</v>
      </c>
    </row>
    <row r="128" spans="1:17" x14ac:dyDescent="0.2">
      <c r="A128" t="s">
        <v>277</v>
      </c>
      <c r="B128" t="s">
        <v>174</v>
      </c>
      <c r="C128" s="1">
        <v>45297.25</v>
      </c>
      <c r="D128">
        <v>40909.839999999997</v>
      </c>
      <c r="E128" t="s">
        <v>80</v>
      </c>
      <c r="F128" t="s">
        <v>27</v>
      </c>
      <c r="G128" t="s">
        <v>28</v>
      </c>
      <c r="H128" t="s">
        <v>23</v>
      </c>
      <c r="I128" t="s">
        <v>24</v>
      </c>
      <c r="J128" t="s">
        <v>51</v>
      </c>
      <c r="K128">
        <v>0</v>
      </c>
      <c r="L128">
        <v>4</v>
      </c>
      <c r="M128">
        <v>11.09</v>
      </c>
      <c r="N128">
        <v>1</v>
      </c>
      <c r="O128" t="str">
        <f>IF(financial_fraud_data[[#This Row],[Risk_Score]]&gt;8,"High",IF(financial_fraud_data[[#This Row],[Risk_Score]]&gt;5,"Med","Low"))</f>
        <v>High</v>
      </c>
      <c r="P128" t="str">
        <f>TEXT(financial_fraud_data[[#This Row],[Transaction_Date]],"MMM")</f>
        <v>Jan</v>
      </c>
      <c r="Q128" t="str">
        <f>IF(financial_fraud_data[[#This Row],[Is_Fraud]]=1,"Yes","No")</f>
        <v>Yes</v>
      </c>
    </row>
    <row r="129" spans="1:17" x14ac:dyDescent="0.2">
      <c r="A129" t="s">
        <v>278</v>
      </c>
      <c r="B129" t="s">
        <v>164</v>
      </c>
      <c r="C129" s="1">
        <v>45297.291666666664</v>
      </c>
      <c r="D129">
        <v>43043.49</v>
      </c>
      <c r="E129" t="s">
        <v>80</v>
      </c>
      <c r="F129" t="s">
        <v>47</v>
      </c>
      <c r="G129" t="s">
        <v>18</v>
      </c>
      <c r="H129" t="s">
        <v>29</v>
      </c>
      <c r="I129" t="s">
        <v>23</v>
      </c>
      <c r="J129" t="s">
        <v>37</v>
      </c>
      <c r="K129">
        <v>0</v>
      </c>
      <c r="L129">
        <v>4</v>
      </c>
      <c r="M129">
        <v>11.3</v>
      </c>
      <c r="N129">
        <v>1</v>
      </c>
      <c r="O129" t="str">
        <f>IF(financial_fraud_data[[#This Row],[Risk_Score]]&gt;8,"High",IF(financial_fraud_data[[#This Row],[Risk_Score]]&gt;5,"Med","Low"))</f>
        <v>High</v>
      </c>
      <c r="P129" t="str">
        <f>TEXT(financial_fraud_data[[#This Row],[Transaction_Date]],"MMM")</f>
        <v>Jan</v>
      </c>
      <c r="Q129" t="str">
        <f>IF(financial_fraud_data[[#This Row],[Is_Fraud]]=1,"Yes","No")</f>
        <v>Yes</v>
      </c>
    </row>
    <row r="130" spans="1:17" x14ac:dyDescent="0.2">
      <c r="A130" t="s">
        <v>279</v>
      </c>
      <c r="B130" t="s">
        <v>280</v>
      </c>
      <c r="C130" s="1">
        <v>45297.333333333336</v>
      </c>
      <c r="D130">
        <v>397.26</v>
      </c>
      <c r="E130" t="s">
        <v>42</v>
      </c>
      <c r="F130" t="s">
        <v>47</v>
      </c>
      <c r="G130" t="s">
        <v>18</v>
      </c>
      <c r="H130" t="s">
        <v>23</v>
      </c>
      <c r="I130" t="s">
        <v>19</v>
      </c>
      <c r="J130" t="s">
        <v>20</v>
      </c>
      <c r="K130">
        <v>0</v>
      </c>
      <c r="L130">
        <v>2</v>
      </c>
      <c r="M130">
        <v>4.04</v>
      </c>
      <c r="N130">
        <v>0</v>
      </c>
      <c r="O130" t="str">
        <f>IF(financial_fraud_data[[#This Row],[Risk_Score]]&gt;8,"High",IF(financial_fraud_data[[#This Row],[Risk_Score]]&gt;5,"Med","Low"))</f>
        <v>Low</v>
      </c>
      <c r="P130" t="str">
        <f>TEXT(financial_fraud_data[[#This Row],[Transaction_Date]],"MMM")</f>
        <v>Jan</v>
      </c>
      <c r="Q130" t="str">
        <f>IF(financial_fraud_data[[#This Row],[Is_Fraud]]=1,"Yes","No")</f>
        <v>No</v>
      </c>
    </row>
    <row r="131" spans="1:17" x14ac:dyDescent="0.2">
      <c r="A131" t="s">
        <v>281</v>
      </c>
      <c r="B131" t="s">
        <v>282</v>
      </c>
      <c r="C131" s="1">
        <v>45297.375</v>
      </c>
      <c r="D131">
        <v>25561.83</v>
      </c>
      <c r="E131" t="s">
        <v>34</v>
      </c>
      <c r="F131" t="s">
        <v>47</v>
      </c>
      <c r="G131" t="s">
        <v>56</v>
      </c>
      <c r="H131" t="s">
        <v>23</v>
      </c>
      <c r="I131" t="s">
        <v>24</v>
      </c>
      <c r="J131" t="s">
        <v>37</v>
      </c>
      <c r="K131">
        <v>0</v>
      </c>
      <c r="L131">
        <v>1</v>
      </c>
      <c r="M131">
        <v>5.0599999999999996</v>
      </c>
      <c r="N131">
        <v>1</v>
      </c>
      <c r="O131" t="str">
        <f>IF(financial_fraud_data[[#This Row],[Risk_Score]]&gt;8,"High",IF(financial_fraud_data[[#This Row],[Risk_Score]]&gt;5,"Med","Low"))</f>
        <v>Med</v>
      </c>
      <c r="P131" t="str">
        <f>TEXT(financial_fraud_data[[#This Row],[Transaction_Date]],"MMM")</f>
        <v>Jan</v>
      </c>
      <c r="Q131" t="str">
        <f>IF(financial_fraud_data[[#This Row],[Is_Fraud]]=1,"Yes","No")</f>
        <v>Yes</v>
      </c>
    </row>
    <row r="132" spans="1:17" x14ac:dyDescent="0.2">
      <c r="A132" t="s">
        <v>283</v>
      </c>
      <c r="B132" t="s">
        <v>284</v>
      </c>
      <c r="C132" s="1">
        <v>45297.416666666664</v>
      </c>
      <c r="D132">
        <v>20899.68</v>
      </c>
      <c r="E132" t="s">
        <v>16</v>
      </c>
      <c r="F132" t="s">
        <v>27</v>
      </c>
      <c r="G132" t="s">
        <v>35</v>
      </c>
      <c r="H132" t="s">
        <v>24</v>
      </c>
      <c r="I132" t="s">
        <v>36</v>
      </c>
      <c r="J132" t="s">
        <v>20</v>
      </c>
      <c r="K132">
        <v>0</v>
      </c>
      <c r="L132">
        <v>2</v>
      </c>
      <c r="M132">
        <v>6.09</v>
      </c>
      <c r="N132">
        <v>1</v>
      </c>
      <c r="O132" t="str">
        <f>IF(financial_fraud_data[[#This Row],[Risk_Score]]&gt;8,"High",IF(financial_fraud_data[[#This Row],[Risk_Score]]&gt;5,"Med","Low"))</f>
        <v>Med</v>
      </c>
      <c r="P132" t="str">
        <f>TEXT(financial_fraud_data[[#This Row],[Transaction_Date]],"MMM")</f>
        <v>Jan</v>
      </c>
      <c r="Q132" t="str">
        <f>IF(financial_fraud_data[[#This Row],[Is_Fraud]]=1,"Yes","No")</f>
        <v>Yes</v>
      </c>
    </row>
    <row r="133" spans="1:17" x14ac:dyDescent="0.2">
      <c r="A133" t="s">
        <v>285</v>
      </c>
      <c r="B133" t="s">
        <v>286</v>
      </c>
      <c r="C133" s="1">
        <v>45297.458333333336</v>
      </c>
      <c r="D133">
        <v>11144.29</v>
      </c>
      <c r="E133" t="s">
        <v>16</v>
      </c>
      <c r="F133" t="s">
        <v>50</v>
      </c>
      <c r="G133" t="s">
        <v>56</v>
      </c>
      <c r="H133" t="s">
        <v>23</v>
      </c>
      <c r="I133" t="s">
        <v>19</v>
      </c>
      <c r="J133" t="s">
        <v>51</v>
      </c>
      <c r="K133">
        <v>0</v>
      </c>
      <c r="L133">
        <v>0</v>
      </c>
      <c r="M133">
        <v>2.11</v>
      </c>
      <c r="N133">
        <v>0</v>
      </c>
      <c r="O133" t="str">
        <f>IF(financial_fraud_data[[#This Row],[Risk_Score]]&gt;8,"High",IF(financial_fraud_data[[#This Row],[Risk_Score]]&gt;5,"Med","Low"))</f>
        <v>Low</v>
      </c>
      <c r="P133" t="str">
        <f>TEXT(financial_fraud_data[[#This Row],[Transaction_Date]],"MMM")</f>
        <v>Jan</v>
      </c>
      <c r="Q133" t="str">
        <f>IF(financial_fraud_data[[#This Row],[Is_Fraud]]=1,"Yes","No")</f>
        <v>No</v>
      </c>
    </row>
    <row r="134" spans="1:17" x14ac:dyDescent="0.2">
      <c r="A134" t="s">
        <v>287</v>
      </c>
      <c r="B134" t="s">
        <v>178</v>
      </c>
      <c r="C134" s="1">
        <v>45297.5</v>
      </c>
      <c r="D134">
        <v>6037.28</v>
      </c>
      <c r="E134" t="s">
        <v>34</v>
      </c>
      <c r="F134" t="s">
        <v>50</v>
      </c>
      <c r="G134" t="s">
        <v>35</v>
      </c>
      <c r="H134" t="s">
        <v>29</v>
      </c>
      <c r="I134" t="s">
        <v>29</v>
      </c>
      <c r="J134" t="s">
        <v>37</v>
      </c>
      <c r="K134">
        <v>1</v>
      </c>
      <c r="L134">
        <v>4</v>
      </c>
      <c r="M134">
        <v>8.6</v>
      </c>
      <c r="N134">
        <v>1</v>
      </c>
      <c r="O134" t="str">
        <f>IF(financial_fraud_data[[#This Row],[Risk_Score]]&gt;8,"High",IF(financial_fraud_data[[#This Row],[Risk_Score]]&gt;5,"Med","Low"))</f>
        <v>High</v>
      </c>
      <c r="P134" t="str">
        <f>TEXT(financial_fraud_data[[#This Row],[Transaction_Date]],"MMM")</f>
        <v>Jan</v>
      </c>
      <c r="Q134" t="str">
        <f>IF(financial_fraud_data[[#This Row],[Is_Fraud]]=1,"Yes","No")</f>
        <v>Yes</v>
      </c>
    </row>
    <row r="135" spans="1:17" x14ac:dyDescent="0.2">
      <c r="A135" t="s">
        <v>288</v>
      </c>
      <c r="B135" t="s">
        <v>289</v>
      </c>
      <c r="C135" s="1">
        <v>45297.541666666664</v>
      </c>
      <c r="D135">
        <v>16913.88</v>
      </c>
      <c r="E135" t="s">
        <v>80</v>
      </c>
      <c r="F135" t="s">
        <v>50</v>
      </c>
      <c r="G135" t="s">
        <v>28</v>
      </c>
      <c r="H135" t="s">
        <v>19</v>
      </c>
      <c r="I135" t="s">
        <v>24</v>
      </c>
      <c r="J135" t="s">
        <v>51</v>
      </c>
      <c r="K135">
        <v>0</v>
      </c>
      <c r="L135">
        <v>3</v>
      </c>
      <c r="M135">
        <v>7.19</v>
      </c>
      <c r="N135">
        <v>1</v>
      </c>
      <c r="O135" t="str">
        <f>IF(financial_fraud_data[[#This Row],[Risk_Score]]&gt;8,"High",IF(financial_fraud_data[[#This Row],[Risk_Score]]&gt;5,"Med","Low"))</f>
        <v>Med</v>
      </c>
      <c r="P135" t="str">
        <f>TEXT(financial_fraud_data[[#This Row],[Transaction_Date]],"MMM")</f>
        <v>Jan</v>
      </c>
      <c r="Q135" t="str">
        <f>IF(financial_fraud_data[[#This Row],[Is_Fraud]]=1,"Yes","No")</f>
        <v>Yes</v>
      </c>
    </row>
    <row r="136" spans="1:17" x14ac:dyDescent="0.2">
      <c r="A136" t="s">
        <v>290</v>
      </c>
      <c r="B136" t="s">
        <v>291</v>
      </c>
      <c r="C136" s="1">
        <v>45297.583333333336</v>
      </c>
      <c r="D136">
        <v>47148.34</v>
      </c>
      <c r="E136" t="s">
        <v>16</v>
      </c>
      <c r="F136" t="s">
        <v>47</v>
      </c>
      <c r="G136" t="s">
        <v>35</v>
      </c>
      <c r="H136" t="s">
        <v>29</v>
      </c>
      <c r="I136" t="s">
        <v>19</v>
      </c>
      <c r="J136" t="s">
        <v>20</v>
      </c>
      <c r="K136">
        <v>0</v>
      </c>
      <c r="L136">
        <v>0</v>
      </c>
      <c r="M136">
        <v>5.71</v>
      </c>
      <c r="N136">
        <v>1</v>
      </c>
      <c r="O136" t="str">
        <f>IF(financial_fraud_data[[#This Row],[Risk_Score]]&gt;8,"High",IF(financial_fraud_data[[#This Row],[Risk_Score]]&gt;5,"Med","Low"))</f>
        <v>Med</v>
      </c>
      <c r="P136" t="str">
        <f>TEXT(financial_fraud_data[[#This Row],[Transaction_Date]],"MMM")</f>
        <v>Jan</v>
      </c>
      <c r="Q136" t="str">
        <f>IF(financial_fraud_data[[#This Row],[Is_Fraud]]=1,"Yes","No")</f>
        <v>Yes</v>
      </c>
    </row>
    <row r="137" spans="1:17" x14ac:dyDescent="0.2">
      <c r="A137" t="s">
        <v>292</v>
      </c>
      <c r="B137" t="s">
        <v>293</v>
      </c>
      <c r="C137" s="1">
        <v>45297.625</v>
      </c>
      <c r="D137">
        <v>16193.99</v>
      </c>
      <c r="E137" t="s">
        <v>16</v>
      </c>
      <c r="F137" t="s">
        <v>27</v>
      </c>
      <c r="G137" t="s">
        <v>56</v>
      </c>
      <c r="H137" t="s">
        <v>24</v>
      </c>
      <c r="I137" t="s">
        <v>29</v>
      </c>
      <c r="J137" t="s">
        <v>20</v>
      </c>
      <c r="K137">
        <v>0</v>
      </c>
      <c r="L137">
        <v>1</v>
      </c>
      <c r="M137">
        <v>4.12</v>
      </c>
      <c r="N137">
        <v>0</v>
      </c>
      <c r="O137" t="str">
        <f>IF(financial_fraud_data[[#This Row],[Risk_Score]]&gt;8,"High",IF(financial_fraud_data[[#This Row],[Risk_Score]]&gt;5,"Med","Low"))</f>
        <v>Low</v>
      </c>
      <c r="P137" t="str">
        <f>TEXT(financial_fraud_data[[#This Row],[Transaction_Date]],"MMM")</f>
        <v>Jan</v>
      </c>
      <c r="Q137" t="str">
        <f>IF(financial_fraud_data[[#This Row],[Is_Fraud]]=1,"Yes","No")</f>
        <v>No</v>
      </c>
    </row>
    <row r="138" spans="1:17" x14ac:dyDescent="0.2">
      <c r="A138" t="s">
        <v>294</v>
      </c>
      <c r="B138" t="s">
        <v>295</v>
      </c>
      <c r="C138" s="1">
        <v>45297.666666666664</v>
      </c>
      <c r="D138">
        <v>25963.59</v>
      </c>
      <c r="E138" t="s">
        <v>34</v>
      </c>
      <c r="F138" t="s">
        <v>47</v>
      </c>
      <c r="G138" t="s">
        <v>28</v>
      </c>
      <c r="H138" t="s">
        <v>29</v>
      </c>
      <c r="I138" t="s">
        <v>36</v>
      </c>
      <c r="J138" t="s">
        <v>37</v>
      </c>
      <c r="K138">
        <v>0</v>
      </c>
      <c r="L138">
        <v>0</v>
      </c>
      <c r="M138">
        <v>3.6</v>
      </c>
      <c r="N138">
        <v>0</v>
      </c>
      <c r="O138" t="str">
        <f>IF(financial_fraud_data[[#This Row],[Risk_Score]]&gt;8,"High",IF(financial_fraud_data[[#This Row],[Risk_Score]]&gt;5,"Med","Low"))</f>
        <v>Low</v>
      </c>
      <c r="P138" t="str">
        <f>TEXT(financial_fraud_data[[#This Row],[Transaction_Date]],"MMM")</f>
        <v>Jan</v>
      </c>
      <c r="Q138" t="str">
        <f>IF(financial_fraud_data[[#This Row],[Is_Fraud]]=1,"Yes","No")</f>
        <v>No</v>
      </c>
    </row>
    <row r="139" spans="1:17" x14ac:dyDescent="0.2">
      <c r="A139" t="s">
        <v>296</v>
      </c>
      <c r="B139" t="s">
        <v>199</v>
      </c>
      <c r="C139" s="1">
        <v>45297.708333333336</v>
      </c>
      <c r="D139">
        <v>35165.800000000003</v>
      </c>
      <c r="E139" t="s">
        <v>16</v>
      </c>
      <c r="F139" t="s">
        <v>50</v>
      </c>
      <c r="G139" t="s">
        <v>65</v>
      </c>
      <c r="H139" t="s">
        <v>36</v>
      </c>
      <c r="I139" t="s">
        <v>23</v>
      </c>
      <c r="J139" t="s">
        <v>37</v>
      </c>
      <c r="K139">
        <v>0</v>
      </c>
      <c r="L139">
        <v>2</v>
      </c>
      <c r="M139">
        <v>7.52</v>
      </c>
      <c r="N139">
        <v>1</v>
      </c>
      <c r="O139" t="str">
        <f>IF(financial_fraud_data[[#This Row],[Risk_Score]]&gt;8,"High",IF(financial_fraud_data[[#This Row],[Risk_Score]]&gt;5,"Med","Low"))</f>
        <v>Med</v>
      </c>
      <c r="P139" t="str">
        <f>TEXT(financial_fraud_data[[#This Row],[Transaction_Date]],"MMM")</f>
        <v>Jan</v>
      </c>
      <c r="Q139" t="str">
        <f>IF(financial_fraud_data[[#This Row],[Is_Fraud]]=1,"Yes","No")</f>
        <v>Yes</v>
      </c>
    </row>
    <row r="140" spans="1:17" x14ac:dyDescent="0.2">
      <c r="A140" t="s">
        <v>297</v>
      </c>
      <c r="B140" t="s">
        <v>298</v>
      </c>
      <c r="C140" s="1">
        <v>45297.75</v>
      </c>
      <c r="D140">
        <v>18213.3</v>
      </c>
      <c r="E140" t="s">
        <v>80</v>
      </c>
      <c r="F140" t="s">
        <v>50</v>
      </c>
      <c r="G140" t="s">
        <v>18</v>
      </c>
      <c r="H140" t="s">
        <v>19</v>
      </c>
      <c r="I140" t="s">
        <v>24</v>
      </c>
      <c r="J140" t="s">
        <v>37</v>
      </c>
      <c r="K140">
        <v>0</v>
      </c>
      <c r="L140">
        <v>3</v>
      </c>
      <c r="M140">
        <v>7.32</v>
      </c>
      <c r="N140">
        <v>1</v>
      </c>
      <c r="O140" t="str">
        <f>IF(financial_fraud_data[[#This Row],[Risk_Score]]&gt;8,"High",IF(financial_fraud_data[[#This Row],[Risk_Score]]&gt;5,"Med","Low"))</f>
        <v>Med</v>
      </c>
      <c r="P140" t="str">
        <f>TEXT(financial_fraud_data[[#This Row],[Transaction_Date]],"MMM")</f>
        <v>Jan</v>
      </c>
      <c r="Q140" t="str">
        <f>IF(financial_fraud_data[[#This Row],[Is_Fraud]]=1,"Yes","No")</f>
        <v>Yes</v>
      </c>
    </row>
    <row r="141" spans="1:17" x14ac:dyDescent="0.2">
      <c r="A141" t="s">
        <v>299</v>
      </c>
      <c r="B141" t="s">
        <v>300</v>
      </c>
      <c r="C141" s="1">
        <v>45297.791666666664</v>
      </c>
      <c r="D141">
        <v>48590.52</v>
      </c>
      <c r="E141" t="s">
        <v>34</v>
      </c>
      <c r="F141" t="s">
        <v>27</v>
      </c>
      <c r="G141" t="s">
        <v>56</v>
      </c>
      <c r="H141" t="s">
        <v>36</v>
      </c>
      <c r="I141" t="s">
        <v>23</v>
      </c>
      <c r="J141" t="s">
        <v>51</v>
      </c>
      <c r="K141">
        <v>0</v>
      </c>
      <c r="L141">
        <v>2</v>
      </c>
      <c r="M141">
        <v>8.86</v>
      </c>
      <c r="N141">
        <v>1</v>
      </c>
      <c r="O141" t="str">
        <f>IF(financial_fraud_data[[#This Row],[Risk_Score]]&gt;8,"High",IF(financial_fraud_data[[#This Row],[Risk_Score]]&gt;5,"Med","Low"))</f>
        <v>High</v>
      </c>
      <c r="P141" t="str">
        <f>TEXT(financial_fraud_data[[#This Row],[Transaction_Date]],"MMM")</f>
        <v>Jan</v>
      </c>
      <c r="Q141" t="str">
        <f>IF(financial_fraud_data[[#This Row],[Is_Fraud]]=1,"Yes","No")</f>
        <v>Yes</v>
      </c>
    </row>
    <row r="142" spans="1:17" x14ac:dyDescent="0.2">
      <c r="A142" t="s">
        <v>301</v>
      </c>
      <c r="B142" t="s">
        <v>302</v>
      </c>
      <c r="C142" s="1">
        <v>45297.833333333336</v>
      </c>
      <c r="D142">
        <v>48124.24</v>
      </c>
      <c r="E142" t="s">
        <v>80</v>
      </c>
      <c r="F142" t="s">
        <v>47</v>
      </c>
      <c r="G142" t="s">
        <v>56</v>
      </c>
      <c r="H142" t="s">
        <v>36</v>
      </c>
      <c r="I142" t="s">
        <v>36</v>
      </c>
      <c r="J142" t="s">
        <v>20</v>
      </c>
      <c r="K142">
        <v>0</v>
      </c>
      <c r="L142">
        <v>4</v>
      </c>
      <c r="M142">
        <v>10.81</v>
      </c>
      <c r="N142">
        <v>1</v>
      </c>
      <c r="O142" t="str">
        <f>IF(financial_fraud_data[[#This Row],[Risk_Score]]&gt;8,"High",IF(financial_fraud_data[[#This Row],[Risk_Score]]&gt;5,"Med","Low"))</f>
        <v>High</v>
      </c>
      <c r="P142" t="str">
        <f>TEXT(financial_fraud_data[[#This Row],[Transaction_Date]],"MMM")</f>
        <v>Jan</v>
      </c>
      <c r="Q142" t="str">
        <f>IF(financial_fraud_data[[#This Row],[Is_Fraud]]=1,"Yes","No")</f>
        <v>Yes</v>
      </c>
    </row>
    <row r="143" spans="1:17" x14ac:dyDescent="0.2">
      <c r="A143" t="s">
        <v>303</v>
      </c>
      <c r="B143" t="s">
        <v>304</v>
      </c>
      <c r="C143" s="1">
        <v>45297.875</v>
      </c>
      <c r="D143">
        <v>12626.53</v>
      </c>
      <c r="E143" t="s">
        <v>16</v>
      </c>
      <c r="F143" t="s">
        <v>17</v>
      </c>
      <c r="G143" t="s">
        <v>56</v>
      </c>
      <c r="H143" t="s">
        <v>24</v>
      </c>
      <c r="I143" t="s">
        <v>19</v>
      </c>
      <c r="J143" t="s">
        <v>20</v>
      </c>
      <c r="K143">
        <v>0</v>
      </c>
      <c r="L143">
        <v>4</v>
      </c>
      <c r="M143">
        <v>8.26</v>
      </c>
      <c r="N143">
        <v>1</v>
      </c>
      <c r="O143" t="str">
        <f>IF(financial_fraud_data[[#This Row],[Risk_Score]]&gt;8,"High",IF(financial_fraud_data[[#This Row],[Risk_Score]]&gt;5,"Med","Low"))</f>
        <v>High</v>
      </c>
      <c r="P143" t="str">
        <f>TEXT(financial_fraud_data[[#This Row],[Transaction_Date]],"MMM")</f>
        <v>Jan</v>
      </c>
      <c r="Q143" t="str">
        <f>IF(financial_fraud_data[[#This Row],[Is_Fraud]]=1,"Yes","No")</f>
        <v>Yes</v>
      </c>
    </row>
    <row r="144" spans="1:17" x14ac:dyDescent="0.2">
      <c r="A144" t="s">
        <v>305</v>
      </c>
      <c r="B144" t="s">
        <v>306</v>
      </c>
      <c r="C144" s="1">
        <v>45297.916666666664</v>
      </c>
      <c r="D144">
        <v>24887.56</v>
      </c>
      <c r="E144" t="s">
        <v>16</v>
      </c>
      <c r="F144" t="s">
        <v>17</v>
      </c>
      <c r="G144" t="s">
        <v>28</v>
      </c>
      <c r="H144" t="s">
        <v>23</v>
      </c>
      <c r="I144" t="s">
        <v>19</v>
      </c>
      <c r="J144" t="s">
        <v>51</v>
      </c>
      <c r="K144">
        <v>1</v>
      </c>
      <c r="L144">
        <v>0</v>
      </c>
      <c r="M144">
        <v>5.49</v>
      </c>
      <c r="N144">
        <v>1</v>
      </c>
      <c r="O144" t="str">
        <f>IF(financial_fraud_data[[#This Row],[Risk_Score]]&gt;8,"High",IF(financial_fraud_data[[#This Row],[Risk_Score]]&gt;5,"Med","Low"))</f>
        <v>Med</v>
      </c>
      <c r="P144" t="str">
        <f>TEXT(financial_fraud_data[[#This Row],[Transaction_Date]],"MMM")</f>
        <v>Jan</v>
      </c>
      <c r="Q144" t="str">
        <f>IF(financial_fraud_data[[#This Row],[Is_Fraud]]=1,"Yes","No")</f>
        <v>Yes</v>
      </c>
    </row>
    <row r="145" spans="1:17" x14ac:dyDescent="0.2">
      <c r="A145" t="s">
        <v>307</v>
      </c>
      <c r="B145" t="s">
        <v>308</v>
      </c>
      <c r="C145" s="1">
        <v>45297.958333333336</v>
      </c>
      <c r="D145">
        <v>15078.87</v>
      </c>
      <c r="E145" t="s">
        <v>80</v>
      </c>
      <c r="F145" t="s">
        <v>50</v>
      </c>
      <c r="G145" t="s">
        <v>65</v>
      </c>
      <c r="H145" t="s">
        <v>36</v>
      </c>
      <c r="I145" t="s">
        <v>36</v>
      </c>
      <c r="J145" t="s">
        <v>37</v>
      </c>
      <c r="K145">
        <v>0</v>
      </c>
      <c r="L145">
        <v>4</v>
      </c>
      <c r="M145">
        <v>7.51</v>
      </c>
      <c r="N145">
        <v>1</v>
      </c>
      <c r="O145" t="str">
        <f>IF(financial_fraud_data[[#This Row],[Risk_Score]]&gt;8,"High",IF(financial_fraud_data[[#This Row],[Risk_Score]]&gt;5,"Med","Low"))</f>
        <v>Med</v>
      </c>
      <c r="P145" t="str">
        <f>TEXT(financial_fraud_data[[#This Row],[Transaction_Date]],"MMM")</f>
        <v>Jan</v>
      </c>
      <c r="Q145" t="str">
        <f>IF(financial_fraud_data[[#This Row],[Is_Fraud]]=1,"Yes","No")</f>
        <v>Yes</v>
      </c>
    </row>
    <row r="146" spans="1:17" x14ac:dyDescent="0.2">
      <c r="A146" t="s">
        <v>309</v>
      </c>
      <c r="B146" t="s">
        <v>310</v>
      </c>
      <c r="C146" s="1">
        <v>45298</v>
      </c>
      <c r="D146">
        <v>14277.78</v>
      </c>
      <c r="E146" t="s">
        <v>42</v>
      </c>
      <c r="F146" t="s">
        <v>27</v>
      </c>
      <c r="G146" t="s">
        <v>35</v>
      </c>
      <c r="H146" t="s">
        <v>29</v>
      </c>
      <c r="I146" t="s">
        <v>36</v>
      </c>
      <c r="J146" t="s">
        <v>37</v>
      </c>
      <c r="K146">
        <v>0</v>
      </c>
      <c r="L146">
        <v>4</v>
      </c>
      <c r="M146">
        <v>8.43</v>
      </c>
      <c r="N146">
        <v>1</v>
      </c>
      <c r="O146" t="str">
        <f>IF(financial_fraud_data[[#This Row],[Risk_Score]]&gt;8,"High",IF(financial_fraud_data[[#This Row],[Risk_Score]]&gt;5,"Med","Low"))</f>
        <v>High</v>
      </c>
      <c r="P146" t="str">
        <f>TEXT(financial_fraud_data[[#This Row],[Transaction_Date]],"MMM")</f>
        <v>Jan</v>
      </c>
      <c r="Q146" t="str">
        <f>IF(financial_fraud_data[[#This Row],[Is_Fraud]]=1,"Yes","No")</f>
        <v>Yes</v>
      </c>
    </row>
    <row r="147" spans="1:17" x14ac:dyDescent="0.2">
      <c r="A147" t="s">
        <v>311</v>
      </c>
      <c r="B147" t="s">
        <v>312</v>
      </c>
      <c r="C147" s="1">
        <v>45298.041666666664</v>
      </c>
      <c r="D147">
        <v>1892.5</v>
      </c>
      <c r="E147" t="s">
        <v>16</v>
      </c>
      <c r="F147" t="s">
        <v>47</v>
      </c>
      <c r="G147" t="s">
        <v>65</v>
      </c>
      <c r="H147" t="s">
        <v>23</v>
      </c>
      <c r="I147" t="s">
        <v>24</v>
      </c>
      <c r="J147" t="s">
        <v>51</v>
      </c>
      <c r="K147">
        <v>0</v>
      </c>
      <c r="L147">
        <v>1</v>
      </c>
      <c r="M147">
        <v>2.69</v>
      </c>
      <c r="N147">
        <v>0</v>
      </c>
      <c r="O147" t="str">
        <f>IF(financial_fraud_data[[#This Row],[Risk_Score]]&gt;8,"High",IF(financial_fraud_data[[#This Row],[Risk_Score]]&gt;5,"Med","Low"))</f>
        <v>Low</v>
      </c>
      <c r="P147" t="str">
        <f>TEXT(financial_fraud_data[[#This Row],[Transaction_Date]],"MMM")</f>
        <v>Jan</v>
      </c>
      <c r="Q147" t="str">
        <f>IF(financial_fraud_data[[#This Row],[Is_Fraud]]=1,"Yes","No")</f>
        <v>No</v>
      </c>
    </row>
    <row r="148" spans="1:17" x14ac:dyDescent="0.2">
      <c r="A148" t="s">
        <v>313</v>
      </c>
      <c r="B148" t="s">
        <v>49</v>
      </c>
      <c r="C148" s="1">
        <v>45298.083333333336</v>
      </c>
      <c r="D148">
        <v>30497.74</v>
      </c>
      <c r="E148" t="s">
        <v>42</v>
      </c>
      <c r="F148" t="s">
        <v>47</v>
      </c>
      <c r="G148" t="s">
        <v>28</v>
      </c>
      <c r="H148" t="s">
        <v>29</v>
      </c>
      <c r="I148" t="s">
        <v>29</v>
      </c>
      <c r="J148" t="s">
        <v>20</v>
      </c>
      <c r="K148">
        <v>1</v>
      </c>
      <c r="L148">
        <v>1</v>
      </c>
      <c r="M148">
        <v>6.55</v>
      </c>
      <c r="N148">
        <v>1</v>
      </c>
      <c r="O148" t="str">
        <f>IF(financial_fraud_data[[#This Row],[Risk_Score]]&gt;8,"High",IF(financial_fraud_data[[#This Row],[Risk_Score]]&gt;5,"Med","Low"))</f>
        <v>Med</v>
      </c>
      <c r="P148" t="str">
        <f>TEXT(financial_fraud_data[[#This Row],[Transaction_Date]],"MMM")</f>
        <v>Jan</v>
      </c>
      <c r="Q148" t="str">
        <f>IF(financial_fraud_data[[#This Row],[Is_Fraud]]=1,"Yes","No")</f>
        <v>Yes</v>
      </c>
    </row>
    <row r="149" spans="1:17" x14ac:dyDescent="0.2">
      <c r="A149" t="s">
        <v>314</v>
      </c>
      <c r="B149" t="s">
        <v>315</v>
      </c>
      <c r="C149" s="1">
        <v>45298.125</v>
      </c>
      <c r="D149">
        <v>25158.82</v>
      </c>
      <c r="E149" t="s">
        <v>16</v>
      </c>
      <c r="F149" t="s">
        <v>50</v>
      </c>
      <c r="G149" t="s">
        <v>56</v>
      </c>
      <c r="H149" t="s">
        <v>29</v>
      </c>
      <c r="I149" t="s">
        <v>23</v>
      </c>
      <c r="J149" t="s">
        <v>20</v>
      </c>
      <c r="K149">
        <v>0</v>
      </c>
      <c r="L149">
        <v>2</v>
      </c>
      <c r="M149">
        <v>6.52</v>
      </c>
      <c r="N149">
        <v>1</v>
      </c>
      <c r="O149" t="str">
        <f>IF(financial_fraud_data[[#This Row],[Risk_Score]]&gt;8,"High",IF(financial_fraud_data[[#This Row],[Risk_Score]]&gt;5,"Med","Low"))</f>
        <v>Med</v>
      </c>
      <c r="P149" t="str">
        <f>TEXT(financial_fraud_data[[#This Row],[Transaction_Date]],"MMM")</f>
        <v>Jan</v>
      </c>
      <c r="Q149" t="str">
        <f>IF(financial_fraud_data[[#This Row],[Is_Fraud]]=1,"Yes","No")</f>
        <v>Yes</v>
      </c>
    </row>
    <row r="150" spans="1:17" x14ac:dyDescent="0.2">
      <c r="A150" t="s">
        <v>316</v>
      </c>
      <c r="B150" t="s">
        <v>317</v>
      </c>
      <c r="C150" s="1">
        <v>45298.166666666664</v>
      </c>
      <c r="D150">
        <v>2621.36</v>
      </c>
      <c r="E150" t="s">
        <v>42</v>
      </c>
      <c r="F150" t="s">
        <v>50</v>
      </c>
      <c r="G150" t="s">
        <v>18</v>
      </c>
      <c r="H150" t="s">
        <v>23</v>
      </c>
      <c r="I150" t="s">
        <v>23</v>
      </c>
      <c r="J150" t="s">
        <v>20</v>
      </c>
      <c r="K150">
        <v>0</v>
      </c>
      <c r="L150">
        <v>2</v>
      </c>
      <c r="M150">
        <v>3.26</v>
      </c>
      <c r="N150">
        <v>0</v>
      </c>
      <c r="O150" t="str">
        <f>IF(financial_fraud_data[[#This Row],[Risk_Score]]&gt;8,"High",IF(financial_fraud_data[[#This Row],[Risk_Score]]&gt;5,"Med","Low"))</f>
        <v>Low</v>
      </c>
      <c r="P150" t="str">
        <f>TEXT(financial_fraud_data[[#This Row],[Transaction_Date]],"MMM")</f>
        <v>Jan</v>
      </c>
      <c r="Q150" t="str">
        <f>IF(financial_fraud_data[[#This Row],[Is_Fraud]]=1,"Yes","No")</f>
        <v>No</v>
      </c>
    </row>
    <row r="151" spans="1:17" x14ac:dyDescent="0.2">
      <c r="A151" t="s">
        <v>318</v>
      </c>
      <c r="B151" t="s">
        <v>319</v>
      </c>
      <c r="C151" s="1">
        <v>45298.208333333336</v>
      </c>
      <c r="D151">
        <v>13968.39</v>
      </c>
      <c r="E151" t="s">
        <v>42</v>
      </c>
      <c r="F151" t="s">
        <v>47</v>
      </c>
      <c r="G151" t="s">
        <v>56</v>
      </c>
      <c r="H151" t="s">
        <v>23</v>
      </c>
      <c r="I151" t="s">
        <v>19</v>
      </c>
      <c r="J151" t="s">
        <v>20</v>
      </c>
      <c r="K151">
        <v>0</v>
      </c>
      <c r="L151">
        <v>1</v>
      </c>
      <c r="M151">
        <v>3.9</v>
      </c>
      <c r="N151">
        <v>0</v>
      </c>
      <c r="O151" t="str">
        <f>IF(financial_fraud_data[[#This Row],[Risk_Score]]&gt;8,"High",IF(financial_fraud_data[[#This Row],[Risk_Score]]&gt;5,"Med","Low"))</f>
        <v>Low</v>
      </c>
      <c r="P151" t="str">
        <f>TEXT(financial_fraud_data[[#This Row],[Transaction_Date]],"MMM")</f>
        <v>Jan</v>
      </c>
      <c r="Q151" t="str">
        <f>IF(financial_fraud_data[[#This Row],[Is_Fraud]]=1,"Yes","No")</f>
        <v>No</v>
      </c>
    </row>
    <row r="152" spans="1:17" x14ac:dyDescent="0.2">
      <c r="A152" t="s">
        <v>320</v>
      </c>
      <c r="B152" t="s">
        <v>219</v>
      </c>
      <c r="C152" s="1">
        <v>45298.25</v>
      </c>
      <c r="D152">
        <v>45417.88</v>
      </c>
      <c r="E152" t="s">
        <v>42</v>
      </c>
      <c r="F152" t="s">
        <v>47</v>
      </c>
      <c r="G152" t="s">
        <v>35</v>
      </c>
      <c r="H152" t="s">
        <v>29</v>
      </c>
      <c r="I152" t="s">
        <v>19</v>
      </c>
      <c r="J152" t="s">
        <v>51</v>
      </c>
      <c r="K152">
        <v>0</v>
      </c>
      <c r="L152">
        <v>0</v>
      </c>
      <c r="M152">
        <v>5.54</v>
      </c>
      <c r="N152">
        <v>1</v>
      </c>
      <c r="O152" t="str">
        <f>IF(financial_fraud_data[[#This Row],[Risk_Score]]&gt;8,"High",IF(financial_fraud_data[[#This Row],[Risk_Score]]&gt;5,"Med","Low"))</f>
        <v>Med</v>
      </c>
      <c r="P152" t="str">
        <f>TEXT(financial_fraud_data[[#This Row],[Transaction_Date]],"MMM")</f>
        <v>Jan</v>
      </c>
      <c r="Q152" t="str">
        <f>IF(financial_fraud_data[[#This Row],[Is_Fraud]]=1,"Yes","No")</f>
        <v>Yes</v>
      </c>
    </row>
    <row r="153" spans="1:17" x14ac:dyDescent="0.2">
      <c r="A153" t="s">
        <v>321</v>
      </c>
      <c r="B153" t="s">
        <v>322</v>
      </c>
      <c r="C153" s="1">
        <v>45298.291666666664</v>
      </c>
      <c r="D153">
        <v>12016.12</v>
      </c>
      <c r="E153" t="s">
        <v>80</v>
      </c>
      <c r="F153" t="s">
        <v>50</v>
      </c>
      <c r="G153" t="s">
        <v>18</v>
      </c>
      <c r="H153" t="s">
        <v>24</v>
      </c>
      <c r="I153" t="s">
        <v>24</v>
      </c>
      <c r="J153" t="s">
        <v>20</v>
      </c>
      <c r="K153">
        <v>0</v>
      </c>
      <c r="L153">
        <v>1</v>
      </c>
      <c r="M153">
        <v>2.7</v>
      </c>
      <c r="N153">
        <v>0</v>
      </c>
      <c r="O153" t="str">
        <f>IF(financial_fraud_data[[#This Row],[Risk_Score]]&gt;8,"High",IF(financial_fraud_data[[#This Row],[Risk_Score]]&gt;5,"Med","Low"))</f>
        <v>Low</v>
      </c>
      <c r="P153" t="str">
        <f>TEXT(financial_fraud_data[[#This Row],[Transaction_Date]],"MMM")</f>
        <v>Jan</v>
      </c>
      <c r="Q153" t="str">
        <f>IF(financial_fraud_data[[#This Row],[Is_Fraud]]=1,"Yes","No")</f>
        <v>No</v>
      </c>
    </row>
    <row r="154" spans="1:17" x14ac:dyDescent="0.2">
      <c r="A154" t="s">
        <v>323</v>
      </c>
      <c r="B154" t="s">
        <v>324</v>
      </c>
      <c r="C154" s="1">
        <v>45298.333333333336</v>
      </c>
      <c r="D154">
        <v>7287.5</v>
      </c>
      <c r="E154" t="s">
        <v>42</v>
      </c>
      <c r="F154" t="s">
        <v>47</v>
      </c>
      <c r="G154" t="s">
        <v>56</v>
      </c>
      <c r="H154" t="s">
        <v>19</v>
      </c>
      <c r="I154" t="s">
        <v>36</v>
      </c>
      <c r="J154" t="s">
        <v>51</v>
      </c>
      <c r="K154">
        <v>1</v>
      </c>
      <c r="L154">
        <v>2</v>
      </c>
      <c r="M154">
        <v>6.73</v>
      </c>
      <c r="N154">
        <v>1</v>
      </c>
      <c r="O154" t="str">
        <f>IF(financial_fraud_data[[#This Row],[Risk_Score]]&gt;8,"High",IF(financial_fraud_data[[#This Row],[Risk_Score]]&gt;5,"Med","Low"))</f>
        <v>Med</v>
      </c>
      <c r="P154" t="str">
        <f>TEXT(financial_fraud_data[[#This Row],[Transaction_Date]],"MMM")</f>
        <v>Jan</v>
      </c>
      <c r="Q154" t="str">
        <f>IF(financial_fraud_data[[#This Row],[Is_Fraud]]=1,"Yes","No")</f>
        <v>Yes</v>
      </c>
    </row>
    <row r="155" spans="1:17" x14ac:dyDescent="0.2">
      <c r="A155" t="s">
        <v>325</v>
      </c>
      <c r="B155" t="s">
        <v>62</v>
      </c>
      <c r="C155" s="1">
        <v>45298.375</v>
      </c>
      <c r="D155">
        <v>24498.17</v>
      </c>
      <c r="E155" t="s">
        <v>42</v>
      </c>
      <c r="F155" t="s">
        <v>17</v>
      </c>
      <c r="G155" t="s">
        <v>18</v>
      </c>
      <c r="H155" t="s">
        <v>19</v>
      </c>
      <c r="I155" t="s">
        <v>23</v>
      </c>
      <c r="J155" t="s">
        <v>37</v>
      </c>
      <c r="K155">
        <v>0</v>
      </c>
      <c r="L155">
        <v>3</v>
      </c>
      <c r="M155">
        <v>7.95</v>
      </c>
      <c r="N155">
        <v>1</v>
      </c>
      <c r="O155" t="str">
        <f>IF(financial_fraud_data[[#This Row],[Risk_Score]]&gt;8,"High",IF(financial_fraud_data[[#This Row],[Risk_Score]]&gt;5,"Med","Low"))</f>
        <v>Med</v>
      </c>
      <c r="P155" t="str">
        <f>TEXT(financial_fraud_data[[#This Row],[Transaction_Date]],"MMM")</f>
        <v>Jan</v>
      </c>
      <c r="Q155" t="str">
        <f>IF(financial_fraud_data[[#This Row],[Is_Fraud]]=1,"Yes","No")</f>
        <v>Yes</v>
      </c>
    </row>
    <row r="156" spans="1:17" x14ac:dyDescent="0.2">
      <c r="A156" t="s">
        <v>326</v>
      </c>
      <c r="B156" t="s">
        <v>265</v>
      </c>
      <c r="C156" s="1">
        <v>45298.416666666664</v>
      </c>
      <c r="D156">
        <v>49283.24</v>
      </c>
      <c r="E156" t="s">
        <v>42</v>
      </c>
      <c r="F156" t="s">
        <v>50</v>
      </c>
      <c r="G156" t="s">
        <v>65</v>
      </c>
      <c r="H156" t="s">
        <v>24</v>
      </c>
      <c r="I156" t="s">
        <v>24</v>
      </c>
      <c r="J156" t="s">
        <v>51</v>
      </c>
      <c r="K156">
        <v>0</v>
      </c>
      <c r="L156">
        <v>4</v>
      </c>
      <c r="M156">
        <v>10.93</v>
      </c>
      <c r="N156">
        <v>1</v>
      </c>
      <c r="O156" t="str">
        <f>IF(financial_fraud_data[[#This Row],[Risk_Score]]&gt;8,"High",IF(financial_fraud_data[[#This Row],[Risk_Score]]&gt;5,"Med","Low"))</f>
        <v>High</v>
      </c>
      <c r="P156" t="str">
        <f>TEXT(financial_fraud_data[[#This Row],[Transaction_Date]],"MMM")</f>
        <v>Jan</v>
      </c>
      <c r="Q156" t="str">
        <f>IF(financial_fraud_data[[#This Row],[Is_Fraud]]=1,"Yes","No")</f>
        <v>Yes</v>
      </c>
    </row>
    <row r="157" spans="1:17" x14ac:dyDescent="0.2">
      <c r="A157" t="s">
        <v>327</v>
      </c>
      <c r="B157" t="s">
        <v>328</v>
      </c>
      <c r="C157" s="1">
        <v>45298.458333333336</v>
      </c>
      <c r="D157">
        <v>12140.66</v>
      </c>
      <c r="E157" t="s">
        <v>16</v>
      </c>
      <c r="F157" t="s">
        <v>47</v>
      </c>
      <c r="G157" t="s">
        <v>28</v>
      </c>
      <c r="H157" t="s">
        <v>23</v>
      </c>
      <c r="I157" t="s">
        <v>19</v>
      </c>
      <c r="J157" t="s">
        <v>20</v>
      </c>
      <c r="K157">
        <v>0</v>
      </c>
      <c r="L157">
        <v>3</v>
      </c>
      <c r="M157">
        <v>6.71</v>
      </c>
      <c r="N157">
        <v>1</v>
      </c>
      <c r="O157" t="str">
        <f>IF(financial_fraud_data[[#This Row],[Risk_Score]]&gt;8,"High",IF(financial_fraud_data[[#This Row],[Risk_Score]]&gt;5,"Med","Low"))</f>
        <v>Med</v>
      </c>
      <c r="P157" t="str">
        <f>TEXT(financial_fraud_data[[#This Row],[Transaction_Date]],"MMM")</f>
        <v>Jan</v>
      </c>
      <c r="Q157" t="str">
        <f>IF(financial_fraud_data[[#This Row],[Is_Fraud]]=1,"Yes","No")</f>
        <v>Yes</v>
      </c>
    </row>
    <row r="158" spans="1:17" x14ac:dyDescent="0.2">
      <c r="A158" t="s">
        <v>329</v>
      </c>
      <c r="B158" t="s">
        <v>138</v>
      </c>
      <c r="C158" s="1">
        <v>45298.5</v>
      </c>
      <c r="D158">
        <v>33623.17</v>
      </c>
      <c r="E158" t="s">
        <v>42</v>
      </c>
      <c r="F158" t="s">
        <v>50</v>
      </c>
      <c r="G158" t="s">
        <v>56</v>
      </c>
      <c r="H158" t="s">
        <v>29</v>
      </c>
      <c r="I158" t="s">
        <v>19</v>
      </c>
      <c r="J158" t="s">
        <v>37</v>
      </c>
      <c r="K158">
        <v>0</v>
      </c>
      <c r="L158">
        <v>3</v>
      </c>
      <c r="M158">
        <v>8.86</v>
      </c>
      <c r="N158">
        <v>1</v>
      </c>
      <c r="O158" t="str">
        <f>IF(financial_fraud_data[[#This Row],[Risk_Score]]&gt;8,"High",IF(financial_fraud_data[[#This Row],[Risk_Score]]&gt;5,"Med","Low"))</f>
        <v>High</v>
      </c>
      <c r="P158" t="str">
        <f>TEXT(financial_fraud_data[[#This Row],[Transaction_Date]],"MMM")</f>
        <v>Jan</v>
      </c>
      <c r="Q158" t="str">
        <f>IF(financial_fraud_data[[#This Row],[Is_Fraud]]=1,"Yes","No")</f>
        <v>Yes</v>
      </c>
    </row>
    <row r="159" spans="1:17" x14ac:dyDescent="0.2">
      <c r="A159" t="s">
        <v>330</v>
      </c>
      <c r="B159" t="s">
        <v>331</v>
      </c>
      <c r="C159" s="1">
        <v>45298.541666666664</v>
      </c>
      <c r="D159">
        <v>38092.9</v>
      </c>
      <c r="E159" t="s">
        <v>16</v>
      </c>
      <c r="F159" t="s">
        <v>27</v>
      </c>
      <c r="G159" t="s">
        <v>35</v>
      </c>
      <c r="H159" t="s">
        <v>19</v>
      </c>
      <c r="I159" t="s">
        <v>23</v>
      </c>
      <c r="J159" t="s">
        <v>51</v>
      </c>
      <c r="K159">
        <v>0</v>
      </c>
      <c r="L159">
        <v>4</v>
      </c>
      <c r="M159">
        <v>10.81</v>
      </c>
      <c r="N159">
        <v>1</v>
      </c>
      <c r="O159" t="str">
        <f>IF(financial_fraud_data[[#This Row],[Risk_Score]]&gt;8,"High",IF(financial_fraud_data[[#This Row],[Risk_Score]]&gt;5,"Med","Low"))</f>
        <v>High</v>
      </c>
      <c r="P159" t="str">
        <f>TEXT(financial_fraud_data[[#This Row],[Transaction_Date]],"MMM")</f>
        <v>Jan</v>
      </c>
      <c r="Q159" t="str">
        <f>IF(financial_fraud_data[[#This Row],[Is_Fraud]]=1,"Yes","No")</f>
        <v>Yes</v>
      </c>
    </row>
    <row r="160" spans="1:17" x14ac:dyDescent="0.2">
      <c r="A160" t="s">
        <v>332</v>
      </c>
      <c r="B160" t="s">
        <v>333</v>
      </c>
      <c r="C160" s="1">
        <v>45298.583333333336</v>
      </c>
      <c r="D160">
        <v>11920</v>
      </c>
      <c r="E160" t="s">
        <v>42</v>
      </c>
      <c r="F160" t="s">
        <v>50</v>
      </c>
      <c r="G160" t="s">
        <v>65</v>
      </c>
      <c r="H160" t="s">
        <v>29</v>
      </c>
      <c r="I160" t="s">
        <v>19</v>
      </c>
      <c r="J160" t="s">
        <v>51</v>
      </c>
      <c r="K160">
        <v>1</v>
      </c>
      <c r="L160">
        <v>1</v>
      </c>
      <c r="M160">
        <v>5.69</v>
      </c>
      <c r="N160">
        <v>1</v>
      </c>
      <c r="O160" t="str">
        <f>IF(financial_fraud_data[[#This Row],[Risk_Score]]&gt;8,"High",IF(financial_fraud_data[[#This Row],[Risk_Score]]&gt;5,"Med","Low"))</f>
        <v>Med</v>
      </c>
      <c r="P160" t="str">
        <f>TEXT(financial_fraud_data[[#This Row],[Transaction_Date]],"MMM")</f>
        <v>Jan</v>
      </c>
      <c r="Q160" t="str">
        <f>IF(financial_fraud_data[[#This Row],[Is_Fraud]]=1,"Yes","No")</f>
        <v>Yes</v>
      </c>
    </row>
    <row r="161" spans="1:17" x14ac:dyDescent="0.2">
      <c r="A161" t="s">
        <v>334</v>
      </c>
      <c r="B161" t="s">
        <v>335</v>
      </c>
      <c r="C161" s="1">
        <v>45298.625</v>
      </c>
      <c r="D161">
        <v>36424.410000000003</v>
      </c>
      <c r="E161" t="s">
        <v>42</v>
      </c>
      <c r="F161" t="s">
        <v>50</v>
      </c>
      <c r="G161" t="s">
        <v>56</v>
      </c>
      <c r="H161" t="s">
        <v>24</v>
      </c>
      <c r="I161" t="s">
        <v>19</v>
      </c>
      <c r="J161" t="s">
        <v>51</v>
      </c>
      <c r="K161">
        <v>0</v>
      </c>
      <c r="L161">
        <v>0</v>
      </c>
      <c r="M161">
        <v>4.6399999999999997</v>
      </c>
      <c r="N161">
        <v>0</v>
      </c>
      <c r="O161" t="str">
        <f>IF(financial_fraud_data[[#This Row],[Risk_Score]]&gt;8,"High",IF(financial_fraud_data[[#This Row],[Risk_Score]]&gt;5,"Med","Low"))</f>
        <v>Low</v>
      </c>
      <c r="P161" t="str">
        <f>TEXT(financial_fraud_data[[#This Row],[Transaction_Date]],"MMM")</f>
        <v>Jan</v>
      </c>
      <c r="Q161" t="str">
        <f>IF(financial_fraud_data[[#This Row],[Is_Fraud]]=1,"Yes","No")</f>
        <v>No</v>
      </c>
    </row>
    <row r="162" spans="1:17" x14ac:dyDescent="0.2">
      <c r="A162" t="s">
        <v>336</v>
      </c>
      <c r="B162" t="s">
        <v>337</v>
      </c>
      <c r="C162" s="1">
        <v>45298.666666666664</v>
      </c>
      <c r="D162">
        <v>18420.77</v>
      </c>
      <c r="E162" t="s">
        <v>80</v>
      </c>
      <c r="F162" t="s">
        <v>27</v>
      </c>
      <c r="G162" t="s">
        <v>65</v>
      </c>
      <c r="H162" t="s">
        <v>29</v>
      </c>
      <c r="I162" t="s">
        <v>29</v>
      </c>
      <c r="J162" t="s">
        <v>37</v>
      </c>
      <c r="K162">
        <v>1</v>
      </c>
      <c r="L162">
        <v>3</v>
      </c>
      <c r="M162">
        <v>8.34</v>
      </c>
      <c r="N162">
        <v>1</v>
      </c>
      <c r="O162" t="str">
        <f>IF(financial_fraud_data[[#This Row],[Risk_Score]]&gt;8,"High",IF(financial_fraud_data[[#This Row],[Risk_Score]]&gt;5,"Med","Low"))</f>
        <v>High</v>
      </c>
      <c r="P162" t="str">
        <f>TEXT(financial_fraud_data[[#This Row],[Transaction_Date]],"MMM")</f>
        <v>Jan</v>
      </c>
      <c r="Q162" t="str">
        <f>IF(financial_fraud_data[[#This Row],[Is_Fraud]]=1,"Yes","No")</f>
        <v>Yes</v>
      </c>
    </row>
    <row r="163" spans="1:17" x14ac:dyDescent="0.2">
      <c r="A163" t="s">
        <v>338</v>
      </c>
      <c r="B163" t="s">
        <v>339</v>
      </c>
      <c r="C163" s="1">
        <v>45298.708333333336</v>
      </c>
      <c r="D163">
        <v>31633.68</v>
      </c>
      <c r="E163" t="s">
        <v>16</v>
      </c>
      <c r="F163" t="s">
        <v>17</v>
      </c>
      <c r="G163" t="s">
        <v>35</v>
      </c>
      <c r="H163" t="s">
        <v>24</v>
      </c>
      <c r="I163" t="s">
        <v>36</v>
      </c>
      <c r="J163" t="s">
        <v>51</v>
      </c>
      <c r="K163">
        <v>0</v>
      </c>
      <c r="L163">
        <v>0</v>
      </c>
      <c r="M163">
        <v>4.16</v>
      </c>
      <c r="N163">
        <v>0</v>
      </c>
      <c r="O163" t="str">
        <f>IF(financial_fraud_data[[#This Row],[Risk_Score]]&gt;8,"High",IF(financial_fraud_data[[#This Row],[Risk_Score]]&gt;5,"Med","Low"))</f>
        <v>Low</v>
      </c>
      <c r="P163" t="str">
        <f>TEXT(financial_fraud_data[[#This Row],[Transaction_Date]],"MMM")</f>
        <v>Jan</v>
      </c>
      <c r="Q163" t="str">
        <f>IF(financial_fraud_data[[#This Row],[Is_Fraud]]=1,"Yes","No")</f>
        <v>No</v>
      </c>
    </row>
    <row r="164" spans="1:17" x14ac:dyDescent="0.2">
      <c r="A164" t="s">
        <v>340</v>
      </c>
      <c r="B164" t="s">
        <v>341</v>
      </c>
      <c r="C164" s="1">
        <v>45298.75</v>
      </c>
      <c r="D164">
        <v>31694.81</v>
      </c>
      <c r="E164" t="s">
        <v>42</v>
      </c>
      <c r="F164" t="s">
        <v>47</v>
      </c>
      <c r="G164" t="s">
        <v>56</v>
      </c>
      <c r="H164" t="s">
        <v>23</v>
      </c>
      <c r="I164" t="s">
        <v>19</v>
      </c>
      <c r="J164" t="s">
        <v>20</v>
      </c>
      <c r="K164">
        <v>0</v>
      </c>
      <c r="L164">
        <v>2</v>
      </c>
      <c r="M164">
        <v>7.17</v>
      </c>
      <c r="N164">
        <v>1</v>
      </c>
      <c r="O164" t="str">
        <f>IF(financial_fraud_data[[#This Row],[Risk_Score]]&gt;8,"High",IF(financial_fraud_data[[#This Row],[Risk_Score]]&gt;5,"Med","Low"))</f>
        <v>Med</v>
      </c>
      <c r="P164" t="str">
        <f>TEXT(financial_fraud_data[[#This Row],[Transaction_Date]],"MMM")</f>
        <v>Jan</v>
      </c>
      <c r="Q164" t="str">
        <f>IF(financial_fraud_data[[#This Row],[Is_Fraud]]=1,"Yes","No")</f>
        <v>Yes</v>
      </c>
    </row>
    <row r="165" spans="1:17" x14ac:dyDescent="0.2">
      <c r="A165" t="s">
        <v>342</v>
      </c>
      <c r="B165" t="s">
        <v>343</v>
      </c>
      <c r="C165" s="1">
        <v>45298.791666666664</v>
      </c>
      <c r="D165">
        <v>26811.95</v>
      </c>
      <c r="E165" t="s">
        <v>16</v>
      </c>
      <c r="F165" t="s">
        <v>27</v>
      </c>
      <c r="G165" t="s">
        <v>35</v>
      </c>
      <c r="H165" t="s">
        <v>24</v>
      </c>
      <c r="I165" t="s">
        <v>29</v>
      </c>
      <c r="J165" t="s">
        <v>37</v>
      </c>
      <c r="K165">
        <v>0</v>
      </c>
      <c r="L165">
        <v>3</v>
      </c>
      <c r="M165">
        <v>8.18</v>
      </c>
      <c r="N165">
        <v>1</v>
      </c>
      <c r="O165" t="str">
        <f>IF(financial_fraud_data[[#This Row],[Risk_Score]]&gt;8,"High",IF(financial_fraud_data[[#This Row],[Risk_Score]]&gt;5,"Med","Low"))</f>
        <v>High</v>
      </c>
      <c r="P165" t="str">
        <f>TEXT(financial_fraud_data[[#This Row],[Transaction_Date]],"MMM")</f>
        <v>Jan</v>
      </c>
      <c r="Q165" t="str">
        <f>IF(financial_fraud_data[[#This Row],[Is_Fraud]]=1,"Yes","No")</f>
        <v>Yes</v>
      </c>
    </row>
    <row r="166" spans="1:17" x14ac:dyDescent="0.2">
      <c r="A166" t="s">
        <v>344</v>
      </c>
      <c r="B166" t="s">
        <v>345</v>
      </c>
      <c r="C166" s="1">
        <v>45298.833333333336</v>
      </c>
      <c r="D166">
        <v>4559.97</v>
      </c>
      <c r="E166" t="s">
        <v>16</v>
      </c>
      <c r="F166" t="s">
        <v>50</v>
      </c>
      <c r="G166" t="s">
        <v>18</v>
      </c>
      <c r="H166" t="s">
        <v>24</v>
      </c>
      <c r="I166" t="s">
        <v>24</v>
      </c>
      <c r="J166" t="s">
        <v>37</v>
      </c>
      <c r="K166">
        <v>0</v>
      </c>
      <c r="L166">
        <v>2</v>
      </c>
      <c r="M166">
        <v>3.46</v>
      </c>
      <c r="N166">
        <v>0</v>
      </c>
      <c r="O166" t="str">
        <f>IF(financial_fraud_data[[#This Row],[Risk_Score]]&gt;8,"High",IF(financial_fraud_data[[#This Row],[Risk_Score]]&gt;5,"Med","Low"))</f>
        <v>Low</v>
      </c>
      <c r="P166" t="str">
        <f>TEXT(financial_fraud_data[[#This Row],[Transaction_Date]],"MMM")</f>
        <v>Jan</v>
      </c>
      <c r="Q166" t="str">
        <f>IF(financial_fraud_data[[#This Row],[Is_Fraud]]=1,"Yes","No")</f>
        <v>No</v>
      </c>
    </row>
    <row r="167" spans="1:17" x14ac:dyDescent="0.2">
      <c r="A167" t="s">
        <v>346</v>
      </c>
      <c r="B167" t="s">
        <v>347</v>
      </c>
      <c r="C167" s="1">
        <v>45298.875</v>
      </c>
      <c r="D167">
        <v>41773.360000000001</v>
      </c>
      <c r="E167" t="s">
        <v>34</v>
      </c>
      <c r="F167" t="s">
        <v>47</v>
      </c>
      <c r="G167" t="s">
        <v>35</v>
      </c>
      <c r="H167" t="s">
        <v>19</v>
      </c>
      <c r="I167" t="s">
        <v>19</v>
      </c>
      <c r="J167" t="s">
        <v>51</v>
      </c>
      <c r="K167">
        <v>0</v>
      </c>
      <c r="L167">
        <v>1</v>
      </c>
      <c r="M167">
        <v>5.68</v>
      </c>
      <c r="N167">
        <v>1</v>
      </c>
      <c r="O167" t="str">
        <f>IF(financial_fraud_data[[#This Row],[Risk_Score]]&gt;8,"High",IF(financial_fraud_data[[#This Row],[Risk_Score]]&gt;5,"Med","Low"))</f>
        <v>Med</v>
      </c>
      <c r="P167" t="str">
        <f>TEXT(financial_fraud_data[[#This Row],[Transaction_Date]],"MMM")</f>
        <v>Jan</v>
      </c>
      <c r="Q167" t="str">
        <f>IF(financial_fraud_data[[#This Row],[Is_Fraud]]=1,"Yes","No")</f>
        <v>Yes</v>
      </c>
    </row>
    <row r="168" spans="1:17" x14ac:dyDescent="0.2">
      <c r="A168" t="s">
        <v>348</v>
      </c>
      <c r="B168" t="s">
        <v>349</v>
      </c>
      <c r="C168" s="1">
        <v>45298.916666666664</v>
      </c>
      <c r="D168">
        <v>16072.96</v>
      </c>
      <c r="E168" t="s">
        <v>80</v>
      </c>
      <c r="F168" t="s">
        <v>27</v>
      </c>
      <c r="G168" t="s">
        <v>18</v>
      </c>
      <c r="H168" t="s">
        <v>29</v>
      </c>
      <c r="I168" t="s">
        <v>24</v>
      </c>
      <c r="J168" t="s">
        <v>20</v>
      </c>
      <c r="K168">
        <v>0</v>
      </c>
      <c r="L168">
        <v>3</v>
      </c>
      <c r="M168">
        <v>7.11</v>
      </c>
      <c r="N168">
        <v>1</v>
      </c>
      <c r="O168" t="str">
        <f>IF(financial_fraud_data[[#This Row],[Risk_Score]]&gt;8,"High",IF(financial_fraud_data[[#This Row],[Risk_Score]]&gt;5,"Med","Low"))</f>
        <v>Med</v>
      </c>
      <c r="P168" t="str">
        <f>TEXT(financial_fraud_data[[#This Row],[Transaction_Date]],"MMM")</f>
        <v>Jan</v>
      </c>
      <c r="Q168" t="str">
        <f>IF(financial_fraud_data[[#This Row],[Is_Fraud]]=1,"Yes","No")</f>
        <v>Yes</v>
      </c>
    </row>
    <row r="169" spans="1:17" x14ac:dyDescent="0.2">
      <c r="A169" t="s">
        <v>350</v>
      </c>
      <c r="B169" t="s">
        <v>90</v>
      </c>
      <c r="C169" s="1">
        <v>45298.958333333336</v>
      </c>
      <c r="D169">
        <v>9366.6</v>
      </c>
      <c r="E169" t="s">
        <v>80</v>
      </c>
      <c r="F169" t="s">
        <v>47</v>
      </c>
      <c r="G169" t="s">
        <v>56</v>
      </c>
      <c r="H169" t="s">
        <v>19</v>
      </c>
      <c r="I169" t="s">
        <v>19</v>
      </c>
      <c r="J169" t="s">
        <v>37</v>
      </c>
      <c r="K169">
        <v>0</v>
      </c>
      <c r="L169">
        <v>2</v>
      </c>
      <c r="M169">
        <v>3.94</v>
      </c>
      <c r="N169">
        <v>0</v>
      </c>
      <c r="O169" t="str">
        <f>IF(financial_fraud_data[[#This Row],[Risk_Score]]&gt;8,"High",IF(financial_fraud_data[[#This Row],[Risk_Score]]&gt;5,"Med","Low"))</f>
        <v>Low</v>
      </c>
      <c r="P169" t="str">
        <f>TEXT(financial_fraud_data[[#This Row],[Transaction_Date]],"MMM")</f>
        <v>Jan</v>
      </c>
      <c r="Q169" t="str">
        <f>IF(financial_fraud_data[[#This Row],[Is_Fraud]]=1,"Yes","No")</f>
        <v>No</v>
      </c>
    </row>
    <row r="170" spans="1:17" x14ac:dyDescent="0.2">
      <c r="A170" t="s">
        <v>351</v>
      </c>
      <c r="B170" t="s">
        <v>352</v>
      </c>
      <c r="C170" s="1">
        <v>45299</v>
      </c>
      <c r="D170">
        <v>2086.7199999999998</v>
      </c>
      <c r="E170" t="s">
        <v>80</v>
      </c>
      <c r="F170" t="s">
        <v>47</v>
      </c>
      <c r="G170" t="s">
        <v>18</v>
      </c>
      <c r="H170" t="s">
        <v>36</v>
      </c>
      <c r="I170" t="s">
        <v>23</v>
      </c>
      <c r="J170" t="s">
        <v>51</v>
      </c>
      <c r="K170">
        <v>0</v>
      </c>
      <c r="L170">
        <v>2</v>
      </c>
      <c r="M170">
        <v>4.21</v>
      </c>
      <c r="N170">
        <v>0</v>
      </c>
      <c r="O170" t="str">
        <f>IF(financial_fraud_data[[#This Row],[Risk_Score]]&gt;8,"High",IF(financial_fraud_data[[#This Row],[Risk_Score]]&gt;5,"Med","Low"))</f>
        <v>Low</v>
      </c>
      <c r="P170" t="str">
        <f>TEXT(financial_fraud_data[[#This Row],[Transaction_Date]],"MMM")</f>
        <v>Jan</v>
      </c>
      <c r="Q170" t="str">
        <f>IF(financial_fraud_data[[#This Row],[Is_Fraud]]=1,"Yes","No")</f>
        <v>No</v>
      </c>
    </row>
    <row r="171" spans="1:17" x14ac:dyDescent="0.2">
      <c r="A171" t="s">
        <v>353</v>
      </c>
      <c r="B171" t="s">
        <v>354</v>
      </c>
      <c r="C171" s="1">
        <v>45299.041666666664</v>
      </c>
      <c r="D171">
        <v>29565.1</v>
      </c>
      <c r="E171" t="s">
        <v>34</v>
      </c>
      <c r="F171" t="s">
        <v>27</v>
      </c>
      <c r="G171" t="s">
        <v>56</v>
      </c>
      <c r="H171" t="s">
        <v>24</v>
      </c>
      <c r="I171" t="s">
        <v>29</v>
      </c>
      <c r="J171" t="s">
        <v>20</v>
      </c>
      <c r="K171">
        <v>0</v>
      </c>
      <c r="L171">
        <v>1</v>
      </c>
      <c r="M171">
        <v>5.46</v>
      </c>
      <c r="N171">
        <v>1</v>
      </c>
      <c r="O171" t="str">
        <f>IF(financial_fraud_data[[#This Row],[Risk_Score]]&gt;8,"High",IF(financial_fraud_data[[#This Row],[Risk_Score]]&gt;5,"Med","Low"))</f>
        <v>Med</v>
      </c>
      <c r="P171" t="str">
        <f>TEXT(financial_fraud_data[[#This Row],[Transaction_Date]],"MMM")</f>
        <v>Jan</v>
      </c>
      <c r="Q171" t="str">
        <f>IF(financial_fraud_data[[#This Row],[Is_Fraud]]=1,"Yes","No")</f>
        <v>Yes</v>
      </c>
    </row>
    <row r="172" spans="1:17" x14ac:dyDescent="0.2">
      <c r="A172" t="s">
        <v>355</v>
      </c>
      <c r="B172" t="s">
        <v>356</v>
      </c>
      <c r="C172" s="1">
        <v>45299.083333333336</v>
      </c>
      <c r="D172">
        <v>33894.339999999997</v>
      </c>
      <c r="E172" t="s">
        <v>34</v>
      </c>
      <c r="F172" t="s">
        <v>47</v>
      </c>
      <c r="G172" t="s">
        <v>56</v>
      </c>
      <c r="H172" t="s">
        <v>36</v>
      </c>
      <c r="I172" t="s">
        <v>29</v>
      </c>
      <c r="J172" t="s">
        <v>51</v>
      </c>
      <c r="K172">
        <v>0</v>
      </c>
      <c r="L172">
        <v>0</v>
      </c>
      <c r="M172">
        <v>4.3899999999999997</v>
      </c>
      <c r="N172">
        <v>0</v>
      </c>
      <c r="O172" t="str">
        <f>IF(financial_fraud_data[[#This Row],[Risk_Score]]&gt;8,"High",IF(financial_fraud_data[[#This Row],[Risk_Score]]&gt;5,"Med","Low"))</f>
        <v>Low</v>
      </c>
      <c r="P172" t="str">
        <f>TEXT(financial_fraud_data[[#This Row],[Transaction_Date]],"MMM")</f>
        <v>Jan</v>
      </c>
      <c r="Q172" t="str">
        <f>IF(financial_fraud_data[[#This Row],[Is_Fraud]]=1,"Yes","No")</f>
        <v>No</v>
      </c>
    </row>
    <row r="173" spans="1:17" x14ac:dyDescent="0.2">
      <c r="A173" t="s">
        <v>357</v>
      </c>
      <c r="B173" t="s">
        <v>265</v>
      </c>
      <c r="C173" s="1">
        <v>45299.125</v>
      </c>
      <c r="D173">
        <v>878.56</v>
      </c>
      <c r="E173" t="s">
        <v>80</v>
      </c>
      <c r="F173" t="s">
        <v>17</v>
      </c>
      <c r="G173" t="s">
        <v>28</v>
      </c>
      <c r="H173" t="s">
        <v>19</v>
      </c>
      <c r="I173" t="s">
        <v>23</v>
      </c>
      <c r="J173" t="s">
        <v>51</v>
      </c>
      <c r="K173">
        <v>0</v>
      </c>
      <c r="L173">
        <v>0</v>
      </c>
      <c r="M173">
        <v>1.0900000000000001</v>
      </c>
      <c r="N173">
        <v>0</v>
      </c>
      <c r="O173" t="str">
        <f>IF(financial_fraud_data[[#This Row],[Risk_Score]]&gt;8,"High",IF(financial_fraud_data[[#This Row],[Risk_Score]]&gt;5,"Med","Low"))</f>
        <v>Low</v>
      </c>
      <c r="P173" t="str">
        <f>TEXT(financial_fraud_data[[#This Row],[Transaction_Date]],"MMM")</f>
        <v>Jan</v>
      </c>
      <c r="Q173" t="str">
        <f>IF(financial_fraud_data[[#This Row],[Is_Fraud]]=1,"Yes","No")</f>
        <v>No</v>
      </c>
    </row>
    <row r="174" spans="1:17" x14ac:dyDescent="0.2">
      <c r="A174" t="s">
        <v>358</v>
      </c>
      <c r="B174" t="s">
        <v>359</v>
      </c>
      <c r="C174" s="1">
        <v>45299.166666666664</v>
      </c>
      <c r="D174">
        <v>25629.05</v>
      </c>
      <c r="E174" t="s">
        <v>34</v>
      </c>
      <c r="F174" t="s">
        <v>27</v>
      </c>
      <c r="G174" t="s">
        <v>56</v>
      </c>
      <c r="H174" t="s">
        <v>29</v>
      </c>
      <c r="I174" t="s">
        <v>36</v>
      </c>
      <c r="J174" t="s">
        <v>37</v>
      </c>
      <c r="K174">
        <v>0</v>
      </c>
      <c r="L174">
        <v>3</v>
      </c>
      <c r="M174">
        <v>8.06</v>
      </c>
      <c r="N174">
        <v>1</v>
      </c>
      <c r="O174" t="str">
        <f>IF(financial_fraud_data[[#This Row],[Risk_Score]]&gt;8,"High",IF(financial_fraud_data[[#This Row],[Risk_Score]]&gt;5,"Med","Low"))</f>
        <v>High</v>
      </c>
      <c r="P174" t="str">
        <f>TEXT(financial_fraud_data[[#This Row],[Transaction_Date]],"MMM")</f>
        <v>Jan</v>
      </c>
      <c r="Q174" t="str">
        <f>IF(financial_fraud_data[[#This Row],[Is_Fraud]]=1,"Yes","No")</f>
        <v>Yes</v>
      </c>
    </row>
    <row r="175" spans="1:17" x14ac:dyDescent="0.2">
      <c r="A175" t="s">
        <v>360</v>
      </c>
      <c r="B175" t="s">
        <v>361</v>
      </c>
      <c r="C175" s="1">
        <v>45299.208333333336</v>
      </c>
      <c r="D175">
        <v>11363.46</v>
      </c>
      <c r="E175" t="s">
        <v>34</v>
      </c>
      <c r="F175" t="s">
        <v>17</v>
      </c>
      <c r="G175" t="s">
        <v>18</v>
      </c>
      <c r="H175" t="s">
        <v>19</v>
      </c>
      <c r="I175" t="s">
        <v>29</v>
      </c>
      <c r="J175" t="s">
        <v>37</v>
      </c>
      <c r="K175">
        <v>0</v>
      </c>
      <c r="L175">
        <v>1</v>
      </c>
      <c r="M175">
        <v>3.64</v>
      </c>
      <c r="N175">
        <v>0</v>
      </c>
      <c r="O175" t="str">
        <f>IF(financial_fraud_data[[#This Row],[Risk_Score]]&gt;8,"High",IF(financial_fraud_data[[#This Row],[Risk_Score]]&gt;5,"Med","Low"))</f>
        <v>Low</v>
      </c>
      <c r="P175" t="str">
        <f>TEXT(financial_fraud_data[[#This Row],[Transaction_Date]],"MMM")</f>
        <v>Jan</v>
      </c>
      <c r="Q175" t="str">
        <f>IF(financial_fraud_data[[#This Row],[Is_Fraud]]=1,"Yes","No")</f>
        <v>No</v>
      </c>
    </row>
    <row r="176" spans="1:17" x14ac:dyDescent="0.2">
      <c r="A176" t="s">
        <v>362</v>
      </c>
      <c r="B176" t="s">
        <v>186</v>
      </c>
      <c r="C176" s="1">
        <v>45299.25</v>
      </c>
      <c r="D176">
        <v>32276.38</v>
      </c>
      <c r="E176" t="s">
        <v>34</v>
      </c>
      <c r="F176" t="s">
        <v>50</v>
      </c>
      <c r="G176" t="s">
        <v>28</v>
      </c>
      <c r="H176" t="s">
        <v>29</v>
      </c>
      <c r="I176" t="s">
        <v>24</v>
      </c>
      <c r="J176" t="s">
        <v>51</v>
      </c>
      <c r="K176">
        <v>0</v>
      </c>
      <c r="L176">
        <v>3</v>
      </c>
      <c r="M176">
        <v>8.73</v>
      </c>
      <c r="N176">
        <v>1</v>
      </c>
      <c r="O176" t="str">
        <f>IF(financial_fraud_data[[#This Row],[Risk_Score]]&gt;8,"High",IF(financial_fraud_data[[#This Row],[Risk_Score]]&gt;5,"Med","Low"))</f>
        <v>High</v>
      </c>
      <c r="P176" t="str">
        <f>TEXT(financial_fraud_data[[#This Row],[Transaction_Date]],"MMM")</f>
        <v>Jan</v>
      </c>
      <c r="Q176" t="str">
        <f>IF(financial_fraud_data[[#This Row],[Is_Fraud]]=1,"Yes","No")</f>
        <v>Yes</v>
      </c>
    </row>
    <row r="177" spans="1:17" x14ac:dyDescent="0.2">
      <c r="A177" t="s">
        <v>363</v>
      </c>
      <c r="B177" t="s">
        <v>217</v>
      </c>
      <c r="C177" s="1">
        <v>45299.291666666664</v>
      </c>
      <c r="D177">
        <v>8759.6</v>
      </c>
      <c r="E177" t="s">
        <v>80</v>
      </c>
      <c r="F177" t="s">
        <v>47</v>
      </c>
      <c r="G177" t="s">
        <v>28</v>
      </c>
      <c r="H177" t="s">
        <v>29</v>
      </c>
      <c r="I177" t="s">
        <v>29</v>
      </c>
      <c r="J177" t="s">
        <v>37</v>
      </c>
      <c r="K177">
        <v>0</v>
      </c>
      <c r="L177">
        <v>0</v>
      </c>
      <c r="M177">
        <v>0.88</v>
      </c>
      <c r="N177">
        <v>0</v>
      </c>
      <c r="O177" t="str">
        <f>IF(financial_fraud_data[[#This Row],[Risk_Score]]&gt;8,"High",IF(financial_fraud_data[[#This Row],[Risk_Score]]&gt;5,"Med","Low"))</f>
        <v>Low</v>
      </c>
      <c r="P177" t="str">
        <f>TEXT(financial_fraud_data[[#This Row],[Transaction_Date]],"MMM")</f>
        <v>Jan</v>
      </c>
      <c r="Q177" t="str">
        <f>IF(financial_fraud_data[[#This Row],[Is_Fraud]]=1,"Yes","No")</f>
        <v>No</v>
      </c>
    </row>
    <row r="178" spans="1:17" x14ac:dyDescent="0.2">
      <c r="A178" t="s">
        <v>364</v>
      </c>
      <c r="B178" t="s">
        <v>365</v>
      </c>
      <c r="C178" s="1">
        <v>45299.333333333336</v>
      </c>
      <c r="D178">
        <v>34562.339999999997</v>
      </c>
      <c r="E178" t="s">
        <v>80</v>
      </c>
      <c r="F178" t="s">
        <v>50</v>
      </c>
      <c r="G178" t="s">
        <v>56</v>
      </c>
      <c r="H178" t="s">
        <v>23</v>
      </c>
      <c r="I178" t="s">
        <v>36</v>
      </c>
      <c r="J178" t="s">
        <v>37</v>
      </c>
      <c r="K178">
        <v>0</v>
      </c>
      <c r="L178">
        <v>1</v>
      </c>
      <c r="M178">
        <v>5.96</v>
      </c>
      <c r="N178">
        <v>1</v>
      </c>
      <c r="O178" t="str">
        <f>IF(financial_fraud_data[[#This Row],[Risk_Score]]&gt;8,"High",IF(financial_fraud_data[[#This Row],[Risk_Score]]&gt;5,"Med","Low"))</f>
        <v>Med</v>
      </c>
      <c r="P178" t="str">
        <f>TEXT(financial_fraud_data[[#This Row],[Transaction_Date]],"MMM")</f>
        <v>Jan</v>
      </c>
      <c r="Q178" t="str">
        <f>IF(financial_fraud_data[[#This Row],[Is_Fraud]]=1,"Yes","No")</f>
        <v>Yes</v>
      </c>
    </row>
    <row r="179" spans="1:17" x14ac:dyDescent="0.2">
      <c r="A179" t="s">
        <v>366</v>
      </c>
      <c r="B179" t="s">
        <v>367</v>
      </c>
      <c r="C179" s="1">
        <v>45299.375</v>
      </c>
      <c r="D179">
        <v>19367.43</v>
      </c>
      <c r="E179" t="s">
        <v>80</v>
      </c>
      <c r="F179" t="s">
        <v>50</v>
      </c>
      <c r="G179" t="s">
        <v>35</v>
      </c>
      <c r="H179" t="s">
        <v>24</v>
      </c>
      <c r="I179" t="s">
        <v>24</v>
      </c>
      <c r="J179" t="s">
        <v>20</v>
      </c>
      <c r="K179">
        <v>0</v>
      </c>
      <c r="L179">
        <v>4</v>
      </c>
      <c r="M179">
        <v>7.94</v>
      </c>
      <c r="N179">
        <v>1</v>
      </c>
      <c r="O179" t="str">
        <f>IF(financial_fraud_data[[#This Row],[Risk_Score]]&gt;8,"High",IF(financial_fraud_data[[#This Row],[Risk_Score]]&gt;5,"Med","Low"))</f>
        <v>Med</v>
      </c>
      <c r="P179" t="str">
        <f>TEXT(financial_fraud_data[[#This Row],[Transaction_Date]],"MMM")</f>
        <v>Jan</v>
      </c>
      <c r="Q179" t="str">
        <f>IF(financial_fraud_data[[#This Row],[Is_Fraud]]=1,"Yes","No")</f>
        <v>Yes</v>
      </c>
    </row>
    <row r="180" spans="1:17" x14ac:dyDescent="0.2">
      <c r="A180" t="s">
        <v>368</v>
      </c>
      <c r="B180" t="s">
        <v>369</v>
      </c>
      <c r="C180" s="1">
        <v>45299.416666666664</v>
      </c>
      <c r="D180">
        <v>46839.66</v>
      </c>
      <c r="E180" t="s">
        <v>34</v>
      </c>
      <c r="F180" t="s">
        <v>47</v>
      </c>
      <c r="G180" t="s">
        <v>35</v>
      </c>
      <c r="H180" t="s">
        <v>19</v>
      </c>
      <c r="I180" t="s">
        <v>24</v>
      </c>
      <c r="J180" t="s">
        <v>20</v>
      </c>
      <c r="K180">
        <v>0</v>
      </c>
      <c r="L180">
        <v>1</v>
      </c>
      <c r="M180">
        <v>7.18</v>
      </c>
      <c r="N180">
        <v>1</v>
      </c>
      <c r="O180" t="str">
        <f>IF(financial_fraud_data[[#This Row],[Risk_Score]]&gt;8,"High",IF(financial_fraud_data[[#This Row],[Risk_Score]]&gt;5,"Med","Low"))</f>
        <v>Med</v>
      </c>
      <c r="P180" t="str">
        <f>TEXT(financial_fraud_data[[#This Row],[Transaction_Date]],"MMM")</f>
        <v>Jan</v>
      </c>
      <c r="Q180" t="str">
        <f>IF(financial_fraud_data[[#This Row],[Is_Fraud]]=1,"Yes","No")</f>
        <v>Yes</v>
      </c>
    </row>
    <row r="181" spans="1:17" x14ac:dyDescent="0.2">
      <c r="A181" t="s">
        <v>370</v>
      </c>
      <c r="B181" t="s">
        <v>108</v>
      </c>
      <c r="C181" s="1">
        <v>45299.458333333336</v>
      </c>
      <c r="D181">
        <v>6919.17</v>
      </c>
      <c r="E181" t="s">
        <v>80</v>
      </c>
      <c r="F181" t="s">
        <v>27</v>
      </c>
      <c r="G181" t="s">
        <v>28</v>
      </c>
      <c r="H181" t="s">
        <v>29</v>
      </c>
      <c r="I181" t="s">
        <v>23</v>
      </c>
      <c r="J181" t="s">
        <v>51</v>
      </c>
      <c r="K181">
        <v>0</v>
      </c>
      <c r="L181">
        <v>1</v>
      </c>
      <c r="M181">
        <v>3.19</v>
      </c>
      <c r="N181">
        <v>0</v>
      </c>
      <c r="O181" t="str">
        <f>IF(financial_fraud_data[[#This Row],[Risk_Score]]&gt;8,"High",IF(financial_fraud_data[[#This Row],[Risk_Score]]&gt;5,"Med","Low"))</f>
        <v>Low</v>
      </c>
      <c r="P181" t="str">
        <f>TEXT(financial_fraud_data[[#This Row],[Transaction_Date]],"MMM")</f>
        <v>Jan</v>
      </c>
      <c r="Q181" t="str">
        <f>IF(financial_fraud_data[[#This Row],[Is_Fraud]]=1,"Yes","No")</f>
        <v>No</v>
      </c>
    </row>
    <row r="182" spans="1:17" x14ac:dyDescent="0.2">
      <c r="A182" t="s">
        <v>371</v>
      </c>
      <c r="B182" t="s">
        <v>217</v>
      </c>
      <c r="C182" s="1">
        <v>45299.5</v>
      </c>
      <c r="D182">
        <v>17086.259999999998</v>
      </c>
      <c r="E182" t="s">
        <v>34</v>
      </c>
      <c r="F182" t="s">
        <v>47</v>
      </c>
      <c r="G182" t="s">
        <v>56</v>
      </c>
      <c r="H182" t="s">
        <v>19</v>
      </c>
      <c r="I182" t="s">
        <v>19</v>
      </c>
      <c r="J182" t="s">
        <v>51</v>
      </c>
      <c r="K182">
        <v>0</v>
      </c>
      <c r="L182">
        <v>4</v>
      </c>
      <c r="M182">
        <v>7.71</v>
      </c>
      <c r="N182">
        <v>1</v>
      </c>
      <c r="O182" t="str">
        <f>IF(financial_fraud_data[[#This Row],[Risk_Score]]&gt;8,"High",IF(financial_fraud_data[[#This Row],[Risk_Score]]&gt;5,"Med","Low"))</f>
        <v>Med</v>
      </c>
      <c r="P182" t="str">
        <f>TEXT(financial_fraud_data[[#This Row],[Transaction_Date]],"MMM")</f>
        <v>Jan</v>
      </c>
      <c r="Q182" t="str">
        <f>IF(financial_fraud_data[[#This Row],[Is_Fraud]]=1,"Yes","No")</f>
        <v>Yes</v>
      </c>
    </row>
    <row r="183" spans="1:17" x14ac:dyDescent="0.2">
      <c r="A183" t="s">
        <v>372</v>
      </c>
      <c r="B183" t="s">
        <v>255</v>
      </c>
      <c r="C183" s="1">
        <v>45299.541666666664</v>
      </c>
      <c r="D183">
        <v>5718</v>
      </c>
      <c r="E183" t="s">
        <v>42</v>
      </c>
      <c r="F183" t="s">
        <v>50</v>
      </c>
      <c r="G183" t="s">
        <v>35</v>
      </c>
      <c r="H183" t="s">
        <v>19</v>
      </c>
      <c r="I183" t="s">
        <v>23</v>
      </c>
      <c r="J183" t="s">
        <v>51</v>
      </c>
      <c r="K183">
        <v>0</v>
      </c>
      <c r="L183">
        <v>2</v>
      </c>
      <c r="M183">
        <v>4.57</v>
      </c>
      <c r="N183">
        <v>0</v>
      </c>
      <c r="O183" t="str">
        <f>IF(financial_fraud_data[[#This Row],[Risk_Score]]&gt;8,"High",IF(financial_fraud_data[[#This Row],[Risk_Score]]&gt;5,"Med","Low"))</f>
        <v>Low</v>
      </c>
      <c r="P183" t="str">
        <f>TEXT(financial_fraud_data[[#This Row],[Transaction_Date]],"MMM")</f>
        <v>Jan</v>
      </c>
      <c r="Q183" t="str">
        <f>IF(financial_fraud_data[[#This Row],[Is_Fraud]]=1,"Yes","No")</f>
        <v>No</v>
      </c>
    </row>
    <row r="184" spans="1:17" x14ac:dyDescent="0.2">
      <c r="A184" t="s">
        <v>373</v>
      </c>
      <c r="B184" t="s">
        <v>255</v>
      </c>
      <c r="C184" s="1">
        <v>45299.583333333336</v>
      </c>
      <c r="D184">
        <v>46238.45</v>
      </c>
      <c r="E184" t="s">
        <v>34</v>
      </c>
      <c r="F184" t="s">
        <v>50</v>
      </c>
      <c r="G184" t="s">
        <v>56</v>
      </c>
      <c r="H184" t="s">
        <v>29</v>
      </c>
      <c r="I184" t="s">
        <v>19</v>
      </c>
      <c r="J184" t="s">
        <v>51</v>
      </c>
      <c r="K184">
        <v>1</v>
      </c>
      <c r="L184">
        <v>2</v>
      </c>
      <c r="M184">
        <v>10.62</v>
      </c>
      <c r="N184">
        <v>1</v>
      </c>
      <c r="O184" t="str">
        <f>IF(financial_fraud_data[[#This Row],[Risk_Score]]&gt;8,"High",IF(financial_fraud_data[[#This Row],[Risk_Score]]&gt;5,"Med","Low"))</f>
        <v>High</v>
      </c>
      <c r="P184" t="str">
        <f>TEXT(financial_fraud_data[[#This Row],[Transaction_Date]],"MMM")</f>
        <v>Jan</v>
      </c>
      <c r="Q184" t="str">
        <f>IF(financial_fraud_data[[#This Row],[Is_Fraud]]=1,"Yes","No")</f>
        <v>Yes</v>
      </c>
    </row>
    <row r="185" spans="1:17" x14ac:dyDescent="0.2">
      <c r="A185" t="s">
        <v>374</v>
      </c>
      <c r="B185" t="s">
        <v>315</v>
      </c>
      <c r="C185" s="1">
        <v>45299.625</v>
      </c>
      <c r="D185">
        <v>43873.1</v>
      </c>
      <c r="E185" t="s">
        <v>16</v>
      </c>
      <c r="F185" t="s">
        <v>27</v>
      </c>
      <c r="G185" t="s">
        <v>56</v>
      </c>
      <c r="H185" t="s">
        <v>36</v>
      </c>
      <c r="I185" t="s">
        <v>23</v>
      </c>
      <c r="J185" t="s">
        <v>20</v>
      </c>
      <c r="K185">
        <v>0</v>
      </c>
      <c r="L185">
        <v>2</v>
      </c>
      <c r="M185">
        <v>8.39</v>
      </c>
      <c r="N185">
        <v>1</v>
      </c>
      <c r="O185" t="str">
        <f>IF(financial_fraud_data[[#This Row],[Risk_Score]]&gt;8,"High",IF(financial_fraud_data[[#This Row],[Risk_Score]]&gt;5,"Med","Low"))</f>
        <v>High</v>
      </c>
      <c r="P185" t="str">
        <f>TEXT(financial_fraud_data[[#This Row],[Transaction_Date]],"MMM")</f>
        <v>Jan</v>
      </c>
      <c r="Q185" t="str">
        <f>IF(financial_fraud_data[[#This Row],[Is_Fraud]]=1,"Yes","No")</f>
        <v>Yes</v>
      </c>
    </row>
    <row r="186" spans="1:17" x14ac:dyDescent="0.2">
      <c r="A186" t="s">
        <v>375</v>
      </c>
      <c r="B186" t="s">
        <v>376</v>
      </c>
      <c r="C186" s="1">
        <v>45299.666666666664</v>
      </c>
      <c r="D186">
        <v>12934.18</v>
      </c>
      <c r="E186" t="s">
        <v>80</v>
      </c>
      <c r="F186" t="s">
        <v>47</v>
      </c>
      <c r="G186" t="s">
        <v>28</v>
      </c>
      <c r="H186" t="s">
        <v>24</v>
      </c>
      <c r="I186" t="s">
        <v>19</v>
      </c>
      <c r="J186" t="s">
        <v>37</v>
      </c>
      <c r="K186">
        <v>0</v>
      </c>
      <c r="L186">
        <v>0</v>
      </c>
      <c r="M186">
        <v>2.29</v>
      </c>
      <c r="N186">
        <v>0</v>
      </c>
      <c r="O186" t="str">
        <f>IF(financial_fraud_data[[#This Row],[Risk_Score]]&gt;8,"High",IF(financial_fraud_data[[#This Row],[Risk_Score]]&gt;5,"Med","Low"))</f>
        <v>Low</v>
      </c>
      <c r="P186" t="str">
        <f>TEXT(financial_fraud_data[[#This Row],[Transaction_Date]],"MMM")</f>
        <v>Jan</v>
      </c>
      <c r="Q186" t="str">
        <f>IF(financial_fraud_data[[#This Row],[Is_Fraud]]=1,"Yes","No")</f>
        <v>No</v>
      </c>
    </row>
    <row r="187" spans="1:17" x14ac:dyDescent="0.2">
      <c r="A187" t="s">
        <v>377</v>
      </c>
      <c r="B187" t="s">
        <v>160</v>
      </c>
      <c r="C187" s="1">
        <v>45299.708333333336</v>
      </c>
      <c r="D187">
        <v>33016.199999999997</v>
      </c>
      <c r="E187" t="s">
        <v>80</v>
      </c>
      <c r="F187" t="s">
        <v>50</v>
      </c>
      <c r="G187" t="s">
        <v>28</v>
      </c>
      <c r="H187" t="s">
        <v>24</v>
      </c>
      <c r="I187" t="s">
        <v>29</v>
      </c>
      <c r="J187" t="s">
        <v>20</v>
      </c>
      <c r="K187">
        <v>0</v>
      </c>
      <c r="L187">
        <v>1</v>
      </c>
      <c r="M187">
        <v>5.8</v>
      </c>
      <c r="N187">
        <v>1</v>
      </c>
      <c r="O187" t="str">
        <f>IF(financial_fraud_data[[#This Row],[Risk_Score]]&gt;8,"High",IF(financial_fraud_data[[#This Row],[Risk_Score]]&gt;5,"Med","Low"))</f>
        <v>Med</v>
      </c>
      <c r="P187" t="str">
        <f>TEXT(financial_fraud_data[[#This Row],[Transaction_Date]],"MMM")</f>
        <v>Jan</v>
      </c>
      <c r="Q187" t="str">
        <f>IF(financial_fraud_data[[#This Row],[Is_Fraud]]=1,"Yes","No")</f>
        <v>Yes</v>
      </c>
    </row>
    <row r="188" spans="1:17" x14ac:dyDescent="0.2">
      <c r="A188" t="s">
        <v>378</v>
      </c>
      <c r="B188" t="s">
        <v>335</v>
      </c>
      <c r="C188" s="1">
        <v>45299.75</v>
      </c>
      <c r="D188">
        <v>40870.25</v>
      </c>
      <c r="E188" t="s">
        <v>16</v>
      </c>
      <c r="F188" t="s">
        <v>17</v>
      </c>
      <c r="G188" t="s">
        <v>65</v>
      </c>
      <c r="H188" t="s">
        <v>23</v>
      </c>
      <c r="I188" t="s">
        <v>24</v>
      </c>
      <c r="J188" t="s">
        <v>51</v>
      </c>
      <c r="K188">
        <v>0</v>
      </c>
      <c r="L188">
        <v>4</v>
      </c>
      <c r="M188">
        <v>11.09</v>
      </c>
      <c r="N188">
        <v>1</v>
      </c>
      <c r="O188" t="str">
        <f>IF(financial_fraud_data[[#This Row],[Risk_Score]]&gt;8,"High",IF(financial_fraud_data[[#This Row],[Risk_Score]]&gt;5,"Med","Low"))</f>
        <v>High</v>
      </c>
      <c r="P188" t="str">
        <f>TEXT(financial_fraud_data[[#This Row],[Transaction_Date]],"MMM")</f>
        <v>Jan</v>
      </c>
      <c r="Q188" t="str">
        <f>IF(financial_fraud_data[[#This Row],[Is_Fraud]]=1,"Yes","No")</f>
        <v>Yes</v>
      </c>
    </row>
    <row r="189" spans="1:17" x14ac:dyDescent="0.2">
      <c r="A189" t="s">
        <v>379</v>
      </c>
      <c r="B189" t="s">
        <v>380</v>
      </c>
      <c r="C189" s="1">
        <v>45299.791666666664</v>
      </c>
      <c r="D189">
        <v>27782.28</v>
      </c>
      <c r="E189" t="s">
        <v>34</v>
      </c>
      <c r="F189" t="s">
        <v>50</v>
      </c>
      <c r="G189" t="s">
        <v>35</v>
      </c>
      <c r="H189" t="s">
        <v>23</v>
      </c>
      <c r="I189" t="s">
        <v>19</v>
      </c>
      <c r="J189" t="s">
        <v>51</v>
      </c>
      <c r="K189">
        <v>0</v>
      </c>
      <c r="L189">
        <v>0</v>
      </c>
      <c r="M189">
        <v>3.78</v>
      </c>
      <c r="N189">
        <v>0</v>
      </c>
      <c r="O189" t="str">
        <f>IF(financial_fraud_data[[#This Row],[Risk_Score]]&gt;8,"High",IF(financial_fraud_data[[#This Row],[Risk_Score]]&gt;5,"Med","Low"))</f>
        <v>Low</v>
      </c>
      <c r="P189" t="str">
        <f>TEXT(financial_fraud_data[[#This Row],[Transaction_Date]],"MMM")</f>
        <v>Jan</v>
      </c>
      <c r="Q189" t="str">
        <f>IF(financial_fraud_data[[#This Row],[Is_Fraud]]=1,"Yes","No")</f>
        <v>No</v>
      </c>
    </row>
    <row r="190" spans="1:17" x14ac:dyDescent="0.2">
      <c r="A190" t="s">
        <v>381</v>
      </c>
      <c r="B190" t="s">
        <v>39</v>
      </c>
      <c r="C190" s="1">
        <v>45299.833333333336</v>
      </c>
      <c r="D190">
        <v>26506.05</v>
      </c>
      <c r="E190" t="s">
        <v>42</v>
      </c>
      <c r="F190" t="s">
        <v>50</v>
      </c>
      <c r="G190" t="s">
        <v>35</v>
      </c>
      <c r="H190" t="s">
        <v>23</v>
      </c>
      <c r="I190" t="s">
        <v>29</v>
      </c>
      <c r="J190" t="s">
        <v>20</v>
      </c>
      <c r="K190">
        <v>0</v>
      </c>
      <c r="L190">
        <v>4</v>
      </c>
      <c r="M190">
        <v>9.65</v>
      </c>
      <c r="N190">
        <v>1</v>
      </c>
      <c r="O190" t="str">
        <f>IF(financial_fraud_data[[#This Row],[Risk_Score]]&gt;8,"High",IF(financial_fraud_data[[#This Row],[Risk_Score]]&gt;5,"Med","Low"))</f>
        <v>High</v>
      </c>
      <c r="P190" t="str">
        <f>TEXT(financial_fraud_data[[#This Row],[Transaction_Date]],"MMM")</f>
        <v>Jan</v>
      </c>
      <c r="Q190" t="str">
        <f>IF(financial_fraud_data[[#This Row],[Is_Fraud]]=1,"Yes","No")</f>
        <v>Yes</v>
      </c>
    </row>
    <row r="191" spans="1:17" x14ac:dyDescent="0.2">
      <c r="A191" t="s">
        <v>382</v>
      </c>
      <c r="B191" t="s">
        <v>383</v>
      </c>
      <c r="C191" s="1">
        <v>45299.875</v>
      </c>
      <c r="D191">
        <v>12130.52</v>
      </c>
      <c r="E191" t="s">
        <v>16</v>
      </c>
      <c r="F191" t="s">
        <v>27</v>
      </c>
      <c r="G191" t="s">
        <v>35</v>
      </c>
      <c r="H191" t="s">
        <v>24</v>
      </c>
      <c r="I191" t="s">
        <v>36</v>
      </c>
      <c r="J191" t="s">
        <v>20</v>
      </c>
      <c r="K191">
        <v>1</v>
      </c>
      <c r="L191">
        <v>0</v>
      </c>
      <c r="M191">
        <v>4.21</v>
      </c>
      <c r="N191">
        <v>0</v>
      </c>
      <c r="O191" t="str">
        <f>IF(financial_fraud_data[[#This Row],[Risk_Score]]&gt;8,"High",IF(financial_fraud_data[[#This Row],[Risk_Score]]&gt;5,"Med","Low"))</f>
        <v>Low</v>
      </c>
      <c r="P191" t="str">
        <f>TEXT(financial_fraud_data[[#This Row],[Transaction_Date]],"MMM")</f>
        <v>Jan</v>
      </c>
      <c r="Q191" t="str">
        <f>IF(financial_fraud_data[[#This Row],[Is_Fraud]]=1,"Yes","No")</f>
        <v>No</v>
      </c>
    </row>
    <row r="192" spans="1:17" x14ac:dyDescent="0.2">
      <c r="A192" t="s">
        <v>384</v>
      </c>
      <c r="B192" t="s">
        <v>385</v>
      </c>
      <c r="C192" s="1">
        <v>45299.916666666664</v>
      </c>
      <c r="D192">
        <v>4700.4799999999996</v>
      </c>
      <c r="E192" t="s">
        <v>16</v>
      </c>
      <c r="F192" t="s">
        <v>17</v>
      </c>
      <c r="G192" t="s">
        <v>18</v>
      </c>
      <c r="H192" t="s">
        <v>36</v>
      </c>
      <c r="I192" t="s">
        <v>23</v>
      </c>
      <c r="J192" t="s">
        <v>51</v>
      </c>
      <c r="K192">
        <v>0</v>
      </c>
      <c r="L192">
        <v>0</v>
      </c>
      <c r="M192">
        <v>1.47</v>
      </c>
      <c r="N192">
        <v>0</v>
      </c>
      <c r="O192" t="str">
        <f>IF(financial_fraud_data[[#This Row],[Risk_Score]]&gt;8,"High",IF(financial_fraud_data[[#This Row],[Risk_Score]]&gt;5,"Med","Low"))</f>
        <v>Low</v>
      </c>
      <c r="P192" t="str">
        <f>TEXT(financial_fraud_data[[#This Row],[Transaction_Date]],"MMM")</f>
        <v>Jan</v>
      </c>
      <c r="Q192" t="str">
        <f>IF(financial_fraud_data[[#This Row],[Is_Fraud]]=1,"Yes","No")</f>
        <v>No</v>
      </c>
    </row>
    <row r="193" spans="1:17" x14ac:dyDescent="0.2">
      <c r="A193" t="s">
        <v>386</v>
      </c>
      <c r="B193" t="s">
        <v>33</v>
      </c>
      <c r="C193" s="1">
        <v>45299.958333333336</v>
      </c>
      <c r="D193">
        <v>44865.93</v>
      </c>
      <c r="E193" t="s">
        <v>34</v>
      </c>
      <c r="F193" t="s">
        <v>50</v>
      </c>
      <c r="G193" t="s">
        <v>56</v>
      </c>
      <c r="H193" t="s">
        <v>24</v>
      </c>
      <c r="I193" t="s">
        <v>36</v>
      </c>
      <c r="J193" t="s">
        <v>37</v>
      </c>
      <c r="K193">
        <v>0</v>
      </c>
      <c r="L193">
        <v>0</v>
      </c>
      <c r="M193">
        <v>5.49</v>
      </c>
      <c r="N193">
        <v>1</v>
      </c>
      <c r="O193" t="str">
        <f>IF(financial_fraud_data[[#This Row],[Risk_Score]]&gt;8,"High",IF(financial_fraud_data[[#This Row],[Risk_Score]]&gt;5,"Med","Low"))</f>
        <v>Med</v>
      </c>
      <c r="P193" t="str">
        <f>TEXT(financial_fraud_data[[#This Row],[Transaction_Date]],"MMM")</f>
        <v>Jan</v>
      </c>
      <c r="Q193" t="str">
        <f>IF(financial_fraud_data[[#This Row],[Is_Fraud]]=1,"Yes","No")</f>
        <v>Yes</v>
      </c>
    </row>
    <row r="194" spans="1:17" x14ac:dyDescent="0.2">
      <c r="A194" t="s">
        <v>387</v>
      </c>
      <c r="B194" t="s">
        <v>388</v>
      </c>
      <c r="C194" s="1">
        <v>45300</v>
      </c>
      <c r="D194">
        <v>45025.88</v>
      </c>
      <c r="E194" t="s">
        <v>80</v>
      </c>
      <c r="F194" t="s">
        <v>50</v>
      </c>
      <c r="G194" t="s">
        <v>28</v>
      </c>
      <c r="H194" t="s">
        <v>24</v>
      </c>
      <c r="I194" t="s">
        <v>29</v>
      </c>
      <c r="J194" t="s">
        <v>51</v>
      </c>
      <c r="K194">
        <v>0</v>
      </c>
      <c r="L194">
        <v>4</v>
      </c>
      <c r="M194">
        <v>11.5</v>
      </c>
      <c r="N194">
        <v>1</v>
      </c>
      <c r="O194" t="str">
        <f>IF(financial_fraud_data[[#This Row],[Risk_Score]]&gt;8,"High",IF(financial_fraud_data[[#This Row],[Risk_Score]]&gt;5,"Med","Low"))</f>
        <v>High</v>
      </c>
      <c r="P194" t="str">
        <f>TEXT(financial_fraud_data[[#This Row],[Transaction_Date]],"MMM")</f>
        <v>Jan</v>
      </c>
      <c r="Q194" t="str">
        <f>IF(financial_fraud_data[[#This Row],[Is_Fraud]]=1,"Yes","No")</f>
        <v>Yes</v>
      </c>
    </row>
    <row r="195" spans="1:17" x14ac:dyDescent="0.2">
      <c r="A195" t="s">
        <v>389</v>
      </c>
      <c r="B195" t="s">
        <v>390</v>
      </c>
      <c r="C195" s="1">
        <v>45300.041666666664</v>
      </c>
      <c r="D195">
        <v>31673.42</v>
      </c>
      <c r="E195" t="s">
        <v>34</v>
      </c>
      <c r="F195" t="s">
        <v>17</v>
      </c>
      <c r="G195" t="s">
        <v>35</v>
      </c>
      <c r="H195" t="s">
        <v>24</v>
      </c>
      <c r="I195" t="s">
        <v>36</v>
      </c>
      <c r="J195" t="s">
        <v>20</v>
      </c>
      <c r="K195">
        <v>0</v>
      </c>
      <c r="L195">
        <v>3</v>
      </c>
      <c r="M195">
        <v>8.67</v>
      </c>
      <c r="N195">
        <v>1</v>
      </c>
      <c r="O195" t="str">
        <f>IF(financial_fraud_data[[#This Row],[Risk_Score]]&gt;8,"High",IF(financial_fraud_data[[#This Row],[Risk_Score]]&gt;5,"Med","Low"))</f>
        <v>High</v>
      </c>
      <c r="P195" t="str">
        <f>TEXT(financial_fraud_data[[#This Row],[Transaction_Date]],"MMM")</f>
        <v>Jan</v>
      </c>
      <c r="Q195" t="str">
        <f>IF(financial_fraud_data[[#This Row],[Is_Fraud]]=1,"Yes","No")</f>
        <v>Yes</v>
      </c>
    </row>
    <row r="196" spans="1:17" x14ac:dyDescent="0.2">
      <c r="A196" t="s">
        <v>391</v>
      </c>
      <c r="B196" t="s">
        <v>392</v>
      </c>
      <c r="C196" s="1">
        <v>45300.083333333336</v>
      </c>
      <c r="D196">
        <v>16984.54</v>
      </c>
      <c r="E196" t="s">
        <v>16</v>
      </c>
      <c r="F196" t="s">
        <v>47</v>
      </c>
      <c r="G196" t="s">
        <v>65</v>
      </c>
      <c r="H196" t="s">
        <v>24</v>
      </c>
      <c r="I196" t="s">
        <v>36</v>
      </c>
      <c r="J196" t="s">
        <v>51</v>
      </c>
      <c r="K196">
        <v>0</v>
      </c>
      <c r="L196">
        <v>0</v>
      </c>
      <c r="M196">
        <v>2.7</v>
      </c>
      <c r="N196">
        <v>0</v>
      </c>
      <c r="O196" t="str">
        <f>IF(financial_fraud_data[[#This Row],[Risk_Score]]&gt;8,"High",IF(financial_fraud_data[[#This Row],[Risk_Score]]&gt;5,"Med","Low"))</f>
        <v>Low</v>
      </c>
      <c r="P196" t="str">
        <f>TEXT(financial_fraud_data[[#This Row],[Transaction_Date]],"MMM")</f>
        <v>Jan</v>
      </c>
      <c r="Q196" t="str">
        <f>IF(financial_fraud_data[[#This Row],[Is_Fraud]]=1,"Yes","No")</f>
        <v>No</v>
      </c>
    </row>
    <row r="197" spans="1:17" x14ac:dyDescent="0.2">
      <c r="A197" t="s">
        <v>393</v>
      </c>
      <c r="B197" t="s">
        <v>394</v>
      </c>
      <c r="C197" s="1">
        <v>45300.125</v>
      </c>
      <c r="D197">
        <v>17493.02</v>
      </c>
      <c r="E197" t="s">
        <v>16</v>
      </c>
      <c r="F197" t="s">
        <v>47</v>
      </c>
      <c r="G197" t="s">
        <v>35</v>
      </c>
      <c r="H197" t="s">
        <v>36</v>
      </c>
      <c r="I197" t="s">
        <v>29</v>
      </c>
      <c r="J197" t="s">
        <v>51</v>
      </c>
      <c r="K197">
        <v>0</v>
      </c>
      <c r="L197">
        <v>2</v>
      </c>
      <c r="M197">
        <v>5.75</v>
      </c>
      <c r="N197">
        <v>1</v>
      </c>
      <c r="O197" t="str">
        <f>IF(financial_fraud_data[[#This Row],[Risk_Score]]&gt;8,"High",IF(financial_fraud_data[[#This Row],[Risk_Score]]&gt;5,"Med","Low"))</f>
        <v>Med</v>
      </c>
      <c r="P197" t="str">
        <f>TEXT(financial_fraud_data[[#This Row],[Transaction_Date]],"MMM")</f>
        <v>Jan</v>
      </c>
      <c r="Q197" t="str">
        <f>IF(financial_fraud_data[[#This Row],[Is_Fraud]]=1,"Yes","No")</f>
        <v>Yes</v>
      </c>
    </row>
    <row r="198" spans="1:17" x14ac:dyDescent="0.2">
      <c r="A198" t="s">
        <v>395</v>
      </c>
      <c r="B198" t="s">
        <v>396</v>
      </c>
      <c r="C198" s="1">
        <v>45300.166666666664</v>
      </c>
      <c r="D198">
        <v>36311.49</v>
      </c>
      <c r="E198" t="s">
        <v>80</v>
      </c>
      <c r="F198" t="s">
        <v>50</v>
      </c>
      <c r="G198" t="s">
        <v>56</v>
      </c>
      <c r="H198" t="s">
        <v>23</v>
      </c>
      <c r="I198" t="s">
        <v>24</v>
      </c>
      <c r="J198" t="s">
        <v>37</v>
      </c>
      <c r="K198">
        <v>0</v>
      </c>
      <c r="L198">
        <v>1</v>
      </c>
      <c r="M198">
        <v>6.13</v>
      </c>
      <c r="N198">
        <v>1</v>
      </c>
      <c r="O198" t="str">
        <f>IF(financial_fraud_data[[#This Row],[Risk_Score]]&gt;8,"High",IF(financial_fraud_data[[#This Row],[Risk_Score]]&gt;5,"Med","Low"))</f>
        <v>Med</v>
      </c>
      <c r="P198" t="str">
        <f>TEXT(financial_fraud_data[[#This Row],[Transaction_Date]],"MMM")</f>
        <v>Jan</v>
      </c>
      <c r="Q198" t="str">
        <f>IF(financial_fraud_data[[#This Row],[Is_Fraud]]=1,"Yes","No")</f>
        <v>Yes</v>
      </c>
    </row>
    <row r="199" spans="1:17" x14ac:dyDescent="0.2">
      <c r="A199" t="s">
        <v>397</v>
      </c>
      <c r="B199" t="s">
        <v>398</v>
      </c>
      <c r="C199" s="1">
        <v>45300.208333333336</v>
      </c>
      <c r="D199">
        <v>44860.66</v>
      </c>
      <c r="E199" t="s">
        <v>80</v>
      </c>
      <c r="F199" t="s">
        <v>50</v>
      </c>
      <c r="G199" t="s">
        <v>56</v>
      </c>
      <c r="H199" t="s">
        <v>19</v>
      </c>
      <c r="I199" t="s">
        <v>19</v>
      </c>
      <c r="J199" t="s">
        <v>51</v>
      </c>
      <c r="K199">
        <v>0</v>
      </c>
      <c r="L199">
        <v>3</v>
      </c>
      <c r="M199">
        <v>8.99</v>
      </c>
      <c r="N199">
        <v>1</v>
      </c>
      <c r="O199" t="str">
        <f>IF(financial_fraud_data[[#This Row],[Risk_Score]]&gt;8,"High",IF(financial_fraud_data[[#This Row],[Risk_Score]]&gt;5,"Med","Low"))</f>
        <v>High</v>
      </c>
      <c r="P199" t="str">
        <f>TEXT(financial_fraud_data[[#This Row],[Transaction_Date]],"MMM")</f>
        <v>Jan</v>
      </c>
      <c r="Q199" t="str">
        <f>IF(financial_fraud_data[[#This Row],[Is_Fraud]]=1,"Yes","No")</f>
        <v>Yes</v>
      </c>
    </row>
    <row r="200" spans="1:17" x14ac:dyDescent="0.2">
      <c r="A200" t="s">
        <v>399</v>
      </c>
      <c r="B200" t="s">
        <v>160</v>
      </c>
      <c r="C200" s="1">
        <v>45300.25</v>
      </c>
      <c r="D200">
        <v>44359.97</v>
      </c>
      <c r="E200" t="s">
        <v>80</v>
      </c>
      <c r="F200" t="s">
        <v>47</v>
      </c>
      <c r="G200" t="s">
        <v>28</v>
      </c>
      <c r="H200" t="s">
        <v>23</v>
      </c>
      <c r="I200" t="s">
        <v>23</v>
      </c>
      <c r="J200" t="s">
        <v>51</v>
      </c>
      <c r="K200">
        <v>0</v>
      </c>
      <c r="L200">
        <v>3</v>
      </c>
      <c r="M200">
        <v>8.94</v>
      </c>
      <c r="N200">
        <v>1</v>
      </c>
      <c r="O200" t="str">
        <f>IF(financial_fraud_data[[#This Row],[Risk_Score]]&gt;8,"High",IF(financial_fraud_data[[#This Row],[Risk_Score]]&gt;5,"Med","Low"))</f>
        <v>High</v>
      </c>
      <c r="P200" t="str">
        <f>TEXT(financial_fraud_data[[#This Row],[Transaction_Date]],"MMM")</f>
        <v>Jan</v>
      </c>
      <c r="Q200" t="str">
        <f>IF(financial_fraud_data[[#This Row],[Is_Fraud]]=1,"Yes","No")</f>
        <v>Yes</v>
      </c>
    </row>
    <row r="201" spans="1:17" x14ac:dyDescent="0.2">
      <c r="A201" t="s">
        <v>400</v>
      </c>
      <c r="B201" t="s">
        <v>69</v>
      </c>
      <c r="C201" s="1">
        <v>45300.291666666664</v>
      </c>
      <c r="D201">
        <v>39004.78</v>
      </c>
      <c r="E201" t="s">
        <v>34</v>
      </c>
      <c r="F201" t="s">
        <v>27</v>
      </c>
      <c r="G201" t="s">
        <v>18</v>
      </c>
      <c r="H201" t="s">
        <v>23</v>
      </c>
      <c r="I201" t="s">
        <v>19</v>
      </c>
      <c r="J201" t="s">
        <v>51</v>
      </c>
      <c r="K201">
        <v>0</v>
      </c>
      <c r="L201">
        <v>4</v>
      </c>
      <c r="M201">
        <v>10.9</v>
      </c>
      <c r="N201">
        <v>1</v>
      </c>
      <c r="O201" t="str">
        <f>IF(financial_fraud_data[[#This Row],[Risk_Score]]&gt;8,"High",IF(financial_fraud_data[[#This Row],[Risk_Score]]&gt;5,"Med","Low"))</f>
        <v>High</v>
      </c>
      <c r="P201" t="str">
        <f>TEXT(financial_fraud_data[[#This Row],[Transaction_Date]],"MMM")</f>
        <v>Jan</v>
      </c>
      <c r="Q201" t="str">
        <f>IF(financial_fraud_data[[#This Row],[Is_Fraud]]=1,"Yes","No")</f>
        <v>Yes</v>
      </c>
    </row>
    <row r="202" spans="1:17" x14ac:dyDescent="0.2">
      <c r="A202" t="s">
        <v>401</v>
      </c>
      <c r="B202" t="s">
        <v>402</v>
      </c>
      <c r="C202" s="1">
        <v>45300.333333333336</v>
      </c>
      <c r="D202">
        <v>32119.48</v>
      </c>
      <c r="E202" t="s">
        <v>80</v>
      </c>
      <c r="F202" t="s">
        <v>17</v>
      </c>
      <c r="G202" t="s">
        <v>28</v>
      </c>
      <c r="H202" t="s">
        <v>19</v>
      </c>
      <c r="I202" t="s">
        <v>23</v>
      </c>
      <c r="J202" t="s">
        <v>20</v>
      </c>
      <c r="K202">
        <v>0</v>
      </c>
      <c r="L202">
        <v>3</v>
      </c>
      <c r="M202">
        <v>8.7100000000000009</v>
      </c>
      <c r="N202">
        <v>1</v>
      </c>
      <c r="O202" t="str">
        <f>IF(financial_fraud_data[[#This Row],[Risk_Score]]&gt;8,"High",IF(financial_fraud_data[[#This Row],[Risk_Score]]&gt;5,"Med","Low"))</f>
        <v>High</v>
      </c>
      <c r="P202" t="str">
        <f>TEXT(financial_fraud_data[[#This Row],[Transaction_Date]],"MMM")</f>
        <v>Jan</v>
      </c>
      <c r="Q202" t="str">
        <f>IF(financial_fraud_data[[#This Row],[Is_Fraud]]=1,"Yes","No")</f>
        <v>Yes</v>
      </c>
    </row>
    <row r="203" spans="1:17" x14ac:dyDescent="0.2">
      <c r="A203" t="s">
        <v>403</v>
      </c>
      <c r="B203" t="s">
        <v>404</v>
      </c>
      <c r="C203" s="1">
        <v>45300.375</v>
      </c>
      <c r="D203">
        <v>4252.79</v>
      </c>
      <c r="E203" t="s">
        <v>16</v>
      </c>
      <c r="F203" t="s">
        <v>17</v>
      </c>
      <c r="G203" t="s">
        <v>35</v>
      </c>
      <c r="H203" t="s">
        <v>24</v>
      </c>
      <c r="I203" t="s">
        <v>19</v>
      </c>
      <c r="J203" t="s">
        <v>20</v>
      </c>
      <c r="K203">
        <v>1</v>
      </c>
      <c r="L203">
        <v>4</v>
      </c>
      <c r="M203">
        <v>9.43</v>
      </c>
      <c r="N203">
        <v>1</v>
      </c>
      <c r="O203" t="str">
        <f>IF(financial_fraud_data[[#This Row],[Risk_Score]]&gt;8,"High",IF(financial_fraud_data[[#This Row],[Risk_Score]]&gt;5,"Med","Low"))</f>
        <v>High</v>
      </c>
      <c r="P203" t="str">
        <f>TEXT(financial_fraud_data[[#This Row],[Transaction_Date]],"MMM")</f>
        <v>Jan</v>
      </c>
      <c r="Q203" t="str">
        <f>IF(financial_fraud_data[[#This Row],[Is_Fraud]]=1,"Yes","No")</f>
        <v>Yes</v>
      </c>
    </row>
    <row r="204" spans="1:17" x14ac:dyDescent="0.2">
      <c r="A204" t="s">
        <v>405</v>
      </c>
      <c r="B204" t="s">
        <v>104</v>
      </c>
      <c r="C204" s="1">
        <v>45300.416666666664</v>
      </c>
      <c r="D204">
        <v>8123.35</v>
      </c>
      <c r="E204" t="s">
        <v>16</v>
      </c>
      <c r="F204" t="s">
        <v>27</v>
      </c>
      <c r="G204" t="s">
        <v>65</v>
      </c>
      <c r="H204" t="s">
        <v>36</v>
      </c>
      <c r="I204" t="s">
        <v>36</v>
      </c>
      <c r="J204" t="s">
        <v>37</v>
      </c>
      <c r="K204">
        <v>0</v>
      </c>
      <c r="L204">
        <v>4</v>
      </c>
      <c r="M204">
        <v>6.81</v>
      </c>
      <c r="N204">
        <v>1</v>
      </c>
      <c r="O204" t="str">
        <f>IF(financial_fraud_data[[#This Row],[Risk_Score]]&gt;8,"High",IF(financial_fraud_data[[#This Row],[Risk_Score]]&gt;5,"Med","Low"))</f>
        <v>Med</v>
      </c>
      <c r="P204" t="str">
        <f>TEXT(financial_fraud_data[[#This Row],[Transaction_Date]],"MMM")</f>
        <v>Jan</v>
      </c>
      <c r="Q204" t="str">
        <f>IF(financial_fraud_data[[#This Row],[Is_Fraud]]=1,"Yes","No")</f>
        <v>Yes</v>
      </c>
    </row>
    <row r="205" spans="1:17" x14ac:dyDescent="0.2">
      <c r="A205" t="s">
        <v>406</v>
      </c>
      <c r="B205" t="s">
        <v>407</v>
      </c>
      <c r="C205" s="1">
        <v>45300.458333333336</v>
      </c>
      <c r="D205">
        <v>44932.78</v>
      </c>
      <c r="E205" t="s">
        <v>42</v>
      </c>
      <c r="F205" t="s">
        <v>27</v>
      </c>
      <c r="G205" t="s">
        <v>28</v>
      </c>
      <c r="H205" t="s">
        <v>36</v>
      </c>
      <c r="I205" t="s">
        <v>24</v>
      </c>
      <c r="J205" t="s">
        <v>51</v>
      </c>
      <c r="K205">
        <v>0</v>
      </c>
      <c r="L205">
        <v>2</v>
      </c>
      <c r="M205">
        <v>8.49</v>
      </c>
      <c r="N205">
        <v>1</v>
      </c>
      <c r="O205" t="str">
        <f>IF(financial_fraud_data[[#This Row],[Risk_Score]]&gt;8,"High",IF(financial_fraud_data[[#This Row],[Risk_Score]]&gt;5,"Med","Low"))</f>
        <v>High</v>
      </c>
      <c r="P205" t="str">
        <f>TEXT(financial_fraud_data[[#This Row],[Transaction_Date]],"MMM")</f>
        <v>Jan</v>
      </c>
      <c r="Q205" t="str">
        <f>IF(financial_fraud_data[[#This Row],[Is_Fraud]]=1,"Yes","No")</f>
        <v>Yes</v>
      </c>
    </row>
    <row r="206" spans="1:17" x14ac:dyDescent="0.2">
      <c r="A206" t="s">
        <v>408</v>
      </c>
      <c r="B206" t="s">
        <v>409</v>
      </c>
      <c r="C206" s="1">
        <v>45300.5</v>
      </c>
      <c r="D206">
        <v>30341.13</v>
      </c>
      <c r="E206" t="s">
        <v>34</v>
      </c>
      <c r="F206" t="s">
        <v>27</v>
      </c>
      <c r="G206" t="s">
        <v>18</v>
      </c>
      <c r="H206" t="s">
        <v>23</v>
      </c>
      <c r="I206" t="s">
        <v>36</v>
      </c>
      <c r="J206" t="s">
        <v>20</v>
      </c>
      <c r="K206">
        <v>0</v>
      </c>
      <c r="L206">
        <v>0</v>
      </c>
      <c r="M206">
        <v>4.03</v>
      </c>
      <c r="N206">
        <v>0</v>
      </c>
      <c r="O206" t="str">
        <f>IF(financial_fraud_data[[#This Row],[Risk_Score]]&gt;8,"High",IF(financial_fraud_data[[#This Row],[Risk_Score]]&gt;5,"Med","Low"))</f>
        <v>Low</v>
      </c>
      <c r="P206" t="str">
        <f>TEXT(financial_fraud_data[[#This Row],[Transaction_Date]],"MMM")</f>
        <v>Jan</v>
      </c>
      <c r="Q206" t="str">
        <f>IF(financial_fraud_data[[#This Row],[Is_Fraud]]=1,"Yes","No")</f>
        <v>No</v>
      </c>
    </row>
    <row r="207" spans="1:17" x14ac:dyDescent="0.2">
      <c r="A207" t="s">
        <v>410</v>
      </c>
      <c r="B207" t="s">
        <v>411</v>
      </c>
      <c r="C207" s="1">
        <v>45300.541666666664</v>
      </c>
      <c r="D207">
        <v>509.39</v>
      </c>
      <c r="E207" t="s">
        <v>42</v>
      </c>
      <c r="F207" t="s">
        <v>27</v>
      </c>
      <c r="G207" t="s">
        <v>28</v>
      </c>
      <c r="H207" t="s">
        <v>19</v>
      </c>
      <c r="I207" t="s">
        <v>24</v>
      </c>
      <c r="J207" t="s">
        <v>37</v>
      </c>
      <c r="K207">
        <v>1</v>
      </c>
      <c r="L207">
        <v>3</v>
      </c>
      <c r="M207">
        <v>7.55</v>
      </c>
      <c r="N207">
        <v>1</v>
      </c>
      <c r="O207" t="str">
        <f>IF(financial_fraud_data[[#This Row],[Risk_Score]]&gt;8,"High",IF(financial_fraud_data[[#This Row],[Risk_Score]]&gt;5,"Med","Low"))</f>
        <v>Med</v>
      </c>
      <c r="P207" t="str">
        <f>TEXT(financial_fraud_data[[#This Row],[Transaction_Date]],"MMM")</f>
        <v>Jan</v>
      </c>
      <c r="Q207" t="str">
        <f>IF(financial_fraud_data[[#This Row],[Is_Fraud]]=1,"Yes","No")</f>
        <v>Yes</v>
      </c>
    </row>
    <row r="208" spans="1:17" x14ac:dyDescent="0.2">
      <c r="A208" t="s">
        <v>412</v>
      </c>
      <c r="B208" t="s">
        <v>413</v>
      </c>
      <c r="C208" s="1">
        <v>45300.583333333336</v>
      </c>
      <c r="D208">
        <v>5118.5</v>
      </c>
      <c r="E208" t="s">
        <v>16</v>
      </c>
      <c r="F208" t="s">
        <v>27</v>
      </c>
      <c r="G208" t="s">
        <v>56</v>
      </c>
      <c r="H208" t="s">
        <v>29</v>
      </c>
      <c r="I208" t="s">
        <v>29</v>
      </c>
      <c r="J208" t="s">
        <v>51</v>
      </c>
      <c r="K208">
        <v>0</v>
      </c>
      <c r="L208">
        <v>0</v>
      </c>
      <c r="M208">
        <v>0.51</v>
      </c>
      <c r="N208">
        <v>0</v>
      </c>
      <c r="O208" t="str">
        <f>IF(financial_fraud_data[[#This Row],[Risk_Score]]&gt;8,"High",IF(financial_fraud_data[[#This Row],[Risk_Score]]&gt;5,"Med","Low"))</f>
        <v>Low</v>
      </c>
      <c r="P208" t="str">
        <f>TEXT(financial_fraud_data[[#This Row],[Transaction_Date]],"MMM")</f>
        <v>Jan</v>
      </c>
      <c r="Q208" t="str">
        <f>IF(financial_fraud_data[[#This Row],[Is_Fraud]]=1,"Yes","No")</f>
        <v>No</v>
      </c>
    </row>
    <row r="209" spans="1:17" x14ac:dyDescent="0.2">
      <c r="A209" t="s">
        <v>414</v>
      </c>
      <c r="B209" t="s">
        <v>415</v>
      </c>
      <c r="C209" s="1">
        <v>45300.625</v>
      </c>
      <c r="D209">
        <v>33191.910000000003</v>
      </c>
      <c r="E209" t="s">
        <v>42</v>
      </c>
      <c r="F209" t="s">
        <v>27</v>
      </c>
      <c r="G209" t="s">
        <v>35</v>
      </c>
      <c r="H209" t="s">
        <v>24</v>
      </c>
      <c r="I209" t="s">
        <v>23</v>
      </c>
      <c r="J209" t="s">
        <v>37</v>
      </c>
      <c r="K209">
        <v>0</v>
      </c>
      <c r="L209">
        <v>0</v>
      </c>
      <c r="M209">
        <v>4.32</v>
      </c>
      <c r="N209">
        <v>0</v>
      </c>
      <c r="O209" t="str">
        <f>IF(financial_fraud_data[[#This Row],[Risk_Score]]&gt;8,"High",IF(financial_fraud_data[[#This Row],[Risk_Score]]&gt;5,"Med","Low"))</f>
        <v>Low</v>
      </c>
      <c r="P209" t="str">
        <f>TEXT(financial_fraud_data[[#This Row],[Transaction_Date]],"MMM")</f>
        <v>Jan</v>
      </c>
      <c r="Q209" t="str">
        <f>IF(financial_fraud_data[[#This Row],[Is_Fraud]]=1,"Yes","No")</f>
        <v>No</v>
      </c>
    </row>
    <row r="210" spans="1:17" x14ac:dyDescent="0.2">
      <c r="A210" t="s">
        <v>416</v>
      </c>
      <c r="B210" t="s">
        <v>162</v>
      </c>
      <c r="C210" s="1">
        <v>45300.666666666664</v>
      </c>
      <c r="D210">
        <v>302.83</v>
      </c>
      <c r="E210" t="s">
        <v>16</v>
      </c>
      <c r="F210" t="s">
        <v>17</v>
      </c>
      <c r="G210" t="s">
        <v>35</v>
      </c>
      <c r="H210" t="s">
        <v>23</v>
      </c>
      <c r="I210" t="s">
        <v>23</v>
      </c>
      <c r="J210" t="s">
        <v>37</v>
      </c>
      <c r="K210">
        <v>0</v>
      </c>
      <c r="L210">
        <v>0</v>
      </c>
      <c r="M210">
        <v>0.03</v>
      </c>
      <c r="N210">
        <v>0</v>
      </c>
      <c r="O210" t="str">
        <f>IF(financial_fraud_data[[#This Row],[Risk_Score]]&gt;8,"High",IF(financial_fraud_data[[#This Row],[Risk_Score]]&gt;5,"Med","Low"))</f>
        <v>Low</v>
      </c>
      <c r="P210" t="str">
        <f>TEXT(financial_fraud_data[[#This Row],[Transaction_Date]],"MMM")</f>
        <v>Jan</v>
      </c>
      <c r="Q210" t="str">
        <f>IF(financial_fraud_data[[#This Row],[Is_Fraud]]=1,"Yes","No")</f>
        <v>No</v>
      </c>
    </row>
    <row r="211" spans="1:17" x14ac:dyDescent="0.2">
      <c r="A211" t="s">
        <v>417</v>
      </c>
      <c r="B211" t="s">
        <v>121</v>
      </c>
      <c r="C211" s="1">
        <v>45300.708333333336</v>
      </c>
      <c r="D211">
        <v>8082.36</v>
      </c>
      <c r="E211" t="s">
        <v>42</v>
      </c>
      <c r="F211" t="s">
        <v>27</v>
      </c>
      <c r="G211" t="s">
        <v>35</v>
      </c>
      <c r="H211" t="s">
        <v>36</v>
      </c>
      <c r="I211" t="s">
        <v>29</v>
      </c>
      <c r="J211" t="s">
        <v>37</v>
      </c>
      <c r="K211">
        <v>0</v>
      </c>
      <c r="L211">
        <v>4</v>
      </c>
      <c r="M211">
        <v>7.81</v>
      </c>
      <c r="N211">
        <v>1</v>
      </c>
      <c r="O211" t="str">
        <f>IF(financial_fraud_data[[#This Row],[Risk_Score]]&gt;8,"High",IF(financial_fraud_data[[#This Row],[Risk_Score]]&gt;5,"Med","Low"))</f>
        <v>Med</v>
      </c>
      <c r="P211" t="str">
        <f>TEXT(financial_fraud_data[[#This Row],[Transaction_Date]],"MMM")</f>
        <v>Jan</v>
      </c>
      <c r="Q211" t="str">
        <f>IF(financial_fraud_data[[#This Row],[Is_Fraud]]=1,"Yes","No")</f>
        <v>Yes</v>
      </c>
    </row>
    <row r="212" spans="1:17" x14ac:dyDescent="0.2">
      <c r="A212" t="s">
        <v>418</v>
      </c>
      <c r="B212" t="s">
        <v>419</v>
      </c>
      <c r="C212" s="1">
        <v>45300.75</v>
      </c>
      <c r="D212">
        <v>27459.25</v>
      </c>
      <c r="E212" t="s">
        <v>80</v>
      </c>
      <c r="F212" t="s">
        <v>47</v>
      </c>
      <c r="G212" t="s">
        <v>35</v>
      </c>
      <c r="H212" t="s">
        <v>19</v>
      </c>
      <c r="I212" t="s">
        <v>19</v>
      </c>
      <c r="J212" t="s">
        <v>37</v>
      </c>
      <c r="K212">
        <v>0</v>
      </c>
      <c r="L212">
        <v>0</v>
      </c>
      <c r="M212">
        <v>2.75</v>
      </c>
      <c r="N212">
        <v>0</v>
      </c>
      <c r="O212" t="str">
        <f>IF(financial_fraud_data[[#This Row],[Risk_Score]]&gt;8,"High",IF(financial_fraud_data[[#This Row],[Risk_Score]]&gt;5,"Med","Low"))</f>
        <v>Low</v>
      </c>
      <c r="P212" t="str">
        <f>TEXT(financial_fraud_data[[#This Row],[Transaction_Date]],"MMM")</f>
        <v>Jan</v>
      </c>
      <c r="Q212" t="str">
        <f>IF(financial_fraud_data[[#This Row],[Is_Fraud]]=1,"Yes","No")</f>
        <v>No</v>
      </c>
    </row>
    <row r="213" spans="1:17" x14ac:dyDescent="0.2">
      <c r="A213" t="s">
        <v>420</v>
      </c>
      <c r="B213" t="s">
        <v>421</v>
      </c>
      <c r="C213" s="1">
        <v>45300.791666666664</v>
      </c>
      <c r="D213">
        <v>34610.17</v>
      </c>
      <c r="E213" t="s">
        <v>42</v>
      </c>
      <c r="F213" t="s">
        <v>27</v>
      </c>
      <c r="G213" t="s">
        <v>35</v>
      </c>
      <c r="H213" t="s">
        <v>19</v>
      </c>
      <c r="I213" t="s">
        <v>29</v>
      </c>
      <c r="J213" t="s">
        <v>37</v>
      </c>
      <c r="K213">
        <v>1</v>
      </c>
      <c r="L213">
        <v>3</v>
      </c>
      <c r="M213">
        <v>10.96</v>
      </c>
      <c r="N213">
        <v>1</v>
      </c>
      <c r="O213" t="str">
        <f>IF(financial_fraud_data[[#This Row],[Risk_Score]]&gt;8,"High",IF(financial_fraud_data[[#This Row],[Risk_Score]]&gt;5,"Med","Low"))</f>
        <v>High</v>
      </c>
      <c r="P213" t="str">
        <f>TEXT(financial_fraud_data[[#This Row],[Transaction_Date]],"MMM")</f>
        <v>Jan</v>
      </c>
      <c r="Q213" t="str">
        <f>IF(financial_fraud_data[[#This Row],[Is_Fraud]]=1,"Yes","No")</f>
        <v>Yes</v>
      </c>
    </row>
    <row r="214" spans="1:17" x14ac:dyDescent="0.2">
      <c r="A214" t="s">
        <v>422</v>
      </c>
      <c r="B214" t="s">
        <v>423</v>
      </c>
      <c r="C214" s="1">
        <v>45300.833333333336</v>
      </c>
      <c r="D214">
        <v>32615.46</v>
      </c>
      <c r="E214" t="s">
        <v>80</v>
      </c>
      <c r="F214" t="s">
        <v>27</v>
      </c>
      <c r="G214" t="s">
        <v>35</v>
      </c>
      <c r="H214" t="s">
        <v>23</v>
      </c>
      <c r="I214" t="s">
        <v>29</v>
      </c>
      <c r="J214" t="s">
        <v>37</v>
      </c>
      <c r="K214">
        <v>1</v>
      </c>
      <c r="L214">
        <v>4</v>
      </c>
      <c r="M214">
        <v>12.26</v>
      </c>
      <c r="N214">
        <v>1</v>
      </c>
      <c r="O214" t="str">
        <f>IF(financial_fraud_data[[#This Row],[Risk_Score]]&gt;8,"High",IF(financial_fraud_data[[#This Row],[Risk_Score]]&gt;5,"Med","Low"))</f>
        <v>High</v>
      </c>
      <c r="P214" t="str">
        <f>TEXT(financial_fraud_data[[#This Row],[Transaction_Date]],"MMM")</f>
        <v>Jan</v>
      </c>
      <c r="Q214" t="str">
        <f>IF(financial_fraud_data[[#This Row],[Is_Fraud]]=1,"Yes","No")</f>
        <v>Yes</v>
      </c>
    </row>
    <row r="215" spans="1:17" x14ac:dyDescent="0.2">
      <c r="A215" t="s">
        <v>424</v>
      </c>
      <c r="B215" t="s">
        <v>425</v>
      </c>
      <c r="C215" s="1">
        <v>45300.875</v>
      </c>
      <c r="D215">
        <v>11252.25</v>
      </c>
      <c r="E215" t="s">
        <v>80</v>
      </c>
      <c r="F215" t="s">
        <v>17</v>
      </c>
      <c r="G215" t="s">
        <v>65</v>
      </c>
      <c r="H215" t="s">
        <v>29</v>
      </c>
      <c r="I215" t="s">
        <v>24</v>
      </c>
      <c r="J215" t="s">
        <v>37</v>
      </c>
      <c r="K215">
        <v>0</v>
      </c>
      <c r="L215">
        <v>3</v>
      </c>
      <c r="M215">
        <v>6.63</v>
      </c>
      <c r="N215">
        <v>1</v>
      </c>
      <c r="O215" t="str">
        <f>IF(financial_fraud_data[[#This Row],[Risk_Score]]&gt;8,"High",IF(financial_fraud_data[[#This Row],[Risk_Score]]&gt;5,"Med","Low"))</f>
        <v>Med</v>
      </c>
      <c r="P215" t="str">
        <f>TEXT(financial_fraud_data[[#This Row],[Transaction_Date]],"MMM")</f>
        <v>Jan</v>
      </c>
      <c r="Q215" t="str">
        <f>IF(financial_fraud_data[[#This Row],[Is_Fraud]]=1,"Yes","No")</f>
        <v>Yes</v>
      </c>
    </row>
    <row r="216" spans="1:17" x14ac:dyDescent="0.2">
      <c r="A216" t="s">
        <v>426</v>
      </c>
      <c r="B216" t="s">
        <v>308</v>
      </c>
      <c r="C216" s="1">
        <v>45300.916666666664</v>
      </c>
      <c r="D216">
        <v>35623.35</v>
      </c>
      <c r="E216" t="s">
        <v>34</v>
      </c>
      <c r="F216" t="s">
        <v>17</v>
      </c>
      <c r="G216" t="s">
        <v>18</v>
      </c>
      <c r="H216" t="s">
        <v>36</v>
      </c>
      <c r="I216" t="s">
        <v>29</v>
      </c>
      <c r="J216" t="s">
        <v>51</v>
      </c>
      <c r="K216">
        <v>0</v>
      </c>
      <c r="L216">
        <v>4</v>
      </c>
      <c r="M216">
        <v>10.56</v>
      </c>
      <c r="N216">
        <v>1</v>
      </c>
      <c r="O216" t="str">
        <f>IF(financial_fraud_data[[#This Row],[Risk_Score]]&gt;8,"High",IF(financial_fraud_data[[#This Row],[Risk_Score]]&gt;5,"Med","Low"))</f>
        <v>High</v>
      </c>
      <c r="P216" t="str">
        <f>TEXT(financial_fraud_data[[#This Row],[Transaction_Date]],"MMM")</f>
        <v>Jan</v>
      </c>
      <c r="Q216" t="str">
        <f>IF(financial_fraud_data[[#This Row],[Is_Fraud]]=1,"Yes","No")</f>
        <v>Yes</v>
      </c>
    </row>
    <row r="217" spans="1:17" x14ac:dyDescent="0.2">
      <c r="A217" t="s">
        <v>427</v>
      </c>
      <c r="B217" t="s">
        <v>428</v>
      </c>
      <c r="C217" s="1">
        <v>45300.958333333336</v>
      </c>
      <c r="D217">
        <v>11900.59</v>
      </c>
      <c r="E217" t="s">
        <v>80</v>
      </c>
      <c r="F217" t="s">
        <v>27</v>
      </c>
      <c r="G217" t="s">
        <v>35</v>
      </c>
      <c r="H217" t="s">
        <v>23</v>
      </c>
      <c r="I217" t="s">
        <v>23</v>
      </c>
      <c r="J217" t="s">
        <v>51</v>
      </c>
      <c r="K217">
        <v>0</v>
      </c>
      <c r="L217">
        <v>1</v>
      </c>
      <c r="M217">
        <v>2.69</v>
      </c>
      <c r="N217">
        <v>0</v>
      </c>
      <c r="O217" t="str">
        <f>IF(financial_fraud_data[[#This Row],[Risk_Score]]&gt;8,"High",IF(financial_fraud_data[[#This Row],[Risk_Score]]&gt;5,"Med","Low"))</f>
        <v>Low</v>
      </c>
      <c r="P217" t="str">
        <f>TEXT(financial_fraud_data[[#This Row],[Transaction_Date]],"MMM")</f>
        <v>Jan</v>
      </c>
      <c r="Q217" t="str">
        <f>IF(financial_fraud_data[[#This Row],[Is_Fraud]]=1,"Yes","No")</f>
        <v>No</v>
      </c>
    </row>
    <row r="218" spans="1:17" x14ac:dyDescent="0.2">
      <c r="A218" t="s">
        <v>429</v>
      </c>
      <c r="B218" t="s">
        <v>319</v>
      </c>
      <c r="C218" s="1">
        <v>45301</v>
      </c>
      <c r="D218">
        <v>16303.71</v>
      </c>
      <c r="E218" t="s">
        <v>80</v>
      </c>
      <c r="F218" t="s">
        <v>17</v>
      </c>
      <c r="G218" t="s">
        <v>18</v>
      </c>
      <c r="H218" t="s">
        <v>29</v>
      </c>
      <c r="I218" t="s">
        <v>36</v>
      </c>
      <c r="J218" t="s">
        <v>37</v>
      </c>
      <c r="K218">
        <v>0</v>
      </c>
      <c r="L218">
        <v>1</v>
      </c>
      <c r="M218">
        <v>4.13</v>
      </c>
      <c r="N218">
        <v>0</v>
      </c>
      <c r="O218" t="str">
        <f>IF(financial_fraud_data[[#This Row],[Risk_Score]]&gt;8,"High",IF(financial_fraud_data[[#This Row],[Risk_Score]]&gt;5,"Med","Low"))</f>
        <v>Low</v>
      </c>
      <c r="P218" t="str">
        <f>TEXT(financial_fraud_data[[#This Row],[Transaction_Date]],"MMM")</f>
        <v>Jan</v>
      </c>
      <c r="Q218" t="str">
        <f>IF(financial_fraud_data[[#This Row],[Is_Fraud]]=1,"Yes","No")</f>
        <v>No</v>
      </c>
    </row>
    <row r="219" spans="1:17" x14ac:dyDescent="0.2">
      <c r="A219" t="s">
        <v>430</v>
      </c>
      <c r="B219" t="s">
        <v>431</v>
      </c>
      <c r="C219" s="1">
        <v>45301.041666666664</v>
      </c>
      <c r="D219">
        <v>37337.25</v>
      </c>
      <c r="E219" t="s">
        <v>42</v>
      </c>
      <c r="F219" t="s">
        <v>50</v>
      </c>
      <c r="G219" t="s">
        <v>35</v>
      </c>
      <c r="H219" t="s">
        <v>19</v>
      </c>
      <c r="I219" t="s">
        <v>24</v>
      </c>
      <c r="J219" t="s">
        <v>51</v>
      </c>
      <c r="K219">
        <v>1</v>
      </c>
      <c r="L219">
        <v>1</v>
      </c>
      <c r="M219">
        <v>8.23</v>
      </c>
      <c r="N219">
        <v>1</v>
      </c>
      <c r="O219" t="str">
        <f>IF(financial_fraud_data[[#This Row],[Risk_Score]]&gt;8,"High",IF(financial_fraud_data[[#This Row],[Risk_Score]]&gt;5,"Med","Low"))</f>
        <v>High</v>
      </c>
      <c r="P219" t="str">
        <f>TEXT(financial_fraud_data[[#This Row],[Transaction_Date]],"MMM")</f>
        <v>Jan</v>
      </c>
      <c r="Q219" t="str">
        <f>IF(financial_fraud_data[[#This Row],[Is_Fraud]]=1,"Yes","No")</f>
        <v>Yes</v>
      </c>
    </row>
    <row r="220" spans="1:17" x14ac:dyDescent="0.2">
      <c r="A220" t="s">
        <v>432</v>
      </c>
      <c r="B220" t="s">
        <v>433</v>
      </c>
      <c r="C220" s="1">
        <v>45301.083333333336</v>
      </c>
      <c r="D220">
        <v>32499.16</v>
      </c>
      <c r="E220" t="s">
        <v>16</v>
      </c>
      <c r="F220" t="s">
        <v>17</v>
      </c>
      <c r="G220" t="s">
        <v>28</v>
      </c>
      <c r="H220" t="s">
        <v>24</v>
      </c>
      <c r="I220" t="s">
        <v>24</v>
      </c>
      <c r="J220" t="s">
        <v>37</v>
      </c>
      <c r="K220">
        <v>0</v>
      </c>
      <c r="L220">
        <v>1</v>
      </c>
      <c r="M220">
        <v>4.75</v>
      </c>
      <c r="N220">
        <v>0</v>
      </c>
      <c r="O220" t="str">
        <f>IF(financial_fraud_data[[#This Row],[Risk_Score]]&gt;8,"High",IF(financial_fraud_data[[#This Row],[Risk_Score]]&gt;5,"Med","Low"))</f>
        <v>Low</v>
      </c>
      <c r="P220" t="str">
        <f>TEXT(financial_fraud_data[[#This Row],[Transaction_Date]],"MMM")</f>
        <v>Jan</v>
      </c>
      <c r="Q220" t="str">
        <f>IF(financial_fraud_data[[#This Row],[Is_Fraud]]=1,"Yes","No")</f>
        <v>No</v>
      </c>
    </row>
    <row r="221" spans="1:17" x14ac:dyDescent="0.2">
      <c r="A221" t="s">
        <v>434</v>
      </c>
      <c r="B221" t="s">
        <v>435</v>
      </c>
      <c r="C221" s="1">
        <v>45301.125</v>
      </c>
      <c r="D221">
        <v>42468.71</v>
      </c>
      <c r="E221" t="s">
        <v>34</v>
      </c>
      <c r="F221" t="s">
        <v>17</v>
      </c>
      <c r="G221" t="s">
        <v>35</v>
      </c>
      <c r="H221" t="s">
        <v>36</v>
      </c>
      <c r="I221" t="s">
        <v>19</v>
      </c>
      <c r="J221" t="s">
        <v>51</v>
      </c>
      <c r="K221">
        <v>0</v>
      </c>
      <c r="L221">
        <v>4</v>
      </c>
      <c r="M221">
        <v>11.25</v>
      </c>
      <c r="N221">
        <v>1</v>
      </c>
      <c r="O221" t="str">
        <f>IF(financial_fraud_data[[#This Row],[Risk_Score]]&gt;8,"High",IF(financial_fraud_data[[#This Row],[Risk_Score]]&gt;5,"Med","Low"))</f>
        <v>High</v>
      </c>
      <c r="P221" t="str">
        <f>TEXT(financial_fraud_data[[#This Row],[Transaction_Date]],"MMM")</f>
        <v>Jan</v>
      </c>
      <c r="Q221" t="str">
        <f>IF(financial_fraud_data[[#This Row],[Is_Fraud]]=1,"Yes","No")</f>
        <v>Yes</v>
      </c>
    </row>
    <row r="222" spans="1:17" x14ac:dyDescent="0.2">
      <c r="A222" t="s">
        <v>436</v>
      </c>
      <c r="B222" t="s">
        <v>437</v>
      </c>
      <c r="C222" s="1">
        <v>45301.166666666664</v>
      </c>
      <c r="D222">
        <v>32897.760000000002</v>
      </c>
      <c r="E222" t="s">
        <v>80</v>
      </c>
      <c r="F222" t="s">
        <v>17</v>
      </c>
      <c r="G222" t="s">
        <v>56</v>
      </c>
      <c r="H222" t="s">
        <v>36</v>
      </c>
      <c r="I222" t="s">
        <v>36</v>
      </c>
      <c r="J222" t="s">
        <v>20</v>
      </c>
      <c r="K222">
        <v>0</v>
      </c>
      <c r="L222">
        <v>0</v>
      </c>
      <c r="M222">
        <v>3.29</v>
      </c>
      <c r="N222">
        <v>0</v>
      </c>
      <c r="O222" t="str">
        <f>IF(financial_fraud_data[[#This Row],[Risk_Score]]&gt;8,"High",IF(financial_fraud_data[[#This Row],[Risk_Score]]&gt;5,"Med","Low"))</f>
        <v>Low</v>
      </c>
      <c r="P222" t="str">
        <f>TEXT(financial_fraud_data[[#This Row],[Transaction_Date]],"MMM")</f>
        <v>Jan</v>
      </c>
      <c r="Q222" t="str">
        <f>IF(financial_fraud_data[[#This Row],[Is_Fraud]]=1,"Yes","No")</f>
        <v>No</v>
      </c>
    </row>
    <row r="223" spans="1:17" x14ac:dyDescent="0.2">
      <c r="A223" t="s">
        <v>438</v>
      </c>
      <c r="B223" t="s">
        <v>439</v>
      </c>
      <c r="C223" s="1">
        <v>45301.208333333336</v>
      </c>
      <c r="D223">
        <v>28437.01</v>
      </c>
      <c r="E223" t="s">
        <v>34</v>
      </c>
      <c r="F223" t="s">
        <v>17</v>
      </c>
      <c r="G223" t="s">
        <v>65</v>
      </c>
      <c r="H223" t="s">
        <v>29</v>
      </c>
      <c r="I223" t="s">
        <v>24</v>
      </c>
      <c r="J223" t="s">
        <v>37</v>
      </c>
      <c r="K223">
        <v>0</v>
      </c>
      <c r="L223">
        <v>2</v>
      </c>
      <c r="M223">
        <v>6.84</v>
      </c>
      <c r="N223">
        <v>1</v>
      </c>
      <c r="O223" t="str">
        <f>IF(financial_fraud_data[[#This Row],[Risk_Score]]&gt;8,"High",IF(financial_fraud_data[[#This Row],[Risk_Score]]&gt;5,"Med","Low"))</f>
        <v>Med</v>
      </c>
      <c r="P223" t="str">
        <f>TEXT(financial_fraud_data[[#This Row],[Transaction_Date]],"MMM")</f>
        <v>Jan</v>
      </c>
      <c r="Q223" t="str">
        <f>IF(financial_fraud_data[[#This Row],[Is_Fraud]]=1,"Yes","No")</f>
        <v>Yes</v>
      </c>
    </row>
    <row r="224" spans="1:17" x14ac:dyDescent="0.2">
      <c r="A224" t="s">
        <v>440</v>
      </c>
      <c r="B224" t="s">
        <v>441</v>
      </c>
      <c r="C224" s="1">
        <v>45301.25</v>
      </c>
      <c r="D224">
        <v>4729.05</v>
      </c>
      <c r="E224" t="s">
        <v>42</v>
      </c>
      <c r="F224" t="s">
        <v>47</v>
      </c>
      <c r="G224" t="s">
        <v>28</v>
      </c>
      <c r="H224" t="s">
        <v>23</v>
      </c>
      <c r="I224" t="s">
        <v>29</v>
      </c>
      <c r="J224" t="s">
        <v>20</v>
      </c>
      <c r="K224">
        <v>0</v>
      </c>
      <c r="L224">
        <v>2</v>
      </c>
      <c r="M224">
        <v>4.47</v>
      </c>
      <c r="N224">
        <v>0</v>
      </c>
      <c r="O224" t="str">
        <f>IF(financial_fraud_data[[#This Row],[Risk_Score]]&gt;8,"High",IF(financial_fraud_data[[#This Row],[Risk_Score]]&gt;5,"Med","Low"))</f>
        <v>Low</v>
      </c>
      <c r="P224" t="str">
        <f>TEXT(financial_fraud_data[[#This Row],[Transaction_Date]],"MMM")</f>
        <v>Jan</v>
      </c>
      <c r="Q224" t="str">
        <f>IF(financial_fraud_data[[#This Row],[Is_Fraud]]=1,"Yes","No")</f>
        <v>No</v>
      </c>
    </row>
    <row r="225" spans="1:17" x14ac:dyDescent="0.2">
      <c r="A225" t="s">
        <v>442</v>
      </c>
      <c r="B225" t="s">
        <v>166</v>
      </c>
      <c r="C225" s="1">
        <v>45301.291666666664</v>
      </c>
      <c r="D225">
        <v>18417.400000000001</v>
      </c>
      <c r="E225" t="s">
        <v>80</v>
      </c>
      <c r="F225" t="s">
        <v>47</v>
      </c>
      <c r="G225" t="s">
        <v>28</v>
      </c>
      <c r="H225" t="s">
        <v>19</v>
      </c>
      <c r="I225" t="s">
        <v>24</v>
      </c>
      <c r="J225" t="s">
        <v>37</v>
      </c>
      <c r="K225">
        <v>0</v>
      </c>
      <c r="L225">
        <v>1</v>
      </c>
      <c r="M225">
        <v>4.34</v>
      </c>
      <c r="N225">
        <v>0</v>
      </c>
      <c r="O225" t="str">
        <f>IF(financial_fraud_data[[#This Row],[Risk_Score]]&gt;8,"High",IF(financial_fraud_data[[#This Row],[Risk_Score]]&gt;5,"Med","Low"))</f>
        <v>Low</v>
      </c>
      <c r="P225" t="str">
        <f>TEXT(financial_fraud_data[[#This Row],[Transaction_Date]],"MMM")</f>
        <v>Jan</v>
      </c>
      <c r="Q225" t="str">
        <f>IF(financial_fraud_data[[#This Row],[Is_Fraud]]=1,"Yes","No")</f>
        <v>No</v>
      </c>
    </row>
    <row r="226" spans="1:17" x14ac:dyDescent="0.2">
      <c r="A226" t="s">
        <v>443</v>
      </c>
      <c r="B226" t="s">
        <v>444</v>
      </c>
      <c r="C226" s="1">
        <v>45301.333333333336</v>
      </c>
      <c r="D226">
        <v>13296.86</v>
      </c>
      <c r="E226" t="s">
        <v>42</v>
      </c>
      <c r="F226" t="s">
        <v>47</v>
      </c>
      <c r="G226" t="s">
        <v>56</v>
      </c>
      <c r="H226" t="s">
        <v>29</v>
      </c>
      <c r="I226" t="s">
        <v>24</v>
      </c>
      <c r="J226" t="s">
        <v>37</v>
      </c>
      <c r="K226">
        <v>0</v>
      </c>
      <c r="L226">
        <v>0</v>
      </c>
      <c r="M226">
        <v>2.33</v>
      </c>
      <c r="N226">
        <v>0</v>
      </c>
      <c r="O226" t="str">
        <f>IF(financial_fraud_data[[#This Row],[Risk_Score]]&gt;8,"High",IF(financial_fraud_data[[#This Row],[Risk_Score]]&gt;5,"Med","Low"))</f>
        <v>Low</v>
      </c>
      <c r="P226" t="str">
        <f>TEXT(financial_fraud_data[[#This Row],[Transaction_Date]],"MMM")</f>
        <v>Jan</v>
      </c>
      <c r="Q226" t="str">
        <f>IF(financial_fraud_data[[#This Row],[Is_Fraud]]=1,"Yes","No")</f>
        <v>No</v>
      </c>
    </row>
    <row r="227" spans="1:17" x14ac:dyDescent="0.2">
      <c r="A227" t="s">
        <v>445</v>
      </c>
      <c r="B227" t="s">
        <v>446</v>
      </c>
      <c r="C227" s="1">
        <v>45301.375</v>
      </c>
      <c r="D227">
        <v>12237.28</v>
      </c>
      <c r="E227" t="s">
        <v>34</v>
      </c>
      <c r="F227" t="s">
        <v>27</v>
      </c>
      <c r="G227" t="s">
        <v>35</v>
      </c>
      <c r="H227" t="s">
        <v>24</v>
      </c>
      <c r="I227" t="s">
        <v>24</v>
      </c>
      <c r="J227" t="s">
        <v>20</v>
      </c>
      <c r="K227">
        <v>0</v>
      </c>
      <c r="L227">
        <v>3</v>
      </c>
      <c r="M227">
        <v>5.72</v>
      </c>
      <c r="N227">
        <v>1</v>
      </c>
      <c r="O227" t="str">
        <f>IF(financial_fraud_data[[#This Row],[Risk_Score]]&gt;8,"High",IF(financial_fraud_data[[#This Row],[Risk_Score]]&gt;5,"Med","Low"))</f>
        <v>Med</v>
      </c>
      <c r="P227" t="str">
        <f>TEXT(financial_fraud_data[[#This Row],[Transaction_Date]],"MMM")</f>
        <v>Jan</v>
      </c>
      <c r="Q227" t="str">
        <f>IF(financial_fraud_data[[#This Row],[Is_Fraud]]=1,"Yes","No")</f>
        <v>Yes</v>
      </c>
    </row>
    <row r="228" spans="1:17" x14ac:dyDescent="0.2">
      <c r="A228" t="s">
        <v>447</v>
      </c>
      <c r="B228" t="s">
        <v>448</v>
      </c>
      <c r="C228" s="1">
        <v>45301.416666666664</v>
      </c>
      <c r="D228">
        <v>48651.88</v>
      </c>
      <c r="E228" t="s">
        <v>42</v>
      </c>
      <c r="F228" t="s">
        <v>27</v>
      </c>
      <c r="G228" t="s">
        <v>65</v>
      </c>
      <c r="H228" t="s">
        <v>24</v>
      </c>
      <c r="I228" t="s">
        <v>19</v>
      </c>
      <c r="J228" t="s">
        <v>20</v>
      </c>
      <c r="K228">
        <v>1</v>
      </c>
      <c r="L228">
        <v>0</v>
      </c>
      <c r="M228">
        <v>7.87</v>
      </c>
      <c r="N228">
        <v>1</v>
      </c>
      <c r="O228" t="str">
        <f>IF(financial_fraud_data[[#This Row],[Risk_Score]]&gt;8,"High",IF(financial_fraud_data[[#This Row],[Risk_Score]]&gt;5,"Med","Low"))</f>
        <v>Med</v>
      </c>
      <c r="P228" t="str">
        <f>TEXT(financial_fraud_data[[#This Row],[Transaction_Date]],"MMM")</f>
        <v>Jan</v>
      </c>
      <c r="Q228" t="str">
        <f>IF(financial_fraud_data[[#This Row],[Is_Fraud]]=1,"Yes","No")</f>
        <v>Yes</v>
      </c>
    </row>
    <row r="229" spans="1:17" x14ac:dyDescent="0.2">
      <c r="A229" t="s">
        <v>449</v>
      </c>
      <c r="B229" t="s">
        <v>450</v>
      </c>
      <c r="C229" s="1">
        <v>45301.458333333336</v>
      </c>
      <c r="D229">
        <v>19685.23</v>
      </c>
      <c r="E229" t="s">
        <v>34</v>
      </c>
      <c r="F229" t="s">
        <v>50</v>
      </c>
      <c r="G229" t="s">
        <v>28</v>
      </c>
      <c r="H229" t="s">
        <v>24</v>
      </c>
      <c r="I229" t="s">
        <v>24</v>
      </c>
      <c r="J229" t="s">
        <v>20</v>
      </c>
      <c r="K229">
        <v>0</v>
      </c>
      <c r="L229">
        <v>3</v>
      </c>
      <c r="M229">
        <v>6.47</v>
      </c>
      <c r="N229">
        <v>1</v>
      </c>
      <c r="O229" t="str">
        <f>IF(financial_fraud_data[[#This Row],[Risk_Score]]&gt;8,"High",IF(financial_fraud_data[[#This Row],[Risk_Score]]&gt;5,"Med","Low"))</f>
        <v>Med</v>
      </c>
      <c r="P229" t="str">
        <f>TEXT(financial_fraud_data[[#This Row],[Transaction_Date]],"MMM")</f>
        <v>Jan</v>
      </c>
      <c r="Q229" t="str">
        <f>IF(financial_fraud_data[[#This Row],[Is_Fraud]]=1,"Yes","No")</f>
        <v>Yes</v>
      </c>
    </row>
    <row r="230" spans="1:17" x14ac:dyDescent="0.2">
      <c r="A230" t="s">
        <v>451</v>
      </c>
      <c r="B230" t="s">
        <v>53</v>
      </c>
      <c r="C230" s="1">
        <v>45301.5</v>
      </c>
      <c r="D230">
        <v>44607.73</v>
      </c>
      <c r="E230" t="s">
        <v>42</v>
      </c>
      <c r="F230" t="s">
        <v>47</v>
      </c>
      <c r="G230" t="s">
        <v>65</v>
      </c>
      <c r="H230" t="s">
        <v>29</v>
      </c>
      <c r="I230" t="s">
        <v>24</v>
      </c>
      <c r="J230" t="s">
        <v>37</v>
      </c>
      <c r="K230">
        <v>0</v>
      </c>
      <c r="L230">
        <v>2</v>
      </c>
      <c r="M230">
        <v>8.4600000000000009</v>
      </c>
      <c r="N230">
        <v>1</v>
      </c>
      <c r="O230" t="str">
        <f>IF(financial_fraud_data[[#This Row],[Risk_Score]]&gt;8,"High",IF(financial_fraud_data[[#This Row],[Risk_Score]]&gt;5,"Med","Low"))</f>
        <v>High</v>
      </c>
      <c r="P230" t="str">
        <f>TEXT(financial_fraud_data[[#This Row],[Transaction_Date]],"MMM")</f>
        <v>Jan</v>
      </c>
      <c r="Q230" t="str">
        <f>IF(financial_fraud_data[[#This Row],[Is_Fraud]]=1,"Yes","No")</f>
        <v>Yes</v>
      </c>
    </row>
    <row r="231" spans="1:17" x14ac:dyDescent="0.2">
      <c r="A231" t="s">
        <v>452</v>
      </c>
      <c r="B231" t="s">
        <v>453</v>
      </c>
      <c r="C231" s="1">
        <v>45301.541666666664</v>
      </c>
      <c r="D231">
        <v>31575.37</v>
      </c>
      <c r="E231" t="s">
        <v>34</v>
      </c>
      <c r="F231" t="s">
        <v>27</v>
      </c>
      <c r="G231" t="s">
        <v>28</v>
      </c>
      <c r="H231" t="s">
        <v>19</v>
      </c>
      <c r="I231" t="s">
        <v>19</v>
      </c>
      <c r="J231" t="s">
        <v>20</v>
      </c>
      <c r="K231">
        <v>0</v>
      </c>
      <c r="L231">
        <v>0</v>
      </c>
      <c r="M231">
        <v>3.16</v>
      </c>
      <c r="N231">
        <v>0</v>
      </c>
      <c r="O231" t="str">
        <f>IF(financial_fraud_data[[#This Row],[Risk_Score]]&gt;8,"High",IF(financial_fraud_data[[#This Row],[Risk_Score]]&gt;5,"Med","Low"))</f>
        <v>Low</v>
      </c>
      <c r="P231" t="str">
        <f>TEXT(financial_fraud_data[[#This Row],[Transaction_Date]],"MMM")</f>
        <v>Jan</v>
      </c>
      <c r="Q231" t="str">
        <f>IF(financial_fraud_data[[#This Row],[Is_Fraud]]=1,"Yes","No")</f>
        <v>No</v>
      </c>
    </row>
    <row r="232" spans="1:17" x14ac:dyDescent="0.2">
      <c r="A232" t="s">
        <v>454</v>
      </c>
      <c r="B232" t="s">
        <v>455</v>
      </c>
      <c r="C232" s="1">
        <v>45301.583333333336</v>
      </c>
      <c r="D232">
        <v>39750.82</v>
      </c>
      <c r="E232" t="s">
        <v>16</v>
      </c>
      <c r="F232" t="s">
        <v>17</v>
      </c>
      <c r="G232" t="s">
        <v>35</v>
      </c>
      <c r="H232" t="s">
        <v>36</v>
      </c>
      <c r="I232" t="s">
        <v>36</v>
      </c>
      <c r="J232" t="s">
        <v>20</v>
      </c>
      <c r="K232">
        <v>0</v>
      </c>
      <c r="L232">
        <v>0</v>
      </c>
      <c r="M232">
        <v>3.98</v>
      </c>
      <c r="N232">
        <v>0</v>
      </c>
      <c r="O232" t="str">
        <f>IF(financial_fraud_data[[#This Row],[Risk_Score]]&gt;8,"High",IF(financial_fraud_data[[#This Row],[Risk_Score]]&gt;5,"Med","Low"))</f>
        <v>Low</v>
      </c>
      <c r="P232" t="str">
        <f>TEXT(financial_fraud_data[[#This Row],[Transaction_Date]],"MMM")</f>
        <v>Jan</v>
      </c>
      <c r="Q232" t="str">
        <f>IF(financial_fraud_data[[#This Row],[Is_Fraud]]=1,"Yes","No")</f>
        <v>No</v>
      </c>
    </row>
    <row r="233" spans="1:17" x14ac:dyDescent="0.2">
      <c r="A233" t="s">
        <v>456</v>
      </c>
      <c r="B233" t="s">
        <v>457</v>
      </c>
      <c r="C233" s="1">
        <v>45301.625</v>
      </c>
      <c r="D233">
        <v>25156.720000000001</v>
      </c>
      <c r="E233" t="s">
        <v>42</v>
      </c>
      <c r="F233" t="s">
        <v>17</v>
      </c>
      <c r="G233" t="s">
        <v>28</v>
      </c>
      <c r="H233" t="s">
        <v>23</v>
      </c>
      <c r="I233" t="s">
        <v>23</v>
      </c>
      <c r="J233" t="s">
        <v>51</v>
      </c>
      <c r="K233">
        <v>0</v>
      </c>
      <c r="L233">
        <v>2</v>
      </c>
      <c r="M233">
        <v>5.52</v>
      </c>
      <c r="N233">
        <v>1</v>
      </c>
      <c r="O233" t="str">
        <f>IF(financial_fraud_data[[#This Row],[Risk_Score]]&gt;8,"High",IF(financial_fraud_data[[#This Row],[Risk_Score]]&gt;5,"Med","Low"))</f>
        <v>Med</v>
      </c>
      <c r="P233" t="str">
        <f>TEXT(financial_fraud_data[[#This Row],[Transaction_Date]],"MMM")</f>
        <v>Jan</v>
      </c>
      <c r="Q233" t="str">
        <f>IF(financial_fraud_data[[#This Row],[Is_Fraud]]=1,"Yes","No")</f>
        <v>Yes</v>
      </c>
    </row>
    <row r="234" spans="1:17" x14ac:dyDescent="0.2">
      <c r="A234" t="s">
        <v>458</v>
      </c>
      <c r="B234" t="s">
        <v>459</v>
      </c>
      <c r="C234" s="1">
        <v>45301.666666666664</v>
      </c>
      <c r="D234">
        <v>28866.35</v>
      </c>
      <c r="E234" t="s">
        <v>42</v>
      </c>
      <c r="F234" t="s">
        <v>47</v>
      </c>
      <c r="G234" t="s">
        <v>28</v>
      </c>
      <c r="H234" t="s">
        <v>36</v>
      </c>
      <c r="I234" t="s">
        <v>19</v>
      </c>
      <c r="J234" t="s">
        <v>51</v>
      </c>
      <c r="K234">
        <v>0</v>
      </c>
      <c r="L234">
        <v>0</v>
      </c>
      <c r="M234">
        <v>3.89</v>
      </c>
      <c r="N234">
        <v>0</v>
      </c>
      <c r="O234" t="str">
        <f>IF(financial_fraud_data[[#This Row],[Risk_Score]]&gt;8,"High",IF(financial_fraud_data[[#This Row],[Risk_Score]]&gt;5,"Med","Low"))</f>
        <v>Low</v>
      </c>
      <c r="P234" t="str">
        <f>TEXT(financial_fraud_data[[#This Row],[Transaction_Date]],"MMM")</f>
        <v>Jan</v>
      </c>
      <c r="Q234" t="str">
        <f>IF(financial_fraud_data[[#This Row],[Is_Fraud]]=1,"Yes","No")</f>
        <v>No</v>
      </c>
    </row>
    <row r="235" spans="1:17" x14ac:dyDescent="0.2">
      <c r="A235" t="s">
        <v>460</v>
      </c>
      <c r="B235" t="s">
        <v>180</v>
      </c>
      <c r="C235" s="1">
        <v>45301.708333333336</v>
      </c>
      <c r="D235">
        <v>24651.26</v>
      </c>
      <c r="E235" t="s">
        <v>16</v>
      </c>
      <c r="F235" t="s">
        <v>50</v>
      </c>
      <c r="G235" t="s">
        <v>18</v>
      </c>
      <c r="H235" t="s">
        <v>19</v>
      </c>
      <c r="I235" t="s">
        <v>19</v>
      </c>
      <c r="J235" t="s">
        <v>20</v>
      </c>
      <c r="K235">
        <v>0</v>
      </c>
      <c r="L235">
        <v>3</v>
      </c>
      <c r="M235">
        <v>6.97</v>
      </c>
      <c r="N235">
        <v>1</v>
      </c>
      <c r="O235" t="str">
        <f>IF(financial_fraud_data[[#This Row],[Risk_Score]]&gt;8,"High",IF(financial_fraud_data[[#This Row],[Risk_Score]]&gt;5,"Med","Low"))</f>
        <v>Med</v>
      </c>
      <c r="P235" t="str">
        <f>TEXT(financial_fraud_data[[#This Row],[Transaction_Date]],"MMM")</f>
        <v>Jan</v>
      </c>
      <c r="Q235" t="str">
        <f>IF(financial_fraud_data[[#This Row],[Is_Fraud]]=1,"Yes","No")</f>
        <v>Yes</v>
      </c>
    </row>
    <row r="236" spans="1:17" x14ac:dyDescent="0.2">
      <c r="A236" t="s">
        <v>461</v>
      </c>
      <c r="B236" t="s">
        <v>462</v>
      </c>
      <c r="C236" s="1">
        <v>45301.75</v>
      </c>
      <c r="D236">
        <v>9802.39</v>
      </c>
      <c r="E236" t="s">
        <v>16</v>
      </c>
      <c r="F236" t="s">
        <v>50</v>
      </c>
      <c r="G236" t="s">
        <v>35</v>
      </c>
      <c r="H236" t="s">
        <v>36</v>
      </c>
      <c r="I236" t="s">
        <v>24</v>
      </c>
      <c r="J236" t="s">
        <v>20</v>
      </c>
      <c r="K236">
        <v>0</v>
      </c>
      <c r="L236">
        <v>0</v>
      </c>
      <c r="M236">
        <v>1.98</v>
      </c>
      <c r="N236">
        <v>0</v>
      </c>
      <c r="O236" t="str">
        <f>IF(financial_fraud_data[[#This Row],[Risk_Score]]&gt;8,"High",IF(financial_fraud_data[[#This Row],[Risk_Score]]&gt;5,"Med","Low"))</f>
        <v>Low</v>
      </c>
      <c r="P236" t="str">
        <f>TEXT(financial_fraud_data[[#This Row],[Transaction_Date]],"MMM")</f>
        <v>Jan</v>
      </c>
      <c r="Q236" t="str">
        <f>IF(financial_fraud_data[[#This Row],[Is_Fraud]]=1,"Yes","No")</f>
        <v>No</v>
      </c>
    </row>
    <row r="237" spans="1:17" x14ac:dyDescent="0.2">
      <c r="A237" t="s">
        <v>463</v>
      </c>
      <c r="B237" t="s">
        <v>464</v>
      </c>
      <c r="C237" s="1">
        <v>45301.791666666664</v>
      </c>
      <c r="D237">
        <v>36136.480000000003</v>
      </c>
      <c r="E237" t="s">
        <v>42</v>
      </c>
      <c r="F237" t="s">
        <v>17</v>
      </c>
      <c r="G237" t="s">
        <v>56</v>
      </c>
      <c r="H237" t="s">
        <v>29</v>
      </c>
      <c r="I237" t="s">
        <v>24</v>
      </c>
      <c r="J237" t="s">
        <v>20</v>
      </c>
      <c r="K237">
        <v>0</v>
      </c>
      <c r="L237">
        <v>3</v>
      </c>
      <c r="M237">
        <v>9.11</v>
      </c>
      <c r="N237">
        <v>1</v>
      </c>
      <c r="O237" t="str">
        <f>IF(financial_fraud_data[[#This Row],[Risk_Score]]&gt;8,"High",IF(financial_fraud_data[[#This Row],[Risk_Score]]&gt;5,"Med","Low"))</f>
        <v>High</v>
      </c>
      <c r="P237" t="str">
        <f>TEXT(financial_fraud_data[[#This Row],[Transaction_Date]],"MMM")</f>
        <v>Jan</v>
      </c>
      <c r="Q237" t="str">
        <f>IF(financial_fraud_data[[#This Row],[Is_Fraud]]=1,"Yes","No")</f>
        <v>Yes</v>
      </c>
    </row>
    <row r="238" spans="1:17" x14ac:dyDescent="0.2">
      <c r="A238" t="s">
        <v>465</v>
      </c>
      <c r="B238" t="s">
        <v>365</v>
      </c>
      <c r="C238" s="1">
        <v>45301.833333333336</v>
      </c>
      <c r="D238">
        <v>14074.58</v>
      </c>
      <c r="E238" t="s">
        <v>16</v>
      </c>
      <c r="F238" t="s">
        <v>50</v>
      </c>
      <c r="G238" t="s">
        <v>56</v>
      </c>
      <c r="H238" t="s">
        <v>24</v>
      </c>
      <c r="I238" t="s">
        <v>23</v>
      </c>
      <c r="J238" t="s">
        <v>20</v>
      </c>
      <c r="K238">
        <v>1</v>
      </c>
      <c r="L238">
        <v>1</v>
      </c>
      <c r="M238">
        <v>5.91</v>
      </c>
      <c r="N238">
        <v>1</v>
      </c>
      <c r="O238" t="str">
        <f>IF(financial_fraud_data[[#This Row],[Risk_Score]]&gt;8,"High",IF(financial_fraud_data[[#This Row],[Risk_Score]]&gt;5,"Med","Low"))</f>
        <v>Med</v>
      </c>
      <c r="P238" t="str">
        <f>TEXT(financial_fraud_data[[#This Row],[Transaction_Date]],"MMM")</f>
        <v>Jan</v>
      </c>
      <c r="Q238" t="str">
        <f>IF(financial_fraud_data[[#This Row],[Is_Fraud]]=1,"Yes","No")</f>
        <v>Yes</v>
      </c>
    </row>
    <row r="239" spans="1:17" x14ac:dyDescent="0.2">
      <c r="A239" t="s">
        <v>466</v>
      </c>
      <c r="B239" t="s">
        <v>170</v>
      </c>
      <c r="C239" s="1">
        <v>45301.875</v>
      </c>
      <c r="D239">
        <v>1264.58</v>
      </c>
      <c r="E239" t="s">
        <v>80</v>
      </c>
      <c r="F239" t="s">
        <v>47</v>
      </c>
      <c r="G239" t="s">
        <v>35</v>
      </c>
      <c r="H239" t="s">
        <v>19</v>
      </c>
      <c r="I239" t="s">
        <v>24</v>
      </c>
      <c r="J239" t="s">
        <v>51</v>
      </c>
      <c r="K239">
        <v>0</v>
      </c>
      <c r="L239">
        <v>0</v>
      </c>
      <c r="M239">
        <v>1.1299999999999999</v>
      </c>
      <c r="N239">
        <v>0</v>
      </c>
      <c r="O239" t="str">
        <f>IF(financial_fraud_data[[#This Row],[Risk_Score]]&gt;8,"High",IF(financial_fraud_data[[#This Row],[Risk_Score]]&gt;5,"Med","Low"))</f>
        <v>Low</v>
      </c>
      <c r="P239" t="str">
        <f>TEXT(financial_fraud_data[[#This Row],[Transaction_Date]],"MMM")</f>
        <v>Jan</v>
      </c>
      <c r="Q239" t="str">
        <f>IF(financial_fraud_data[[#This Row],[Is_Fraud]]=1,"Yes","No")</f>
        <v>No</v>
      </c>
    </row>
    <row r="240" spans="1:17" x14ac:dyDescent="0.2">
      <c r="A240" t="s">
        <v>467</v>
      </c>
      <c r="B240" t="s">
        <v>468</v>
      </c>
      <c r="C240" s="1">
        <v>45301.916666666664</v>
      </c>
      <c r="D240">
        <v>32291.34</v>
      </c>
      <c r="E240" t="s">
        <v>34</v>
      </c>
      <c r="F240" t="s">
        <v>17</v>
      </c>
      <c r="G240" t="s">
        <v>56</v>
      </c>
      <c r="H240" t="s">
        <v>19</v>
      </c>
      <c r="I240" t="s">
        <v>29</v>
      </c>
      <c r="J240" t="s">
        <v>37</v>
      </c>
      <c r="K240">
        <v>0</v>
      </c>
      <c r="L240">
        <v>3</v>
      </c>
      <c r="M240">
        <v>8.73</v>
      </c>
      <c r="N240">
        <v>1</v>
      </c>
      <c r="O240" t="str">
        <f>IF(financial_fraud_data[[#This Row],[Risk_Score]]&gt;8,"High",IF(financial_fraud_data[[#This Row],[Risk_Score]]&gt;5,"Med","Low"))</f>
        <v>High</v>
      </c>
      <c r="P240" t="str">
        <f>TEXT(financial_fraud_data[[#This Row],[Transaction_Date]],"MMM")</f>
        <v>Jan</v>
      </c>
      <c r="Q240" t="str">
        <f>IF(financial_fraud_data[[#This Row],[Is_Fraud]]=1,"Yes","No")</f>
        <v>Yes</v>
      </c>
    </row>
    <row r="241" spans="1:17" x14ac:dyDescent="0.2">
      <c r="A241" t="s">
        <v>469</v>
      </c>
      <c r="B241" t="s">
        <v>470</v>
      </c>
      <c r="C241" s="1">
        <v>45301.958333333336</v>
      </c>
      <c r="D241">
        <v>8896.68</v>
      </c>
      <c r="E241" t="s">
        <v>34</v>
      </c>
      <c r="F241" t="s">
        <v>27</v>
      </c>
      <c r="G241" t="s">
        <v>35</v>
      </c>
      <c r="H241" t="s">
        <v>36</v>
      </c>
      <c r="I241" t="s">
        <v>24</v>
      </c>
      <c r="J241" t="s">
        <v>20</v>
      </c>
      <c r="K241">
        <v>1</v>
      </c>
      <c r="L241">
        <v>2</v>
      </c>
      <c r="M241">
        <v>6.89</v>
      </c>
      <c r="N241">
        <v>1</v>
      </c>
      <c r="O241" t="str">
        <f>IF(financial_fraud_data[[#This Row],[Risk_Score]]&gt;8,"High",IF(financial_fraud_data[[#This Row],[Risk_Score]]&gt;5,"Med","Low"))</f>
        <v>Med</v>
      </c>
      <c r="P241" t="str">
        <f>TEXT(financial_fraud_data[[#This Row],[Transaction_Date]],"MMM")</f>
        <v>Jan</v>
      </c>
      <c r="Q241" t="str">
        <f>IF(financial_fraud_data[[#This Row],[Is_Fraud]]=1,"Yes","No")</f>
        <v>Yes</v>
      </c>
    </row>
    <row r="242" spans="1:17" x14ac:dyDescent="0.2">
      <c r="A242" t="s">
        <v>471</v>
      </c>
      <c r="B242" t="s">
        <v>472</v>
      </c>
      <c r="C242" s="1">
        <v>45302</v>
      </c>
      <c r="D242">
        <v>47025.91</v>
      </c>
      <c r="E242" t="s">
        <v>34</v>
      </c>
      <c r="F242" t="s">
        <v>27</v>
      </c>
      <c r="G242" t="s">
        <v>56</v>
      </c>
      <c r="H242" t="s">
        <v>29</v>
      </c>
      <c r="I242" t="s">
        <v>24</v>
      </c>
      <c r="J242" t="s">
        <v>20</v>
      </c>
      <c r="K242">
        <v>0</v>
      </c>
      <c r="L242">
        <v>1</v>
      </c>
      <c r="M242">
        <v>7.2</v>
      </c>
      <c r="N242">
        <v>1</v>
      </c>
      <c r="O242" t="str">
        <f>IF(financial_fraud_data[[#This Row],[Risk_Score]]&gt;8,"High",IF(financial_fraud_data[[#This Row],[Risk_Score]]&gt;5,"Med","Low"))</f>
        <v>Med</v>
      </c>
      <c r="P242" t="str">
        <f>TEXT(financial_fraud_data[[#This Row],[Transaction_Date]],"MMM")</f>
        <v>Jan</v>
      </c>
      <c r="Q242" t="str">
        <f>IF(financial_fraud_data[[#This Row],[Is_Fraud]]=1,"Yes","No")</f>
        <v>Yes</v>
      </c>
    </row>
    <row r="243" spans="1:17" x14ac:dyDescent="0.2">
      <c r="A243" t="s">
        <v>473</v>
      </c>
      <c r="B243" t="s">
        <v>474</v>
      </c>
      <c r="C243" s="1">
        <v>45302.041666666664</v>
      </c>
      <c r="D243">
        <v>47698.73</v>
      </c>
      <c r="E243" t="s">
        <v>80</v>
      </c>
      <c r="F243" t="s">
        <v>50</v>
      </c>
      <c r="G243" t="s">
        <v>18</v>
      </c>
      <c r="H243" t="s">
        <v>36</v>
      </c>
      <c r="I243" t="s">
        <v>29</v>
      </c>
      <c r="J243" t="s">
        <v>51</v>
      </c>
      <c r="K243">
        <v>0</v>
      </c>
      <c r="L243">
        <v>0</v>
      </c>
      <c r="M243">
        <v>5.77</v>
      </c>
      <c r="N243">
        <v>1</v>
      </c>
      <c r="O243" t="str">
        <f>IF(financial_fraud_data[[#This Row],[Risk_Score]]&gt;8,"High",IF(financial_fraud_data[[#This Row],[Risk_Score]]&gt;5,"Med","Low"))</f>
        <v>Med</v>
      </c>
      <c r="P243" t="str">
        <f>TEXT(financial_fraud_data[[#This Row],[Transaction_Date]],"MMM")</f>
        <v>Jan</v>
      </c>
      <c r="Q243" t="str">
        <f>IF(financial_fraud_data[[#This Row],[Is_Fraud]]=1,"Yes","No")</f>
        <v>Yes</v>
      </c>
    </row>
    <row r="244" spans="1:17" x14ac:dyDescent="0.2">
      <c r="A244" t="s">
        <v>475</v>
      </c>
      <c r="B244" t="s">
        <v>69</v>
      </c>
      <c r="C244" s="1">
        <v>45302.083333333336</v>
      </c>
      <c r="D244">
        <v>45747.48</v>
      </c>
      <c r="E244" t="s">
        <v>16</v>
      </c>
      <c r="F244" t="s">
        <v>17</v>
      </c>
      <c r="G244" t="s">
        <v>56</v>
      </c>
      <c r="H244" t="s">
        <v>36</v>
      </c>
      <c r="I244" t="s">
        <v>23</v>
      </c>
      <c r="J244" t="s">
        <v>20</v>
      </c>
      <c r="K244">
        <v>0</v>
      </c>
      <c r="L244">
        <v>3</v>
      </c>
      <c r="M244">
        <v>10.07</v>
      </c>
      <c r="N244">
        <v>1</v>
      </c>
      <c r="O244" t="str">
        <f>IF(financial_fraud_data[[#This Row],[Risk_Score]]&gt;8,"High",IF(financial_fraud_data[[#This Row],[Risk_Score]]&gt;5,"Med","Low"))</f>
        <v>High</v>
      </c>
      <c r="P244" t="str">
        <f>TEXT(financial_fraud_data[[#This Row],[Transaction_Date]],"MMM")</f>
        <v>Jan</v>
      </c>
      <c r="Q244" t="str">
        <f>IF(financial_fraud_data[[#This Row],[Is_Fraud]]=1,"Yes","No")</f>
        <v>Yes</v>
      </c>
    </row>
    <row r="245" spans="1:17" x14ac:dyDescent="0.2">
      <c r="A245" t="s">
        <v>476</v>
      </c>
      <c r="B245" t="s">
        <v>477</v>
      </c>
      <c r="C245" s="1">
        <v>45302.125</v>
      </c>
      <c r="D245">
        <v>18539.43</v>
      </c>
      <c r="E245" t="s">
        <v>16</v>
      </c>
      <c r="F245" t="s">
        <v>17</v>
      </c>
      <c r="G245" t="s">
        <v>28</v>
      </c>
      <c r="H245" t="s">
        <v>19</v>
      </c>
      <c r="I245" t="s">
        <v>29</v>
      </c>
      <c r="J245" t="s">
        <v>20</v>
      </c>
      <c r="K245">
        <v>0</v>
      </c>
      <c r="L245">
        <v>0</v>
      </c>
      <c r="M245">
        <v>2.85</v>
      </c>
      <c r="N245">
        <v>0</v>
      </c>
      <c r="O245" t="str">
        <f>IF(financial_fraud_data[[#This Row],[Risk_Score]]&gt;8,"High",IF(financial_fraud_data[[#This Row],[Risk_Score]]&gt;5,"Med","Low"))</f>
        <v>Low</v>
      </c>
      <c r="P245" t="str">
        <f>TEXT(financial_fraud_data[[#This Row],[Transaction_Date]],"MMM")</f>
        <v>Jan</v>
      </c>
      <c r="Q245" t="str">
        <f>IF(financial_fraud_data[[#This Row],[Is_Fraud]]=1,"Yes","No")</f>
        <v>No</v>
      </c>
    </row>
    <row r="246" spans="1:17" x14ac:dyDescent="0.2">
      <c r="A246" t="s">
        <v>478</v>
      </c>
      <c r="B246" t="s">
        <v>172</v>
      </c>
      <c r="C246" s="1">
        <v>45302.166666666664</v>
      </c>
      <c r="D246">
        <v>822.06</v>
      </c>
      <c r="E246" t="s">
        <v>42</v>
      </c>
      <c r="F246" t="s">
        <v>27</v>
      </c>
      <c r="G246" t="s">
        <v>35</v>
      </c>
      <c r="H246" t="s">
        <v>36</v>
      </c>
      <c r="I246" t="s">
        <v>19</v>
      </c>
      <c r="J246" t="s">
        <v>51</v>
      </c>
      <c r="K246">
        <v>0</v>
      </c>
      <c r="L246">
        <v>3</v>
      </c>
      <c r="M246">
        <v>5.58</v>
      </c>
      <c r="N246">
        <v>1</v>
      </c>
      <c r="O246" t="str">
        <f>IF(financial_fraud_data[[#This Row],[Risk_Score]]&gt;8,"High",IF(financial_fraud_data[[#This Row],[Risk_Score]]&gt;5,"Med","Low"))</f>
        <v>Med</v>
      </c>
      <c r="P246" t="str">
        <f>TEXT(financial_fraud_data[[#This Row],[Transaction_Date]],"MMM")</f>
        <v>Jan</v>
      </c>
      <c r="Q246" t="str">
        <f>IF(financial_fraud_data[[#This Row],[Is_Fraud]]=1,"Yes","No")</f>
        <v>Yes</v>
      </c>
    </row>
    <row r="247" spans="1:17" x14ac:dyDescent="0.2">
      <c r="A247" t="s">
        <v>479</v>
      </c>
      <c r="B247" t="s">
        <v>282</v>
      </c>
      <c r="C247" s="1">
        <v>45302.208333333336</v>
      </c>
      <c r="D247">
        <v>46419.51</v>
      </c>
      <c r="E247" t="s">
        <v>16</v>
      </c>
      <c r="F247" t="s">
        <v>17</v>
      </c>
      <c r="G247" t="s">
        <v>65</v>
      </c>
      <c r="H247" t="s">
        <v>24</v>
      </c>
      <c r="I247" t="s">
        <v>29</v>
      </c>
      <c r="J247" t="s">
        <v>20</v>
      </c>
      <c r="K247">
        <v>0</v>
      </c>
      <c r="L247">
        <v>0</v>
      </c>
      <c r="M247">
        <v>5.64</v>
      </c>
      <c r="N247">
        <v>1</v>
      </c>
      <c r="O247" t="str">
        <f>IF(financial_fraud_data[[#This Row],[Risk_Score]]&gt;8,"High",IF(financial_fraud_data[[#This Row],[Risk_Score]]&gt;5,"Med","Low"))</f>
        <v>Med</v>
      </c>
      <c r="P247" t="str">
        <f>TEXT(financial_fraud_data[[#This Row],[Transaction_Date]],"MMM")</f>
        <v>Jan</v>
      </c>
      <c r="Q247" t="str">
        <f>IF(financial_fraud_data[[#This Row],[Is_Fraud]]=1,"Yes","No")</f>
        <v>Yes</v>
      </c>
    </row>
    <row r="248" spans="1:17" x14ac:dyDescent="0.2">
      <c r="A248" t="s">
        <v>480</v>
      </c>
      <c r="B248" t="s">
        <v>481</v>
      </c>
      <c r="C248" s="1">
        <v>45302.25</v>
      </c>
      <c r="D248">
        <v>21437.8</v>
      </c>
      <c r="E248" t="s">
        <v>42</v>
      </c>
      <c r="F248" t="s">
        <v>17</v>
      </c>
      <c r="G248" t="s">
        <v>65</v>
      </c>
      <c r="H248" t="s">
        <v>36</v>
      </c>
      <c r="I248" t="s">
        <v>36</v>
      </c>
      <c r="J248" t="s">
        <v>20</v>
      </c>
      <c r="K248">
        <v>0</v>
      </c>
      <c r="L248">
        <v>1</v>
      </c>
      <c r="M248">
        <v>3.64</v>
      </c>
      <c r="N248">
        <v>0</v>
      </c>
      <c r="O248" t="str">
        <f>IF(financial_fraud_data[[#This Row],[Risk_Score]]&gt;8,"High",IF(financial_fraud_data[[#This Row],[Risk_Score]]&gt;5,"Med","Low"))</f>
        <v>Low</v>
      </c>
      <c r="P248" t="str">
        <f>TEXT(financial_fraud_data[[#This Row],[Transaction_Date]],"MMM")</f>
        <v>Jan</v>
      </c>
      <c r="Q248" t="str">
        <f>IF(financial_fraud_data[[#This Row],[Is_Fraud]]=1,"Yes","No")</f>
        <v>No</v>
      </c>
    </row>
    <row r="249" spans="1:17" x14ac:dyDescent="0.2">
      <c r="A249" t="s">
        <v>482</v>
      </c>
      <c r="B249" t="s">
        <v>483</v>
      </c>
      <c r="C249" s="1">
        <v>45302.291666666664</v>
      </c>
      <c r="D249">
        <v>48334.41</v>
      </c>
      <c r="E249" t="s">
        <v>80</v>
      </c>
      <c r="F249" t="s">
        <v>17</v>
      </c>
      <c r="G249" t="s">
        <v>35</v>
      </c>
      <c r="H249" t="s">
        <v>24</v>
      </c>
      <c r="I249" t="s">
        <v>19</v>
      </c>
      <c r="J249" t="s">
        <v>51</v>
      </c>
      <c r="K249">
        <v>0</v>
      </c>
      <c r="L249">
        <v>1</v>
      </c>
      <c r="M249">
        <v>7.33</v>
      </c>
      <c r="N249">
        <v>1</v>
      </c>
      <c r="O249" t="str">
        <f>IF(financial_fraud_data[[#This Row],[Risk_Score]]&gt;8,"High",IF(financial_fraud_data[[#This Row],[Risk_Score]]&gt;5,"Med","Low"))</f>
        <v>Med</v>
      </c>
      <c r="P249" t="str">
        <f>TEXT(financial_fraud_data[[#This Row],[Transaction_Date]],"MMM")</f>
        <v>Jan</v>
      </c>
      <c r="Q249" t="str">
        <f>IF(financial_fraud_data[[#This Row],[Is_Fraud]]=1,"Yes","No")</f>
        <v>Yes</v>
      </c>
    </row>
    <row r="250" spans="1:17" x14ac:dyDescent="0.2">
      <c r="A250" t="s">
        <v>484</v>
      </c>
      <c r="B250" t="s">
        <v>293</v>
      </c>
      <c r="C250" s="1">
        <v>45302.333333333336</v>
      </c>
      <c r="D250">
        <v>48182.82</v>
      </c>
      <c r="E250" t="s">
        <v>34</v>
      </c>
      <c r="F250" t="s">
        <v>50</v>
      </c>
      <c r="G250" t="s">
        <v>18</v>
      </c>
      <c r="H250" t="s">
        <v>19</v>
      </c>
      <c r="I250" t="s">
        <v>24</v>
      </c>
      <c r="J250" t="s">
        <v>37</v>
      </c>
      <c r="K250">
        <v>0</v>
      </c>
      <c r="L250">
        <v>0</v>
      </c>
      <c r="M250">
        <v>5.82</v>
      </c>
      <c r="N250">
        <v>1</v>
      </c>
      <c r="O250" t="str">
        <f>IF(financial_fraud_data[[#This Row],[Risk_Score]]&gt;8,"High",IF(financial_fraud_data[[#This Row],[Risk_Score]]&gt;5,"Med","Low"))</f>
        <v>Med</v>
      </c>
      <c r="P250" t="str">
        <f>TEXT(financial_fraud_data[[#This Row],[Transaction_Date]],"MMM")</f>
        <v>Jan</v>
      </c>
      <c r="Q250" t="str">
        <f>IF(financial_fraud_data[[#This Row],[Is_Fraud]]=1,"Yes","No")</f>
        <v>Yes</v>
      </c>
    </row>
    <row r="251" spans="1:17" x14ac:dyDescent="0.2">
      <c r="A251" t="s">
        <v>485</v>
      </c>
      <c r="B251" t="s">
        <v>486</v>
      </c>
      <c r="C251" s="1">
        <v>45302.375</v>
      </c>
      <c r="D251">
        <v>42657.82</v>
      </c>
      <c r="E251" t="s">
        <v>34</v>
      </c>
      <c r="F251" t="s">
        <v>17</v>
      </c>
      <c r="G251" t="s">
        <v>56</v>
      </c>
      <c r="H251" t="s">
        <v>29</v>
      </c>
      <c r="I251" t="s">
        <v>19</v>
      </c>
      <c r="J251" t="s">
        <v>20</v>
      </c>
      <c r="K251">
        <v>0</v>
      </c>
      <c r="L251">
        <v>0</v>
      </c>
      <c r="M251">
        <v>5.27</v>
      </c>
      <c r="N251">
        <v>1</v>
      </c>
      <c r="O251" t="str">
        <f>IF(financial_fraud_data[[#This Row],[Risk_Score]]&gt;8,"High",IF(financial_fraud_data[[#This Row],[Risk_Score]]&gt;5,"Med","Low"))</f>
        <v>Med</v>
      </c>
      <c r="P251" t="str">
        <f>TEXT(financial_fraud_data[[#This Row],[Transaction_Date]],"MMM")</f>
        <v>Jan</v>
      </c>
      <c r="Q251" t="str">
        <f>IF(financial_fraud_data[[#This Row],[Is_Fraud]]=1,"Yes","No")</f>
        <v>Yes</v>
      </c>
    </row>
    <row r="252" spans="1:17" x14ac:dyDescent="0.2">
      <c r="A252" t="s">
        <v>487</v>
      </c>
      <c r="B252" t="s">
        <v>488</v>
      </c>
      <c r="C252" s="1">
        <v>45302.416666666664</v>
      </c>
      <c r="D252">
        <v>14757.72</v>
      </c>
      <c r="E252" t="s">
        <v>34</v>
      </c>
      <c r="F252" t="s">
        <v>47</v>
      </c>
      <c r="G252" t="s">
        <v>18</v>
      </c>
      <c r="H252" t="s">
        <v>24</v>
      </c>
      <c r="I252" t="s">
        <v>23</v>
      </c>
      <c r="J252" t="s">
        <v>20</v>
      </c>
      <c r="K252">
        <v>0</v>
      </c>
      <c r="L252">
        <v>4</v>
      </c>
      <c r="M252">
        <v>8.48</v>
      </c>
      <c r="N252">
        <v>1</v>
      </c>
      <c r="O252" t="str">
        <f>IF(financial_fraud_data[[#This Row],[Risk_Score]]&gt;8,"High",IF(financial_fraud_data[[#This Row],[Risk_Score]]&gt;5,"Med","Low"))</f>
        <v>High</v>
      </c>
      <c r="P252" t="str">
        <f>TEXT(financial_fraud_data[[#This Row],[Transaction_Date]],"MMM")</f>
        <v>Jan</v>
      </c>
      <c r="Q252" t="str">
        <f>IF(financial_fraud_data[[#This Row],[Is_Fraud]]=1,"Yes","No")</f>
        <v>Yes</v>
      </c>
    </row>
    <row r="253" spans="1:17" x14ac:dyDescent="0.2">
      <c r="A253" t="s">
        <v>489</v>
      </c>
      <c r="B253" t="s">
        <v>347</v>
      </c>
      <c r="C253" s="1">
        <v>45302.458333333336</v>
      </c>
      <c r="D253">
        <v>19285.63</v>
      </c>
      <c r="E253" t="s">
        <v>16</v>
      </c>
      <c r="F253" t="s">
        <v>50</v>
      </c>
      <c r="G253" t="s">
        <v>65</v>
      </c>
      <c r="H253" t="s">
        <v>29</v>
      </c>
      <c r="I253" t="s">
        <v>23</v>
      </c>
      <c r="J253" t="s">
        <v>37</v>
      </c>
      <c r="K253">
        <v>0</v>
      </c>
      <c r="L253">
        <v>0</v>
      </c>
      <c r="M253">
        <v>2.93</v>
      </c>
      <c r="N253">
        <v>0</v>
      </c>
      <c r="O253" t="str">
        <f>IF(financial_fraud_data[[#This Row],[Risk_Score]]&gt;8,"High",IF(financial_fraud_data[[#This Row],[Risk_Score]]&gt;5,"Med","Low"))</f>
        <v>Low</v>
      </c>
      <c r="P253" t="str">
        <f>TEXT(financial_fraud_data[[#This Row],[Transaction_Date]],"MMM")</f>
        <v>Jan</v>
      </c>
      <c r="Q253" t="str">
        <f>IF(financial_fraud_data[[#This Row],[Is_Fraud]]=1,"Yes","No")</f>
        <v>No</v>
      </c>
    </row>
    <row r="254" spans="1:17" x14ac:dyDescent="0.2">
      <c r="A254" t="s">
        <v>490</v>
      </c>
      <c r="B254" t="s">
        <v>491</v>
      </c>
      <c r="C254" s="1">
        <v>45302.5</v>
      </c>
      <c r="D254">
        <v>42564.28</v>
      </c>
      <c r="E254" t="s">
        <v>42</v>
      </c>
      <c r="F254" t="s">
        <v>17</v>
      </c>
      <c r="G254" t="s">
        <v>35</v>
      </c>
      <c r="H254" t="s">
        <v>29</v>
      </c>
      <c r="I254" t="s">
        <v>29</v>
      </c>
      <c r="J254" t="s">
        <v>51</v>
      </c>
      <c r="K254">
        <v>0</v>
      </c>
      <c r="L254">
        <v>0</v>
      </c>
      <c r="M254">
        <v>4.26</v>
      </c>
      <c r="N254">
        <v>0</v>
      </c>
      <c r="O254" t="str">
        <f>IF(financial_fraud_data[[#This Row],[Risk_Score]]&gt;8,"High",IF(financial_fraud_data[[#This Row],[Risk_Score]]&gt;5,"Med","Low"))</f>
        <v>Low</v>
      </c>
      <c r="P254" t="str">
        <f>TEXT(financial_fraud_data[[#This Row],[Transaction_Date]],"MMM")</f>
        <v>Jan</v>
      </c>
      <c r="Q254" t="str">
        <f>IF(financial_fraud_data[[#This Row],[Is_Fraud]]=1,"Yes","No")</f>
        <v>No</v>
      </c>
    </row>
    <row r="255" spans="1:17" x14ac:dyDescent="0.2">
      <c r="A255" t="s">
        <v>492</v>
      </c>
      <c r="B255" t="s">
        <v>493</v>
      </c>
      <c r="C255" s="1">
        <v>45302.541666666664</v>
      </c>
      <c r="D255">
        <v>15880.25</v>
      </c>
      <c r="E255" t="s">
        <v>42</v>
      </c>
      <c r="F255" t="s">
        <v>17</v>
      </c>
      <c r="G255" t="s">
        <v>35</v>
      </c>
      <c r="H255" t="s">
        <v>24</v>
      </c>
      <c r="I255" t="s">
        <v>19</v>
      </c>
      <c r="J255" t="s">
        <v>37</v>
      </c>
      <c r="K255">
        <v>1</v>
      </c>
      <c r="L255">
        <v>1</v>
      </c>
      <c r="M255">
        <v>6.09</v>
      </c>
      <c r="N255">
        <v>1</v>
      </c>
      <c r="O255" t="str">
        <f>IF(financial_fraud_data[[#This Row],[Risk_Score]]&gt;8,"High",IF(financial_fraud_data[[#This Row],[Risk_Score]]&gt;5,"Med","Low"))</f>
        <v>Med</v>
      </c>
      <c r="P255" t="str">
        <f>TEXT(financial_fraud_data[[#This Row],[Transaction_Date]],"MMM")</f>
        <v>Jan</v>
      </c>
      <c r="Q255" t="str">
        <f>IF(financial_fraud_data[[#This Row],[Is_Fraud]]=1,"Yes","No")</f>
        <v>Yes</v>
      </c>
    </row>
    <row r="256" spans="1:17" x14ac:dyDescent="0.2">
      <c r="A256" t="s">
        <v>494</v>
      </c>
      <c r="B256" t="s">
        <v>435</v>
      </c>
      <c r="C256" s="1">
        <v>45302.583333333336</v>
      </c>
      <c r="D256">
        <v>8516.16</v>
      </c>
      <c r="E256" t="s">
        <v>80</v>
      </c>
      <c r="F256" t="s">
        <v>47</v>
      </c>
      <c r="G256" t="s">
        <v>18</v>
      </c>
      <c r="H256" t="s">
        <v>19</v>
      </c>
      <c r="I256" t="s">
        <v>24</v>
      </c>
      <c r="J256" t="s">
        <v>20</v>
      </c>
      <c r="K256">
        <v>0</v>
      </c>
      <c r="L256">
        <v>0</v>
      </c>
      <c r="M256">
        <v>1.85</v>
      </c>
      <c r="N256">
        <v>0</v>
      </c>
      <c r="O256" t="str">
        <f>IF(financial_fraud_data[[#This Row],[Risk_Score]]&gt;8,"High",IF(financial_fraud_data[[#This Row],[Risk_Score]]&gt;5,"Med","Low"))</f>
        <v>Low</v>
      </c>
      <c r="P256" t="str">
        <f>TEXT(financial_fraud_data[[#This Row],[Transaction_Date]],"MMM")</f>
        <v>Jan</v>
      </c>
      <c r="Q256" t="str">
        <f>IF(financial_fraud_data[[#This Row],[Is_Fraud]]=1,"Yes","No")</f>
        <v>No</v>
      </c>
    </row>
    <row r="257" spans="1:17" x14ac:dyDescent="0.2">
      <c r="A257" t="s">
        <v>495</v>
      </c>
      <c r="B257" t="s">
        <v>419</v>
      </c>
      <c r="C257" s="1">
        <v>45302.625</v>
      </c>
      <c r="D257">
        <v>27862.22</v>
      </c>
      <c r="E257" t="s">
        <v>16</v>
      </c>
      <c r="F257" t="s">
        <v>50</v>
      </c>
      <c r="G257" t="s">
        <v>18</v>
      </c>
      <c r="H257" t="s">
        <v>23</v>
      </c>
      <c r="I257" t="s">
        <v>23</v>
      </c>
      <c r="J257" t="s">
        <v>37</v>
      </c>
      <c r="K257">
        <v>0</v>
      </c>
      <c r="L257">
        <v>2</v>
      </c>
      <c r="M257">
        <v>5.79</v>
      </c>
      <c r="N257">
        <v>1</v>
      </c>
      <c r="O257" t="str">
        <f>IF(financial_fraud_data[[#This Row],[Risk_Score]]&gt;8,"High",IF(financial_fraud_data[[#This Row],[Risk_Score]]&gt;5,"Med","Low"))</f>
        <v>Med</v>
      </c>
      <c r="P257" t="str">
        <f>TEXT(financial_fraud_data[[#This Row],[Transaction_Date]],"MMM")</f>
        <v>Jan</v>
      </c>
      <c r="Q257" t="str">
        <f>IF(financial_fraud_data[[#This Row],[Is_Fraud]]=1,"Yes","No")</f>
        <v>Yes</v>
      </c>
    </row>
    <row r="258" spans="1:17" x14ac:dyDescent="0.2">
      <c r="A258" t="s">
        <v>496</v>
      </c>
      <c r="B258" t="s">
        <v>497</v>
      </c>
      <c r="C258" s="1">
        <v>45302.666666666664</v>
      </c>
      <c r="D258">
        <v>46810.93</v>
      </c>
      <c r="E258" t="s">
        <v>80</v>
      </c>
      <c r="F258" t="s">
        <v>27</v>
      </c>
      <c r="G258" t="s">
        <v>56</v>
      </c>
      <c r="H258" t="s">
        <v>29</v>
      </c>
      <c r="I258" t="s">
        <v>24</v>
      </c>
      <c r="J258" t="s">
        <v>51</v>
      </c>
      <c r="K258">
        <v>0</v>
      </c>
      <c r="L258">
        <v>0</v>
      </c>
      <c r="M258">
        <v>5.68</v>
      </c>
      <c r="N258">
        <v>1</v>
      </c>
      <c r="O258" t="str">
        <f>IF(financial_fraud_data[[#This Row],[Risk_Score]]&gt;8,"High",IF(financial_fraud_data[[#This Row],[Risk_Score]]&gt;5,"Med","Low"))</f>
        <v>Med</v>
      </c>
      <c r="P258" t="str">
        <f>TEXT(financial_fraud_data[[#This Row],[Transaction_Date]],"MMM")</f>
        <v>Jan</v>
      </c>
      <c r="Q258" t="str">
        <f>IF(financial_fraud_data[[#This Row],[Is_Fraud]]=1,"Yes","No")</f>
        <v>Yes</v>
      </c>
    </row>
    <row r="259" spans="1:17" x14ac:dyDescent="0.2">
      <c r="A259" t="s">
        <v>498</v>
      </c>
      <c r="B259" t="s">
        <v>499</v>
      </c>
      <c r="C259" s="1">
        <v>45302.708333333336</v>
      </c>
      <c r="D259">
        <v>34816.69</v>
      </c>
      <c r="E259" t="s">
        <v>42</v>
      </c>
      <c r="F259" t="s">
        <v>27</v>
      </c>
      <c r="G259" t="s">
        <v>28</v>
      </c>
      <c r="H259" t="s">
        <v>29</v>
      </c>
      <c r="I259" t="s">
        <v>36</v>
      </c>
      <c r="J259" t="s">
        <v>20</v>
      </c>
      <c r="K259">
        <v>0</v>
      </c>
      <c r="L259">
        <v>4</v>
      </c>
      <c r="M259">
        <v>10.48</v>
      </c>
      <c r="N259">
        <v>1</v>
      </c>
      <c r="O259" t="str">
        <f>IF(financial_fraud_data[[#This Row],[Risk_Score]]&gt;8,"High",IF(financial_fraud_data[[#This Row],[Risk_Score]]&gt;5,"Med","Low"))</f>
        <v>High</v>
      </c>
      <c r="P259" t="str">
        <f>TEXT(financial_fraud_data[[#This Row],[Transaction_Date]],"MMM")</f>
        <v>Jan</v>
      </c>
      <c r="Q259" t="str">
        <f>IF(financial_fraud_data[[#This Row],[Is_Fraud]]=1,"Yes","No")</f>
        <v>Yes</v>
      </c>
    </row>
    <row r="260" spans="1:17" x14ac:dyDescent="0.2">
      <c r="A260" t="s">
        <v>500</v>
      </c>
      <c r="B260" t="s">
        <v>176</v>
      </c>
      <c r="C260" s="1">
        <v>45302.75</v>
      </c>
      <c r="D260">
        <v>28524.560000000001</v>
      </c>
      <c r="E260" t="s">
        <v>42</v>
      </c>
      <c r="F260" t="s">
        <v>50</v>
      </c>
      <c r="G260" t="s">
        <v>28</v>
      </c>
      <c r="H260" t="s">
        <v>19</v>
      </c>
      <c r="I260" t="s">
        <v>23</v>
      </c>
      <c r="J260" t="s">
        <v>51</v>
      </c>
      <c r="K260">
        <v>1</v>
      </c>
      <c r="L260">
        <v>3</v>
      </c>
      <c r="M260">
        <v>10.35</v>
      </c>
      <c r="N260">
        <v>1</v>
      </c>
      <c r="O260" t="str">
        <f>IF(financial_fraud_data[[#This Row],[Risk_Score]]&gt;8,"High",IF(financial_fraud_data[[#This Row],[Risk_Score]]&gt;5,"Med","Low"))</f>
        <v>High</v>
      </c>
      <c r="P260" t="str">
        <f>TEXT(financial_fraud_data[[#This Row],[Transaction_Date]],"MMM")</f>
        <v>Jan</v>
      </c>
      <c r="Q260" t="str">
        <f>IF(financial_fraud_data[[#This Row],[Is_Fraud]]=1,"Yes","No")</f>
        <v>Yes</v>
      </c>
    </row>
    <row r="261" spans="1:17" x14ac:dyDescent="0.2">
      <c r="A261" t="s">
        <v>501</v>
      </c>
      <c r="B261" t="s">
        <v>502</v>
      </c>
      <c r="C261" s="1">
        <v>45302.791666666664</v>
      </c>
      <c r="D261">
        <v>4903.97</v>
      </c>
      <c r="E261" t="s">
        <v>34</v>
      </c>
      <c r="F261" t="s">
        <v>17</v>
      </c>
      <c r="G261" t="s">
        <v>56</v>
      </c>
      <c r="H261" t="s">
        <v>19</v>
      </c>
      <c r="I261" t="s">
        <v>29</v>
      </c>
      <c r="J261" t="s">
        <v>51</v>
      </c>
      <c r="K261">
        <v>0</v>
      </c>
      <c r="L261">
        <v>1</v>
      </c>
      <c r="M261">
        <v>2.99</v>
      </c>
      <c r="N261">
        <v>0</v>
      </c>
      <c r="O261" t="str">
        <f>IF(financial_fraud_data[[#This Row],[Risk_Score]]&gt;8,"High",IF(financial_fraud_data[[#This Row],[Risk_Score]]&gt;5,"Med","Low"))</f>
        <v>Low</v>
      </c>
      <c r="P261" t="str">
        <f>TEXT(financial_fraud_data[[#This Row],[Transaction_Date]],"MMM")</f>
        <v>Jan</v>
      </c>
      <c r="Q261" t="str">
        <f>IF(financial_fraud_data[[#This Row],[Is_Fraud]]=1,"Yes","No")</f>
        <v>No</v>
      </c>
    </row>
    <row r="262" spans="1:17" x14ac:dyDescent="0.2">
      <c r="A262" t="s">
        <v>503</v>
      </c>
      <c r="B262" t="s">
        <v>504</v>
      </c>
      <c r="C262" s="1">
        <v>45302.833333333336</v>
      </c>
      <c r="D262">
        <v>30769.61</v>
      </c>
      <c r="E262" t="s">
        <v>16</v>
      </c>
      <c r="F262" t="s">
        <v>17</v>
      </c>
      <c r="G262" t="s">
        <v>28</v>
      </c>
      <c r="H262" t="s">
        <v>36</v>
      </c>
      <c r="I262" t="s">
        <v>36</v>
      </c>
      <c r="J262" t="s">
        <v>37</v>
      </c>
      <c r="K262">
        <v>0</v>
      </c>
      <c r="L262">
        <v>2</v>
      </c>
      <c r="M262">
        <v>6.08</v>
      </c>
      <c r="N262">
        <v>1</v>
      </c>
      <c r="O262" t="str">
        <f>IF(financial_fraud_data[[#This Row],[Risk_Score]]&gt;8,"High",IF(financial_fraud_data[[#This Row],[Risk_Score]]&gt;5,"Med","Low"))</f>
        <v>Med</v>
      </c>
      <c r="P262" t="str">
        <f>TEXT(financial_fraud_data[[#This Row],[Transaction_Date]],"MMM")</f>
        <v>Jan</v>
      </c>
      <c r="Q262" t="str">
        <f>IF(financial_fraud_data[[#This Row],[Is_Fraud]]=1,"Yes","No")</f>
        <v>Yes</v>
      </c>
    </row>
    <row r="263" spans="1:17" x14ac:dyDescent="0.2">
      <c r="A263" t="s">
        <v>505</v>
      </c>
      <c r="B263" t="s">
        <v>255</v>
      </c>
      <c r="C263" s="1">
        <v>45302.875</v>
      </c>
      <c r="D263">
        <v>49503.19</v>
      </c>
      <c r="E263" t="s">
        <v>42</v>
      </c>
      <c r="F263" t="s">
        <v>27</v>
      </c>
      <c r="G263" t="s">
        <v>65</v>
      </c>
      <c r="H263" t="s">
        <v>19</v>
      </c>
      <c r="I263" t="s">
        <v>19</v>
      </c>
      <c r="J263" t="s">
        <v>37</v>
      </c>
      <c r="K263">
        <v>0</v>
      </c>
      <c r="L263">
        <v>3</v>
      </c>
      <c r="M263">
        <v>9.4499999999999993</v>
      </c>
      <c r="N263">
        <v>1</v>
      </c>
      <c r="O263" t="str">
        <f>IF(financial_fraud_data[[#This Row],[Risk_Score]]&gt;8,"High",IF(financial_fraud_data[[#This Row],[Risk_Score]]&gt;5,"Med","Low"))</f>
        <v>High</v>
      </c>
      <c r="P263" t="str">
        <f>TEXT(financial_fraud_data[[#This Row],[Transaction_Date]],"MMM")</f>
        <v>Jan</v>
      </c>
      <c r="Q263" t="str">
        <f>IF(financial_fraud_data[[#This Row],[Is_Fraud]]=1,"Yes","No")</f>
        <v>Yes</v>
      </c>
    </row>
    <row r="264" spans="1:17" x14ac:dyDescent="0.2">
      <c r="A264" t="s">
        <v>506</v>
      </c>
      <c r="B264" t="s">
        <v>462</v>
      </c>
      <c r="C264" s="1">
        <v>45302.916666666664</v>
      </c>
      <c r="D264">
        <v>7047.2</v>
      </c>
      <c r="E264" t="s">
        <v>34</v>
      </c>
      <c r="F264" t="s">
        <v>27</v>
      </c>
      <c r="G264" t="s">
        <v>28</v>
      </c>
      <c r="H264" t="s">
        <v>29</v>
      </c>
      <c r="I264" t="s">
        <v>24</v>
      </c>
      <c r="J264" t="s">
        <v>51</v>
      </c>
      <c r="K264">
        <v>1</v>
      </c>
      <c r="L264">
        <v>2</v>
      </c>
      <c r="M264">
        <v>6.7</v>
      </c>
      <c r="N264">
        <v>1</v>
      </c>
      <c r="O264" t="str">
        <f>IF(financial_fraud_data[[#This Row],[Risk_Score]]&gt;8,"High",IF(financial_fraud_data[[#This Row],[Risk_Score]]&gt;5,"Med","Low"))</f>
        <v>Med</v>
      </c>
      <c r="P264" t="str">
        <f>TEXT(financial_fraud_data[[#This Row],[Transaction_Date]],"MMM")</f>
        <v>Jan</v>
      </c>
      <c r="Q264" t="str">
        <f>IF(financial_fraud_data[[#This Row],[Is_Fraud]]=1,"Yes","No")</f>
        <v>Yes</v>
      </c>
    </row>
    <row r="265" spans="1:17" x14ac:dyDescent="0.2">
      <c r="A265" t="s">
        <v>507</v>
      </c>
      <c r="B265" t="s">
        <v>508</v>
      </c>
      <c r="C265" s="1">
        <v>45302.958333333336</v>
      </c>
      <c r="D265">
        <v>25940.57</v>
      </c>
      <c r="E265" t="s">
        <v>16</v>
      </c>
      <c r="F265" t="s">
        <v>27</v>
      </c>
      <c r="G265" t="s">
        <v>56</v>
      </c>
      <c r="H265" t="s">
        <v>24</v>
      </c>
      <c r="I265" t="s">
        <v>23</v>
      </c>
      <c r="J265" t="s">
        <v>51</v>
      </c>
      <c r="K265">
        <v>1</v>
      </c>
      <c r="L265">
        <v>1</v>
      </c>
      <c r="M265">
        <v>7.09</v>
      </c>
      <c r="N265">
        <v>1</v>
      </c>
      <c r="O265" t="str">
        <f>IF(financial_fraud_data[[#This Row],[Risk_Score]]&gt;8,"High",IF(financial_fraud_data[[#This Row],[Risk_Score]]&gt;5,"Med","Low"))</f>
        <v>Med</v>
      </c>
      <c r="P265" t="str">
        <f>TEXT(financial_fraud_data[[#This Row],[Transaction_Date]],"MMM")</f>
        <v>Jan</v>
      </c>
      <c r="Q265" t="str">
        <f>IF(financial_fraud_data[[#This Row],[Is_Fraud]]=1,"Yes","No")</f>
        <v>Yes</v>
      </c>
    </row>
    <row r="266" spans="1:17" x14ac:dyDescent="0.2">
      <c r="A266" t="s">
        <v>509</v>
      </c>
      <c r="B266" t="s">
        <v>510</v>
      </c>
      <c r="C266" s="1">
        <v>45303</v>
      </c>
      <c r="D266">
        <v>43874.78</v>
      </c>
      <c r="E266" t="s">
        <v>80</v>
      </c>
      <c r="F266" t="s">
        <v>47</v>
      </c>
      <c r="G266" t="s">
        <v>28</v>
      </c>
      <c r="H266" t="s">
        <v>23</v>
      </c>
      <c r="I266" t="s">
        <v>36</v>
      </c>
      <c r="J266" t="s">
        <v>20</v>
      </c>
      <c r="K266">
        <v>0</v>
      </c>
      <c r="L266">
        <v>4</v>
      </c>
      <c r="M266">
        <v>11.39</v>
      </c>
      <c r="N266">
        <v>1</v>
      </c>
      <c r="O266" t="str">
        <f>IF(financial_fraud_data[[#This Row],[Risk_Score]]&gt;8,"High",IF(financial_fraud_data[[#This Row],[Risk_Score]]&gt;5,"Med","Low"))</f>
        <v>High</v>
      </c>
      <c r="P266" t="str">
        <f>TEXT(financial_fraud_data[[#This Row],[Transaction_Date]],"MMM")</f>
        <v>Jan</v>
      </c>
      <c r="Q266" t="str">
        <f>IF(financial_fraud_data[[#This Row],[Is_Fraud]]=1,"Yes","No")</f>
        <v>Yes</v>
      </c>
    </row>
    <row r="267" spans="1:17" x14ac:dyDescent="0.2">
      <c r="A267" t="s">
        <v>511</v>
      </c>
      <c r="B267" t="s">
        <v>512</v>
      </c>
      <c r="C267" s="1">
        <v>45303.041666666664</v>
      </c>
      <c r="D267">
        <v>37051.39</v>
      </c>
      <c r="E267" t="s">
        <v>16</v>
      </c>
      <c r="F267" t="s">
        <v>27</v>
      </c>
      <c r="G267" t="s">
        <v>35</v>
      </c>
      <c r="H267" t="s">
        <v>36</v>
      </c>
      <c r="I267" t="s">
        <v>36</v>
      </c>
      <c r="J267" t="s">
        <v>51</v>
      </c>
      <c r="K267">
        <v>1</v>
      </c>
      <c r="L267">
        <v>1</v>
      </c>
      <c r="M267">
        <v>7.21</v>
      </c>
      <c r="N267">
        <v>1</v>
      </c>
      <c r="O267" t="str">
        <f>IF(financial_fraud_data[[#This Row],[Risk_Score]]&gt;8,"High",IF(financial_fraud_data[[#This Row],[Risk_Score]]&gt;5,"Med","Low"))</f>
        <v>Med</v>
      </c>
      <c r="P267" t="str">
        <f>TEXT(financial_fraud_data[[#This Row],[Transaction_Date]],"MMM")</f>
        <v>Jan</v>
      </c>
      <c r="Q267" t="str">
        <f>IF(financial_fraud_data[[#This Row],[Is_Fraud]]=1,"Yes","No")</f>
        <v>Yes</v>
      </c>
    </row>
    <row r="268" spans="1:17" x14ac:dyDescent="0.2">
      <c r="A268" t="s">
        <v>513</v>
      </c>
      <c r="B268" t="s">
        <v>514</v>
      </c>
      <c r="C268" s="1">
        <v>45303.083333333336</v>
      </c>
      <c r="D268">
        <v>34865.94</v>
      </c>
      <c r="E268" t="s">
        <v>16</v>
      </c>
      <c r="F268" t="s">
        <v>47</v>
      </c>
      <c r="G268" t="s">
        <v>18</v>
      </c>
      <c r="H268" t="s">
        <v>24</v>
      </c>
      <c r="I268" t="s">
        <v>23</v>
      </c>
      <c r="J268" t="s">
        <v>51</v>
      </c>
      <c r="K268">
        <v>0</v>
      </c>
      <c r="L268">
        <v>2</v>
      </c>
      <c r="M268">
        <v>7.49</v>
      </c>
      <c r="N268">
        <v>1</v>
      </c>
      <c r="O268" t="str">
        <f>IF(financial_fraud_data[[#This Row],[Risk_Score]]&gt;8,"High",IF(financial_fraud_data[[#This Row],[Risk_Score]]&gt;5,"Med","Low"))</f>
        <v>Med</v>
      </c>
      <c r="P268" t="str">
        <f>TEXT(financial_fraud_data[[#This Row],[Transaction_Date]],"MMM")</f>
        <v>Jan</v>
      </c>
      <c r="Q268" t="str">
        <f>IF(financial_fraud_data[[#This Row],[Is_Fraud]]=1,"Yes","No")</f>
        <v>Yes</v>
      </c>
    </row>
    <row r="269" spans="1:17" x14ac:dyDescent="0.2">
      <c r="A269" t="s">
        <v>515</v>
      </c>
      <c r="B269" t="s">
        <v>516</v>
      </c>
      <c r="C269" s="1">
        <v>45303.125</v>
      </c>
      <c r="D269">
        <v>35139.08</v>
      </c>
      <c r="E269" t="s">
        <v>42</v>
      </c>
      <c r="F269" t="s">
        <v>50</v>
      </c>
      <c r="G269" t="s">
        <v>65</v>
      </c>
      <c r="H269" t="s">
        <v>23</v>
      </c>
      <c r="I269" t="s">
        <v>19</v>
      </c>
      <c r="J269" t="s">
        <v>37</v>
      </c>
      <c r="K269">
        <v>0</v>
      </c>
      <c r="L269">
        <v>2</v>
      </c>
      <c r="M269">
        <v>7.51</v>
      </c>
      <c r="N269">
        <v>1</v>
      </c>
      <c r="O269" t="str">
        <f>IF(financial_fraud_data[[#This Row],[Risk_Score]]&gt;8,"High",IF(financial_fraud_data[[#This Row],[Risk_Score]]&gt;5,"Med","Low"))</f>
        <v>Med</v>
      </c>
      <c r="P269" t="str">
        <f>TEXT(financial_fraud_data[[#This Row],[Transaction_Date]],"MMM")</f>
        <v>Jan</v>
      </c>
      <c r="Q269" t="str">
        <f>IF(financial_fraud_data[[#This Row],[Is_Fraud]]=1,"Yes","No")</f>
        <v>Yes</v>
      </c>
    </row>
    <row r="270" spans="1:17" x14ac:dyDescent="0.2">
      <c r="A270" t="s">
        <v>517</v>
      </c>
      <c r="B270" t="s">
        <v>31</v>
      </c>
      <c r="C270" s="1">
        <v>45303.166666666664</v>
      </c>
      <c r="D270">
        <v>18006.580000000002</v>
      </c>
      <c r="E270" t="s">
        <v>42</v>
      </c>
      <c r="F270" t="s">
        <v>17</v>
      </c>
      <c r="G270" t="s">
        <v>35</v>
      </c>
      <c r="H270" t="s">
        <v>23</v>
      </c>
      <c r="I270" t="s">
        <v>19</v>
      </c>
      <c r="J270" t="s">
        <v>51</v>
      </c>
      <c r="K270">
        <v>0</v>
      </c>
      <c r="L270">
        <v>1</v>
      </c>
      <c r="M270">
        <v>4.3</v>
      </c>
      <c r="N270">
        <v>0</v>
      </c>
      <c r="O270" t="str">
        <f>IF(financial_fraud_data[[#This Row],[Risk_Score]]&gt;8,"High",IF(financial_fraud_data[[#This Row],[Risk_Score]]&gt;5,"Med","Low"))</f>
        <v>Low</v>
      </c>
      <c r="P270" t="str">
        <f>TEXT(financial_fraud_data[[#This Row],[Transaction_Date]],"MMM")</f>
        <v>Jan</v>
      </c>
      <c r="Q270" t="str">
        <f>IF(financial_fraud_data[[#This Row],[Is_Fraud]]=1,"Yes","No")</f>
        <v>No</v>
      </c>
    </row>
    <row r="271" spans="1:17" x14ac:dyDescent="0.2">
      <c r="A271" t="s">
        <v>518</v>
      </c>
      <c r="B271" t="s">
        <v>519</v>
      </c>
      <c r="C271" s="1">
        <v>45303.208333333336</v>
      </c>
      <c r="D271">
        <v>14714.91</v>
      </c>
      <c r="E271" t="s">
        <v>16</v>
      </c>
      <c r="F271" t="s">
        <v>27</v>
      </c>
      <c r="G271" t="s">
        <v>35</v>
      </c>
      <c r="H271" t="s">
        <v>23</v>
      </c>
      <c r="I271" t="s">
        <v>29</v>
      </c>
      <c r="J271" t="s">
        <v>51</v>
      </c>
      <c r="K271">
        <v>1</v>
      </c>
      <c r="L271">
        <v>0</v>
      </c>
      <c r="M271">
        <v>4.47</v>
      </c>
      <c r="N271">
        <v>0</v>
      </c>
      <c r="O271" t="str">
        <f>IF(financial_fraud_data[[#This Row],[Risk_Score]]&gt;8,"High",IF(financial_fraud_data[[#This Row],[Risk_Score]]&gt;5,"Med","Low"))</f>
        <v>Low</v>
      </c>
      <c r="P271" t="str">
        <f>TEXT(financial_fraud_data[[#This Row],[Transaction_Date]],"MMM")</f>
        <v>Jan</v>
      </c>
      <c r="Q271" t="str">
        <f>IF(financial_fraud_data[[#This Row],[Is_Fraud]]=1,"Yes","No")</f>
        <v>No</v>
      </c>
    </row>
    <row r="272" spans="1:17" x14ac:dyDescent="0.2">
      <c r="A272" t="s">
        <v>520</v>
      </c>
      <c r="B272" t="s">
        <v>64</v>
      </c>
      <c r="C272" s="1">
        <v>45303.25</v>
      </c>
      <c r="D272">
        <v>40477.589999999997</v>
      </c>
      <c r="E272" t="s">
        <v>42</v>
      </c>
      <c r="F272" t="s">
        <v>17</v>
      </c>
      <c r="G272" t="s">
        <v>56</v>
      </c>
      <c r="H272" t="s">
        <v>24</v>
      </c>
      <c r="I272" t="s">
        <v>19</v>
      </c>
      <c r="J272" t="s">
        <v>37</v>
      </c>
      <c r="K272">
        <v>0</v>
      </c>
      <c r="L272">
        <v>1</v>
      </c>
      <c r="M272">
        <v>6.55</v>
      </c>
      <c r="N272">
        <v>1</v>
      </c>
      <c r="O272" t="str">
        <f>IF(financial_fraud_data[[#This Row],[Risk_Score]]&gt;8,"High",IF(financial_fraud_data[[#This Row],[Risk_Score]]&gt;5,"Med","Low"))</f>
        <v>Med</v>
      </c>
      <c r="P272" t="str">
        <f>TEXT(financial_fraud_data[[#This Row],[Transaction_Date]],"MMM")</f>
        <v>Jan</v>
      </c>
      <c r="Q272" t="str">
        <f>IF(financial_fraud_data[[#This Row],[Is_Fraud]]=1,"Yes","No")</f>
        <v>Yes</v>
      </c>
    </row>
    <row r="273" spans="1:17" x14ac:dyDescent="0.2">
      <c r="A273" t="s">
        <v>521</v>
      </c>
      <c r="B273" t="s">
        <v>437</v>
      </c>
      <c r="C273" s="1">
        <v>45303.291666666664</v>
      </c>
      <c r="D273">
        <v>40515.160000000003</v>
      </c>
      <c r="E273" t="s">
        <v>42</v>
      </c>
      <c r="F273" t="s">
        <v>17</v>
      </c>
      <c r="G273" t="s">
        <v>18</v>
      </c>
      <c r="H273" t="s">
        <v>36</v>
      </c>
      <c r="I273" t="s">
        <v>29</v>
      </c>
      <c r="J273" t="s">
        <v>20</v>
      </c>
      <c r="K273">
        <v>0</v>
      </c>
      <c r="L273">
        <v>4</v>
      </c>
      <c r="M273">
        <v>11.05</v>
      </c>
      <c r="N273">
        <v>1</v>
      </c>
      <c r="O273" t="str">
        <f>IF(financial_fraud_data[[#This Row],[Risk_Score]]&gt;8,"High",IF(financial_fraud_data[[#This Row],[Risk_Score]]&gt;5,"Med","Low"))</f>
        <v>High</v>
      </c>
      <c r="P273" t="str">
        <f>TEXT(financial_fraud_data[[#This Row],[Transaction_Date]],"MMM")</f>
        <v>Jan</v>
      </c>
      <c r="Q273" t="str">
        <f>IF(financial_fraud_data[[#This Row],[Is_Fraud]]=1,"Yes","No")</f>
        <v>Yes</v>
      </c>
    </row>
    <row r="274" spans="1:17" x14ac:dyDescent="0.2">
      <c r="A274" t="s">
        <v>522</v>
      </c>
      <c r="B274" t="s">
        <v>383</v>
      </c>
      <c r="C274" s="1">
        <v>45303.333333333336</v>
      </c>
      <c r="D274">
        <v>43360.26</v>
      </c>
      <c r="E274" t="s">
        <v>42</v>
      </c>
      <c r="F274" t="s">
        <v>27</v>
      </c>
      <c r="G274" t="s">
        <v>18</v>
      </c>
      <c r="H274" t="s">
        <v>36</v>
      </c>
      <c r="I274" t="s">
        <v>36</v>
      </c>
      <c r="J274" t="s">
        <v>37</v>
      </c>
      <c r="K274">
        <v>0</v>
      </c>
      <c r="L274">
        <v>1</v>
      </c>
      <c r="M274">
        <v>5.84</v>
      </c>
      <c r="N274">
        <v>1</v>
      </c>
      <c r="O274" t="str">
        <f>IF(financial_fraud_data[[#This Row],[Risk_Score]]&gt;8,"High",IF(financial_fraud_data[[#This Row],[Risk_Score]]&gt;5,"Med","Low"))</f>
        <v>Med</v>
      </c>
      <c r="P274" t="str">
        <f>TEXT(financial_fraud_data[[#This Row],[Transaction_Date]],"MMM")</f>
        <v>Jan</v>
      </c>
      <c r="Q274" t="str">
        <f>IF(financial_fraud_data[[#This Row],[Is_Fraud]]=1,"Yes","No")</f>
        <v>Yes</v>
      </c>
    </row>
    <row r="275" spans="1:17" x14ac:dyDescent="0.2">
      <c r="A275" t="s">
        <v>523</v>
      </c>
      <c r="B275" t="s">
        <v>411</v>
      </c>
      <c r="C275" s="1">
        <v>45303.375</v>
      </c>
      <c r="D275">
        <v>45666.37</v>
      </c>
      <c r="E275" t="s">
        <v>34</v>
      </c>
      <c r="F275" t="s">
        <v>27</v>
      </c>
      <c r="G275" t="s">
        <v>65</v>
      </c>
      <c r="H275" t="s">
        <v>23</v>
      </c>
      <c r="I275" t="s">
        <v>23</v>
      </c>
      <c r="J275" t="s">
        <v>37</v>
      </c>
      <c r="K275">
        <v>0</v>
      </c>
      <c r="L275">
        <v>3</v>
      </c>
      <c r="M275">
        <v>9.07</v>
      </c>
      <c r="N275">
        <v>1</v>
      </c>
      <c r="O275" t="str">
        <f>IF(financial_fraud_data[[#This Row],[Risk_Score]]&gt;8,"High",IF(financial_fraud_data[[#This Row],[Risk_Score]]&gt;5,"Med","Low"))</f>
        <v>High</v>
      </c>
      <c r="P275" t="str">
        <f>TEXT(financial_fraud_data[[#This Row],[Transaction_Date]],"MMM")</f>
        <v>Jan</v>
      </c>
      <c r="Q275" t="str">
        <f>IF(financial_fraud_data[[#This Row],[Is_Fraud]]=1,"Yes","No")</f>
        <v>Yes</v>
      </c>
    </row>
    <row r="276" spans="1:17" x14ac:dyDescent="0.2">
      <c r="A276" t="s">
        <v>524</v>
      </c>
      <c r="B276" t="s">
        <v>525</v>
      </c>
      <c r="C276" s="1">
        <v>45303.416666666664</v>
      </c>
      <c r="D276">
        <v>25591.55</v>
      </c>
      <c r="E276" t="s">
        <v>34</v>
      </c>
      <c r="F276" t="s">
        <v>50</v>
      </c>
      <c r="G276" t="s">
        <v>56</v>
      </c>
      <c r="H276" t="s">
        <v>24</v>
      </c>
      <c r="I276" t="s">
        <v>19</v>
      </c>
      <c r="J276" t="s">
        <v>51</v>
      </c>
      <c r="K276">
        <v>1</v>
      </c>
      <c r="L276">
        <v>0</v>
      </c>
      <c r="M276">
        <v>5.56</v>
      </c>
      <c r="N276">
        <v>1</v>
      </c>
      <c r="O276" t="str">
        <f>IF(financial_fraud_data[[#This Row],[Risk_Score]]&gt;8,"High",IF(financial_fraud_data[[#This Row],[Risk_Score]]&gt;5,"Med","Low"))</f>
        <v>Med</v>
      </c>
      <c r="P276" t="str">
        <f>TEXT(financial_fraud_data[[#This Row],[Transaction_Date]],"MMM")</f>
        <v>Jan</v>
      </c>
      <c r="Q276" t="str">
        <f>IF(financial_fraud_data[[#This Row],[Is_Fraud]]=1,"Yes","No")</f>
        <v>Yes</v>
      </c>
    </row>
    <row r="277" spans="1:17" x14ac:dyDescent="0.2">
      <c r="A277" t="s">
        <v>526</v>
      </c>
      <c r="B277" t="s">
        <v>527</v>
      </c>
      <c r="C277" s="1">
        <v>45303.458333333336</v>
      </c>
      <c r="D277">
        <v>25100.74</v>
      </c>
      <c r="E277" t="s">
        <v>16</v>
      </c>
      <c r="F277" t="s">
        <v>47</v>
      </c>
      <c r="G277" t="s">
        <v>65</v>
      </c>
      <c r="H277" t="s">
        <v>23</v>
      </c>
      <c r="I277" t="s">
        <v>29</v>
      </c>
      <c r="J277" t="s">
        <v>51</v>
      </c>
      <c r="K277">
        <v>0</v>
      </c>
      <c r="L277">
        <v>3</v>
      </c>
      <c r="M277">
        <v>8.01</v>
      </c>
      <c r="N277">
        <v>1</v>
      </c>
      <c r="O277" t="str">
        <f>IF(financial_fraud_data[[#This Row],[Risk_Score]]&gt;8,"High",IF(financial_fraud_data[[#This Row],[Risk_Score]]&gt;5,"Med","Low"))</f>
        <v>High</v>
      </c>
      <c r="P277" t="str">
        <f>TEXT(financial_fraud_data[[#This Row],[Transaction_Date]],"MMM")</f>
        <v>Jan</v>
      </c>
      <c r="Q277" t="str">
        <f>IF(financial_fraud_data[[#This Row],[Is_Fraud]]=1,"Yes","No")</f>
        <v>Yes</v>
      </c>
    </row>
    <row r="278" spans="1:17" x14ac:dyDescent="0.2">
      <c r="A278" t="s">
        <v>528</v>
      </c>
      <c r="B278" t="s">
        <v>64</v>
      </c>
      <c r="C278" s="1">
        <v>45303.5</v>
      </c>
      <c r="D278">
        <v>39924.839999999997</v>
      </c>
      <c r="E278" t="s">
        <v>42</v>
      </c>
      <c r="F278" t="s">
        <v>47</v>
      </c>
      <c r="G278" t="s">
        <v>28</v>
      </c>
      <c r="H278" t="s">
        <v>19</v>
      </c>
      <c r="I278" t="s">
        <v>36</v>
      </c>
      <c r="J278" t="s">
        <v>20</v>
      </c>
      <c r="K278">
        <v>1</v>
      </c>
      <c r="L278">
        <v>1</v>
      </c>
      <c r="M278">
        <v>8.49</v>
      </c>
      <c r="N278">
        <v>1</v>
      </c>
      <c r="O278" t="str">
        <f>IF(financial_fraud_data[[#This Row],[Risk_Score]]&gt;8,"High",IF(financial_fraud_data[[#This Row],[Risk_Score]]&gt;5,"Med","Low"))</f>
        <v>High</v>
      </c>
      <c r="P278" t="str">
        <f>TEXT(financial_fraud_data[[#This Row],[Transaction_Date]],"MMM")</f>
        <v>Jan</v>
      </c>
      <c r="Q278" t="str">
        <f>IF(financial_fraud_data[[#This Row],[Is_Fraud]]=1,"Yes","No")</f>
        <v>Yes</v>
      </c>
    </row>
    <row r="279" spans="1:17" x14ac:dyDescent="0.2">
      <c r="A279" t="s">
        <v>529</v>
      </c>
      <c r="B279" t="s">
        <v>530</v>
      </c>
      <c r="C279" s="1">
        <v>45303.541666666664</v>
      </c>
      <c r="D279">
        <v>32515.7</v>
      </c>
      <c r="E279" t="s">
        <v>34</v>
      </c>
      <c r="F279" t="s">
        <v>17</v>
      </c>
      <c r="G279" t="s">
        <v>35</v>
      </c>
      <c r="H279" t="s">
        <v>36</v>
      </c>
      <c r="I279" t="s">
        <v>19</v>
      </c>
      <c r="J279" t="s">
        <v>51</v>
      </c>
      <c r="K279">
        <v>1</v>
      </c>
      <c r="L279">
        <v>0</v>
      </c>
      <c r="M279">
        <v>6.25</v>
      </c>
      <c r="N279">
        <v>1</v>
      </c>
      <c r="O279" t="str">
        <f>IF(financial_fraud_data[[#This Row],[Risk_Score]]&gt;8,"High",IF(financial_fraud_data[[#This Row],[Risk_Score]]&gt;5,"Med","Low"))</f>
        <v>Med</v>
      </c>
      <c r="P279" t="str">
        <f>TEXT(financial_fraud_data[[#This Row],[Transaction_Date]],"MMM")</f>
        <v>Jan</v>
      </c>
      <c r="Q279" t="str">
        <f>IF(financial_fraud_data[[#This Row],[Is_Fraud]]=1,"Yes","No")</f>
        <v>Yes</v>
      </c>
    </row>
    <row r="280" spans="1:17" x14ac:dyDescent="0.2">
      <c r="A280" t="s">
        <v>531</v>
      </c>
      <c r="B280" t="s">
        <v>532</v>
      </c>
      <c r="C280" s="1">
        <v>45303.583333333336</v>
      </c>
      <c r="D280">
        <v>35113.25</v>
      </c>
      <c r="E280" t="s">
        <v>16</v>
      </c>
      <c r="F280" t="s">
        <v>27</v>
      </c>
      <c r="G280" t="s">
        <v>65</v>
      </c>
      <c r="H280" t="s">
        <v>29</v>
      </c>
      <c r="I280" t="s">
        <v>24</v>
      </c>
      <c r="J280" t="s">
        <v>20</v>
      </c>
      <c r="K280">
        <v>0</v>
      </c>
      <c r="L280">
        <v>3</v>
      </c>
      <c r="M280">
        <v>9.01</v>
      </c>
      <c r="N280">
        <v>1</v>
      </c>
      <c r="O280" t="str">
        <f>IF(financial_fraud_data[[#This Row],[Risk_Score]]&gt;8,"High",IF(financial_fraud_data[[#This Row],[Risk_Score]]&gt;5,"Med","Low"))</f>
        <v>High</v>
      </c>
      <c r="P280" t="str">
        <f>TEXT(financial_fraud_data[[#This Row],[Transaction_Date]],"MMM")</f>
        <v>Jan</v>
      </c>
      <c r="Q280" t="str">
        <f>IF(financial_fraud_data[[#This Row],[Is_Fraud]]=1,"Yes","No")</f>
        <v>Yes</v>
      </c>
    </row>
    <row r="281" spans="1:17" x14ac:dyDescent="0.2">
      <c r="A281" t="s">
        <v>533</v>
      </c>
      <c r="B281" t="s">
        <v>184</v>
      </c>
      <c r="C281" s="1">
        <v>45303.625</v>
      </c>
      <c r="D281">
        <v>39799.839999999997</v>
      </c>
      <c r="E281" t="s">
        <v>42</v>
      </c>
      <c r="F281" t="s">
        <v>50</v>
      </c>
      <c r="G281" t="s">
        <v>35</v>
      </c>
      <c r="H281" t="s">
        <v>23</v>
      </c>
      <c r="I281" t="s">
        <v>36</v>
      </c>
      <c r="J281" t="s">
        <v>20</v>
      </c>
      <c r="K281">
        <v>0</v>
      </c>
      <c r="L281">
        <v>3</v>
      </c>
      <c r="M281">
        <v>9.48</v>
      </c>
      <c r="N281">
        <v>1</v>
      </c>
      <c r="O281" t="str">
        <f>IF(financial_fraud_data[[#This Row],[Risk_Score]]&gt;8,"High",IF(financial_fraud_data[[#This Row],[Risk_Score]]&gt;5,"Med","Low"))</f>
        <v>High</v>
      </c>
      <c r="P281" t="str">
        <f>TEXT(financial_fraud_data[[#This Row],[Transaction_Date]],"MMM")</f>
        <v>Jan</v>
      </c>
      <c r="Q281" t="str">
        <f>IF(financial_fraud_data[[#This Row],[Is_Fraud]]=1,"Yes","No")</f>
        <v>Yes</v>
      </c>
    </row>
    <row r="282" spans="1:17" x14ac:dyDescent="0.2">
      <c r="A282" t="s">
        <v>534</v>
      </c>
      <c r="B282" t="s">
        <v>535</v>
      </c>
      <c r="C282" s="1">
        <v>45303.666666666664</v>
      </c>
      <c r="D282">
        <v>44505.77</v>
      </c>
      <c r="E282" t="s">
        <v>80</v>
      </c>
      <c r="F282" t="s">
        <v>50</v>
      </c>
      <c r="G282" t="s">
        <v>56</v>
      </c>
      <c r="H282" t="s">
        <v>19</v>
      </c>
      <c r="I282" t="s">
        <v>19</v>
      </c>
      <c r="J282" t="s">
        <v>20</v>
      </c>
      <c r="K282">
        <v>0</v>
      </c>
      <c r="L282">
        <v>0</v>
      </c>
      <c r="M282">
        <v>4.45</v>
      </c>
      <c r="N282">
        <v>0</v>
      </c>
      <c r="O282" t="str">
        <f>IF(financial_fraud_data[[#This Row],[Risk_Score]]&gt;8,"High",IF(financial_fraud_data[[#This Row],[Risk_Score]]&gt;5,"Med","Low"))</f>
        <v>Low</v>
      </c>
      <c r="P282" t="str">
        <f>TEXT(financial_fraud_data[[#This Row],[Transaction_Date]],"MMM")</f>
        <v>Jan</v>
      </c>
      <c r="Q282" t="str">
        <f>IF(financial_fraud_data[[#This Row],[Is_Fraud]]=1,"Yes","No")</f>
        <v>No</v>
      </c>
    </row>
    <row r="283" spans="1:17" x14ac:dyDescent="0.2">
      <c r="A283" t="s">
        <v>536</v>
      </c>
      <c r="B283" t="s">
        <v>113</v>
      </c>
      <c r="C283" s="1">
        <v>45303.708333333336</v>
      </c>
      <c r="D283">
        <v>16932.86</v>
      </c>
      <c r="E283" t="s">
        <v>42</v>
      </c>
      <c r="F283" t="s">
        <v>50</v>
      </c>
      <c r="G283" t="s">
        <v>28</v>
      </c>
      <c r="H283" t="s">
        <v>36</v>
      </c>
      <c r="I283" t="s">
        <v>36</v>
      </c>
      <c r="J283" t="s">
        <v>20</v>
      </c>
      <c r="K283">
        <v>0</v>
      </c>
      <c r="L283">
        <v>0</v>
      </c>
      <c r="M283">
        <v>1.69</v>
      </c>
      <c r="N283">
        <v>0</v>
      </c>
      <c r="O283" t="str">
        <f>IF(financial_fraud_data[[#This Row],[Risk_Score]]&gt;8,"High",IF(financial_fraud_data[[#This Row],[Risk_Score]]&gt;5,"Med","Low"))</f>
        <v>Low</v>
      </c>
      <c r="P283" t="str">
        <f>TEXT(financial_fraud_data[[#This Row],[Transaction_Date]],"MMM")</f>
        <v>Jan</v>
      </c>
      <c r="Q283" t="str">
        <f>IF(financial_fraud_data[[#This Row],[Is_Fraud]]=1,"Yes","No")</f>
        <v>No</v>
      </c>
    </row>
    <row r="284" spans="1:17" x14ac:dyDescent="0.2">
      <c r="A284" t="s">
        <v>537</v>
      </c>
      <c r="B284" t="s">
        <v>538</v>
      </c>
      <c r="C284" s="1">
        <v>45303.75</v>
      </c>
      <c r="D284">
        <v>18810.37</v>
      </c>
      <c r="E284" t="s">
        <v>42</v>
      </c>
      <c r="F284" t="s">
        <v>50</v>
      </c>
      <c r="G284" t="s">
        <v>56</v>
      </c>
      <c r="H284" t="s">
        <v>24</v>
      </c>
      <c r="I284" t="s">
        <v>23</v>
      </c>
      <c r="J284" t="s">
        <v>51</v>
      </c>
      <c r="K284">
        <v>0</v>
      </c>
      <c r="L284">
        <v>2</v>
      </c>
      <c r="M284">
        <v>5.88</v>
      </c>
      <c r="N284">
        <v>1</v>
      </c>
      <c r="O284" t="str">
        <f>IF(financial_fraud_data[[#This Row],[Risk_Score]]&gt;8,"High",IF(financial_fraud_data[[#This Row],[Risk_Score]]&gt;5,"Med","Low"))</f>
        <v>Med</v>
      </c>
      <c r="P284" t="str">
        <f>TEXT(financial_fraud_data[[#This Row],[Transaction_Date]],"MMM")</f>
        <v>Jan</v>
      </c>
      <c r="Q284" t="str">
        <f>IF(financial_fraud_data[[#This Row],[Is_Fraud]]=1,"Yes","No")</f>
        <v>Yes</v>
      </c>
    </row>
    <row r="285" spans="1:17" x14ac:dyDescent="0.2">
      <c r="A285" t="s">
        <v>539</v>
      </c>
      <c r="B285" t="s">
        <v>197</v>
      </c>
      <c r="C285" s="1">
        <v>45303.791666666664</v>
      </c>
      <c r="D285">
        <v>4744.3999999999996</v>
      </c>
      <c r="E285" t="s">
        <v>34</v>
      </c>
      <c r="F285" t="s">
        <v>50</v>
      </c>
      <c r="G285" t="s">
        <v>28</v>
      </c>
      <c r="H285" t="s">
        <v>36</v>
      </c>
      <c r="I285" t="s">
        <v>23</v>
      </c>
      <c r="J285" t="s">
        <v>37</v>
      </c>
      <c r="K285">
        <v>0</v>
      </c>
      <c r="L285">
        <v>0</v>
      </c>
      <c r="M285">
        <v>1.47</v>
      </c>
      <c r="N285">
        <v>0</v>
      </c>
      <c r="O285" t="str">
        <f>IF(financial_fraud_data[[#This Row],[Risk_Score]]&gt;8,"High",IF(financial_fraud_data[[#This Row],[Risk_Score]]&gt;5,"Med","Low"))</f>
        <v>Low</v>
      </c>
      <c r="P285" t="str">
        <f>TEXT(financial_fraud_data[[#This Row],[Transaction_Date]],"MMM")</f>
        <v>Jan</v>
      </c>
      <c r="Q285" t="str">
        <f>IF(financial_fraud_data[[#This Row],[Is_Fraud]]=1,"Yes","No")</f>
        <v>No</v>
      </c>
    </row>
    <row r="286" spans="1:17" x14ac:dyDescent="0.2">
      <c r="A286" t="s">
        <v>540</v>
      </c>
      <c r="B286" t="s">
        <v>541</v>
      </c>
      <c r="C286" s="1">
        <v>45303.833333333336</v>
      </c>
      <c r="D286">
        <v>28935.09</v>
      </c>
      <c r="E286" t="s">
        <v>16</v>
      </c>
      <c r="F286" t="s">
        <v>47</v>
      </c>
      <c r="G286" t="s">
        <v>28</v>
      </c>
      <c r="H286" t="s">
        <v>24</v>
      </c>
      <c r="I286" t="s">
        <v>23</v>
      </c>
      <c r="J286" t="s">
        <v>37</v>
      </c>
      <c r="K286">
        <v>0</v>
      </c>
      <c r="L286">
        <v>1</v>
      </c>
      <c r="M286">
        <v>5.39</v>
      </c>
      <c r="N286">
        <v>1</v>
      </c>
      <c r="O286" t="str">
        <f>IF(financial_fraud_data[[#This Row],[Risk_Score]]&gt;8,"High",IF(financial_fraud_data[[#This Row],[Risk_Score]]&gt;5,"Med","Low"))</f>
        <v>Med</v>
      </c>
      <c r="P286" t="str">
        <f>TEXT(financial_fraud_data[[#This Row],[Transaction_Date]],"MMM")</f>
        <v>Jan</v>
      </c>
      <c r="Q286" t="str">
        <f>IF(financial_fraud_data[[#This Row],[Is_Fraud]]=1,"Yes","No")</f>
        <v>Yes</v>
      </c>
    </row>
    <row r="287" spans="1:17" x14ac:dyDescent="0.2">
      <c r="A287" t="s">
        <v>542</v>
      </c>
      <c r="B287" t="s">
        <v>543</v>
      </c>
      <c r="C287" s="1">
        <v>45303.875</v>
      </c>
      <c r="D287">
        <v>1845.32</v>
      </c>
      <c r="E287" t="s">
        <v>16</v>
      </c>
      <c r="F287" t="s">
        <v>47</v>
      </c>
      <c r="G287" t="s">
        <v>35</v>
      </c>
      <c r="H287" t="s">
        <v>24</v>
      </c>
      <c r="I287" t="s">
        <v>24</v>
      </c>
      <c r="J287" t="s">
        <v>51</v>
      </c>
      <c r="K287">
        <v>1</v>
      </c>
      <c r="L287">
        <v>4</v>
      </c>
      <c r="M287">
        <v>8.18</v>
      </c>
      <c r="N287">
        <v>1</v>
      </c>
      <c r="O287" t="str">
        <f>IF(financial_fraud_data[[#This Row],[Risk_Score]]&gt;8,"High",IF(financial_fraud_data[[#This Row],[Risk_Score]]&gt;5,"Med","Low"))</f>
        <v>High</v>
      </c>
      <c r="P287" t="str">
        <f>TEXT(financial_fraud_data[[#This Row],[Transaction_Date]],"MMM")</f>
        <v>Jan</v>
      </c>
      <c r="Q287" t="str">
        <f>IF(financial_fraud_data[[#This Row],[Is_Fraud]]=1,"Yes","No")</f>
        <v>Yes</v>
      </c>
    </row>
    <row r="288" spans="1:17" x14ac:dyDescent="0.2">
      <c r="A288" t="s">
        <v>544</v>
      </c>
      <c r="B288" t="s">
        <v>545</v>
      </c>
      <c r="C288" s="1">
        <v>45303.916666666664</v>
      </c>
      <c r="D288">
        <v>23306.62</v>
      </c>
      <c r="E288" t="s">
        <v>34</v>
      </c>
      <c r="F288" t="s">
        <v>47</v>
      </c>
      <c r="G288" t="s">
        <v>56</v>
      </c>
      <c r="H288" t="s">
        <v>23</v>
      </c>
      <c r="I288" t="s">
        <v>23</v>
      </c>
      <c r="J288" t="s">
        <v>51</v>
      </c>
      <c r="K288">
        <v>0</v>
      </c>
      <c r="L288">
        <v>2</v>
      </c>
      <c r="M288">
        <v>5.33</v>
      </c>
      <c r="N288">
        <v>1</v>
      </c>
      <c r="O288" t="str">
        <f>IF(financial_fraud_data[[#This Row],[Risk_Score]]&gt;8,"High",IF(financial_fraud_data[[#This Row],[Risk_Score]]&gt;5,"Med","Low"))</f>
        <v>Med</v>
      </c>
      <c r="P288" t="str">
        <f>TEXT(financial_fraud_data[[#This Row],[Transaction_Date]],"MMM")</f>
        <v>Jan</v>
      </c>
      <c r="Q288" t="str">
        <f>IF(financial_fraud_data[[#This Row],[Is_Fraud]]=1,"Yes","No")</f>
        <v>Yes</v>
      </c>
    </row>
    <row r="289" spans="1:17" x14ac:dyDescent="0.2">
      <c r="A289" t="s">
        <v>546</v>
      </c>
      <c r="B289" t="s">
        <v>547</v>
      </c>
      <c r="C289" s="1">
        <v>45303.958333333336</v>
      </c>
      <c r="D289">
        <v>27155.1</v>
      </c>
      <c r="E289" t="s">
        <v>42</v>
      </c>
      <c r="F289" t="s">
        <v>27</v>
      </c>
      <c r="G289" t="s">
        <v>56</v>
      </c>
      <c r="H289" t="s">
        <v>23</v>
      </c>
      <c r="I289" t="s">
        <v>24</v>
      </c>
      <c r="J289" t="s">
        <v>20</v>
      </c>
      <c r="K289">
        <v>0</v>
      </c>
      <c r="L289">
        <v>0</v>
      </c>
      <c r="M289">
        <v>3.72</v>
      </c>
      <c r="N289">
        <v>0</v>
      </c>
      <c r="O289" t="str">
        <f>IF(financial_fraud_data[[#This Row],[Risk_Score]]&gt;8,"High",IF(financial_fraud_data[[#This Row],[Risk_Score]]&gt;5,"Med","Low"))</f>
        <v>Low</v>
      </c>
      <c r="P289" t="str">
        <f>TEXT(financial_fraud_data[[#This Row],[Transaction_Date]],"MMM")</f>
        <v>Jan</v>
      </c>
      <c r="Q289" t="str">
        <f>IF(financial_fraud_data[[#This Row],[Is_Fraud]]=1,"Yes","No")</f>
        <v>No</v>
      </c>
    </row>
    <row r="290" spans="1:17" x14ac:dyDescent="0.2">
      <c r="A290" t="s">
        <v>548</v>
      </c>
      <c r="B290" t="s">
        <v>549</v>
      </c>
      <c r="C290" s="1">
        <v>45304</v>
      </c>
      <c r="D290">
        <v>14362.74</v>
      </c>
      <c r="E290" t="s">
        <v>80</v>
      </c>
      <c r="F290" t="s">
        <v>17</v>
      </c>
      <c r="G290" t="s">
        <v>65</v>
      </c>
      <c r="H290" t="s">
        <v>36</v>
      </c>
      <c r="I290" t="s">
        <v>23</v>
      </c>
      <c r="J290" t="s">
        <v>51</v>
      </c>
      <c r="K290">
        <v>1</v>
      </c>
      <c r="L290">
        <v>4</v>
      </c>
      <c r="M290">
        <v>10.44</v>
      </c>
      <c r="N290">
        <v>1</v>
      </c>
      <c r="O290" t="str">
        <f>IF(financial_fraud_data[[#This Row],[Risk_Score]]&gt;8,"High",IF(financial_fraud_data[[#This Row],[Risk_Score]]&gt;5,"Med","Low"))</f>
        <v>High</v>
      </c>
      <c r="P290" t="str">
        <f>TEXT(financial_fraud_data[[#This Row],[Transaction_Date]],"MMM")</f>
        <v>Jan</v>
      </c>
      <c r="Q290" t="str">
        <f>IF(financial_fraud_data[[#This Row],[Is_Fraud]]=1,"Yes","No")</f>
        <v>Yes</v>
      </c>
    </row>
    <row r="291" spans="1:17" x14ac:dyDescent="0.2">
      <c r="A291" t="s">
        <v>550</v>
      </c>
      <c r="B291" t="s">
        <v>383</v>
      </c>
      <c r="C291" s="1">
        <v>45304.041666666664</v>
      </c>
      <c r="D291">
        <v>29562.12</v>
      </c>
      <c r="E291" t="s">
        <v>42</v>
      </c>
      <c r="F291" t="s">
        <v>50</v>
      </c>
      <c r="G291" t="s">
        <v>56</v>
      </c>
      <c r="H291" t="s">
        <v>19</v>
      </c>
      <c r="I291" t="s">
        <v>36</v>
      </c>
      <c r="J291" t="s">
        <v>37</v>
      </c>
      <c r="K291">
        <v>0</v>
      </c>
      <c r="L291">
        <v>2</v>
      </c>
      <c r="M291">
        <v>6.96</v>
      </c>
      <c r="N291">
        <v>1</v>
      </c>
      <c r="O291" t="str">
        <f>IF(financial_fraud_data[[#This Row],[Risk_Score]]&gt;8,"High",IF(financial_fraud_data[[#This Row],[Risk_Score]]&gt;5,"Med","Low"))</f>
        <v>Med</v>
      </c>
      <c r="P291" t="str">
        <f>TEXT(financial_fraud_data[[#This Row],[Transaction_Date]],"MMM")</f>
        <v>Jan</v>
      </c>
      <c r="Q291" t="str">
        <f>IF(financial_fraud_data[[#This Row],[Is_Fraud]]=1,"Yes","No")</f>
        <v>Yes</v>
      </c>
    </row>
    <row r="292" spans="1:17" x14ac:dyDescent="0.2">
      <c r="A292" t="s">
        <v>551</v>
      </c>
      <c r="B292" t="s">
        <v>516</v>
      </c>
      <c r="C292" s="1">
        <v>45304.083333333336</v>
      </c>
      <c r="D292">
        <v>1573.49</v>
      </c>
      <c r="E292" t="s">
        <v>42</v>
      </c>
      <c r="F292" t="s">
        <v>27</v>
      </c>
      <c r="G292" t="s">
        <v>65</v>
      </c>
      <c r="H292" t="s">
        <v>36</v>
      </c>
      <c r="I292" t="s">
        <v>19</v>
      </c>
      <c r="J292" t="s">
        <v>51</v>
      </c>
      <c r="K292">
        <v>0</v>
      </c>
      <c r="L292">
        <v>1</v>
      </c>
      <c r="M292">
        <v>2.66</v>
      </c>
      <c r="N292">
        <v>0</v>
      </c>
      <c r="O292" t="str">
        <f>IF(financial_fraud_data[[#This Row],[Risk_Score]]&gt;8,"High",IF(financial_fraud_data[[#This Row],[Risk_Score]]&gt;5,"Med","Low"))</f>
        <v>Low</v>
      </c>
      <c r="P292" t="str">
        <f>TEXT(financial_fraud_data[[#This Row],[Transaction_Date]],"MMM")</f>
        <v>Jan</v>
      </c>
      <c r="Q292" t="str">
        <f>IF(financial_fraud_data[[#This Row],[Is_Fraud]]=1,"Yes","No")</f>
        <v>No</v>
      </c>
    </row>
    <row r="293" spans="1:17" x14ac:dyDescent="0.2">
      <c r="A293" t="s">
        <v>552</v>
      </c>
      <c r="B293" t="s">
        <v>111</v>
      </c>
      <c r="C293" s="1">
        <v>45304.125</v>
      </c>
      <c r="D293">
        <v>1915.54</v>
      </c>
      <c r="E293" t="s">
        <v>80</v>
      </c>
      <c r="F293" t="s">
        <v>50</v>
      </c>
      <c r="G293" t="s">
        <v>18</v>
      </c>
      <c r="H293" t="s">
        <v>29</v>
      </c>
      <c r="I293" t="s">
        <v>19</v>
      </c>
      <c r="J293" t="s">
        <v>51</v>
      </c>
      <c r="K293">
        <v>0</v>
      </c>
      <c r="L293">
        <v>4</v>
      </c>
      <c r="M293">
        <v>7.19</v>
      </c>
      <c r="N293">
        <v>1</v>
      </c>
      <c r="O293" t="str">
        <f>IF(financial_fraud_data[[#This Row],[Risk_Score]]&gt;8,"High",IF(financial_fraud_data[[#This Row],[Risk_Score]]&gt;5,"Med","Low"))</f>
        <v>Med</v>
      </c>
      <c r="P293" t="str">
        <f>TEXT(financial_fraud_data[[#This Row],[Transaction_Date]],"MMM")</f>
        <v>Jan</v>
      </c>
      <c r="Q293" t="str">
        <f>IF(financial_fraud_data[[#This Row],[Is_Fraud]]=1,"Yes","No")</f>
        <v>Yes</v>
      </c>
    </row>
    <row r="294" spans="1:17" x14ac:dyDescent="0.2">
      <c r="A294" t="s">
        <v>553</v>
      </c>
      <c r="B294" t="s">
        <v>390</v>
      </c>
      <c r="C294" s="1">
        <v>45304.166666666664</v>
      </c>
      <c r="D294">
        <v>41138.9</v>
      </c>
      <c r="E294" t="s">
        <v>34</v>
      </c>
      <c r="F294" t="s">
        <v>47</v>
      </c>
      <c r="G294" t="s">
        <v>18</v>
      </c>
      <c r="H294" t="s">
        <v>24</v>
      </c>
      <c r="I294" t="s">
        <v>23</v>
      </c>
      <c r="J294" t="s">
        <v>20</v>
      </c>
      <c r="K294">
        <v>0</v>
      </c>
      <c r="L294">
        <v>0</v>
      </c>
      <c r="M294">
        <v>5.1100000000000003</v>
      </c>
      <c r="N294">
        <v>1</v>
      </c>
      <c r="O294" t="str">
        <f>IF(financial_fraud_data[[#This Row],[Risk_Score]]&gt;8,"High",IF(financial_fraud_data[[#This Row],[Risk_Score]]&gt;5,"Med","Low"))</f>
        <v>Med</v>
      </c>
      <c r="P294" t="str">
        <f>TEXT(financial_fraud_data[[#This Row],[Transaction_Date]],"MMM")</f>
        <v>Jan</v>
      </c>
      <c r="Q294" t="str">
        <f>IF(financial_fraud_data[[#This Row],[Is_Fraud]]=1,"Yes","No")</f>
        <v>Yes</v>
      </c>
    </row>
    <row r="295" spans="1:17" x14ac:dyDescent="0.2">
      <c r="A295" t="s">
        <v>554</v>
      </c>
      <c r="B295" t="s">
        <v>555</v>
      </c>
      <c r="C295" s="1">
        <v>45304.208333333336</v>
      </c>
      <c r="D295">
        <v>18041.52</v>
      </c>
      <c r="E295" t="s">
        <v>16</v>
      </c>
      <c r="F295" t="s">
        <v>27</v>
      </c>
      <c r="G295" t="s">
        <v>18</v>
      </c>
      <c r="H295" t="s">
        <v>24</v>
      </c>
      <c r="I295" t="s">
        <v>19</v>
      </c>
      <c r="J295" t="s">
        <v>20</v>
      </c>
      <c r="K295">
        <v>0</v>
      </c>
      <c r="L295">
        <v>0</v>
      </c>
      <c r="M295">
        <v>2.8</v>
      </c>
      <c r="N295">
        <v>0</v>
      </c>
      <c r="O295" t="str">
        <f>IF(financial_fraud_data[[#This Row],[Risk_Score]]&gt;8,"High",IF(financial_fraud_data[[#This Row],[Risk_Score]]&gt;5,"Med","Low"))</f>
        <v>Low</v>
      </c>
      <c r="P295" t="str">
        <f>TEXT(financial_fraud_data[[#This Row],[Transaction_Date]],"MMM")</f>
        <v>Jan</v>
      </c>
      <c r="Q295" t="str">
        <f>IF(financial_fraud_data[[#This Row],[Is_Fraud]]=1,"Yes","No")</f>
        <v>No</v>
      </c>
    </row>
    <row r="296" spans="1:17" x14ac:dyDescent="0.2">
      <c r="A296" t="s">
        <v>556</v>
      </c>
      <c r="B296" t="s">
        <v>428</v>
      </c>
      <c r="C296" s="1">
        <v>45304.25</v>
      </c>
      <c r="D296">
        <v>6396.67</v>
      </c>
      <c r="E296" t="s">
        <v>34</v>
      </c>
      <c r="F296" t="s">
        <v>47</v>
      </c>
      <c r="G296" t="s">
        <v>56</v>
      </c>
      <c r="H296" t="s">
        <v>23</v>
      </c>
      <c r="I296" t="s">
        <v>23</v>
      </c>
      <c r="J296" t="s">
        <v>20</v>
      </c>
      <c r="K296">
        <v>0</v>
      </c>
      <c r="L296">
        <v>1</v>
      </c>
      <c r="M296">
        <v>2.14</v>
      </c>
      <c r="N296">
        <v>0</v>
      </c>
      <c r="O296" t="str">
        <f>IF(financial_fraud_data[[#This Row],[Risk_Score]]&gt;8,"High",IF(financial_fraud_data[[#This Row],[Risk_Score]]&gt;5,"Med","Low"))</f>
        <v>Low</v>
      </c>
      <c r="P296" t="str">
        <f>TEXT(financial_fraud_data[[#This Row],[Transaction_Date]],"MMM")</f>
        <v>Jan</v>
      </c>
      <c r="Q296" t="str">
        <f>IF(financial_fraud_data[[#This Row],[Is_Fraud]]=1,"Yes","No")</f>
        <v>No</v>
      </c>
    </row>
    <row r="297" spans="1:17" x14ac:dyDescent="0.2">
      <c r="A297" t="s">
        <v>557</v>
      </c>
      <c r="B297" t="s">
        <v>558</v>
      </c>
      <c r="C297" s="1">
        <v>45304.291666666664</v>
      </c>
      <c r="D297">
        <v>26136.05</v>
      </c>
      <c r="E297" t="s">
        <v>34</v>
      </c>
      <c r="F297" t="s">
        <v>50</v>
      </c>
      <c r="G297" t="s">
        <v>56</v>
      </c>
      <c r="H297" t="s">
        <v>19</v>
      </c>
      <c r="I297" t="s">
        <v>23</v>
      </c>
      <c r="J297" t="s">
        <v>20</v>
      </c>
      <c r="K297">
        <v>0</v>
      </c>
      <c r="L297">
        <v>2</v>
      </c>
      <c r="M297">
        <v>6.61</v>
      </c>
      <c r="N297">
        <v>1</v>
      </c>
      <c r="O297" t="str">
        <f>IF(financial_fraud_data[[#This Row],[Risk_Score]]&gt;8,"High",IF(financial_fraud_data[[#This Row],[Risk_Score]]&gt;5,"Med","Low"))</f>
        <v>Med</v>
      </c>
      <c r="P297" t="str">
        <f>TEXT(financial_fraud_data[[#This Row],[Transaction_Date]],"MMM")</f>
        <v>Jan</v>
      </c>
      <c r="Q297" t="str">
        <f>IF(financial_fraud_data[[#This Row],[Is_Fraud]]=1,"Yes","No")</f>
        <v>Yes</v>
      </c>
    </row>
    <row r="298" spans="1:17" x14ac:dyDescent="0.2">
      <c r="A298" t="s">
        <v>559</v>
      </c>
      <c r="B298" t="s">
        <v>560</v>
      </c>
      <c r="C298" s="1">
        <v>45304.333333333336</v>
      </c>
      <c r="D298">
        <v>38511.18</v>
      </c>
      <c r="E298" t="s">
        <v>42</v>
      </c>
      <c r="F298" t="s">
        <v>50</v>
      </c>
      <c r="G298" t="s">
        <v>65</v>
      </c>
      <c r="H298" t="s">
        <v>23</v>
      </c>
      <c r="I298" t="s">
        <v>29</v>
      </c>
      <c r="J298" t="s">
        <v>37</v>
      </c>
      <c r="K298">
        <v>0</v>
      </c>
      <c r="L298">
        <v>4</v>
      </c>
      <c r="M298">
        <v>10.85</v>
      </c>
      <c r="N298">
        <v>1</v>
      </c>
      <c r="O298" t="str">
        <f>IF(financial_fraud_data[[#This Row],[Risk_Score]]&gt;8,"High",IF(financial_fraud_data[[#This Row],[Risk_Score]]&gt;5,"Med","Low"))</f>
        <v>High</v>
      </c>
      <c r="P298" t="str">
        <f>TEXT(financial_fraud_data[[#This Row],[Transaction_Date]],"MMM")</f>
        <v>Jan</v>
      </c>
      <c r="Q298" t="str">
        <f>IF(financial_fraud_data[[#This Row],[Is_Fraud]]=1,"Yes","No")</f>
        <v>Yes</v>
      </c>
    </row>
    <row r="299" spans="1:17" x14ac:dyDescent="0.2">
      <c r="A299" t="s">
        <v>561</v>
      </c>
      <c r="B299" t="s">
        <v>562</v>
      </c>
      <c r="C299" s="1">
        <v>45304.375</v>
      </c>
      <c r="D299">
        <v>10830.26</v>
      </c>
      <c r="E299" t="s">
        <v>16</v>
      </c>
      <c r="F299" t="s">
        <v>17</v>
      </c>
      <c r="G299" t="s">
        <v>28</v>
      </c>
      <c r="H299" t="s">
        <v>29</v>
      </c>
      <c r="I299" t="s">
        <v>29</v>
      </c>
      <c r="J299" t="s">
        <v>51</v>
      </c>
      <c r="K299">
        <v>0</v>
      </c>
      <c r="L299">
        <v>1</v>
      </c>
      <c r="M299">
        <v>2.58</v>
      </c>
      <c r="N299">
        <v>0</v>
      </c>
      <c r="O299" t="str">
        <f>IF(financial_fraud_data[[#This Row],[Risk_Score]]&gt;8,"High",IF(financial_fraud_data[[#This Row],[Risk_Score]]&gt;5,"Med","Low"))</f>
        <v>Low</v>
      </c>
      <c r="P299" t="str">
        <f>TEXT(financial_fraud_data[[#This Row],[Transaction_Date]],"MMM")</f>
        <v>Jan</v>
      </c>
      <c r="Q299" t="str">
        <f>IF(financial_fraud_data[[#This Row],[Is_Fraud]]=1,"Yes","No")</f>
        <v>No</v>
      </c>
    </row>
    <row r="300" spans="1:17" x14ac:dyDescent="0.2">
      <c r="A300" t="s">
        <v>563</v>
      </c>
      <c r="B300" t="s">
        <v>331</v>
      </c>
      <c r="C300" s="1">
        <v>45304.416666666664</v>
      </c>
      <c r="D300">
        <v>31163.38</v>
      </c>
      <c r="E300" t="s">
        <v>16</v>
      </c>
      <c r="F300" t="s">
        <v>50</v>
      </c>
      <c r="G300" t="s">
        <v>65</v>
      </c>
      <c r="H300" t="s">
        <v>36</v>
      </c>
      <c r="I300" t="s">
        <v>29</v>
      </c>
      <c r="J300" t="s">
        <v>51</v>
      </c>
      <c r="K300">
        <v>0</v>
      </c>
      <c r="L300">
        <v>2</v>
      </c>
      <c r="M300">
        <v>7.12</v>
      </c>
      <c r="N300">
        <v>1</v>
      </c>
      <c r="O300" t="str">
        <f>IF(financial_fraud_data[[#This Row],[Risk_Score]]&gt;8,"High",IF(financial_fraud_data[[#This Row],[Risk_Score]]&gt;5,"Med","Low"))</f>
        <v>Med</v>
      </c>
      <c r="P300" t="str">
        <f>TEXT(financial_fraud_data[[#This Row],[Transaction_Date]],"MMM")</f>
        <v>Jan</v>
      </c>
      <c r="Q300" t="str">
        <f>IF(financial_fraud_data[[#This Row],[Is_Fraud]]=1,"Yes","No")</f>
        <v>Yes</v>
      </c>
    </row>
    <row r="301" spans="1:17" x14ac:dyDescent="0.2">
      <c r="A301" t="s">
        <v>564</v>
      </c>
      <c r="B301" t="s">
        <v>565</v>
      </c>
      <c r="C301" s="1">
        <v>45304.458333333336</v>
      </c>
      <c r="D301">
        <v>4313.1099999999997</v>
      </c>
      <c r="E301" t="s">
        <v>34</v>
      </c>
      <c r="F301" t="s">
        <v>47</v>
      </c>
      <c r="G301" t="s">
        <v>18</v>
      </c>
      <c r="H301" t="s">
        <v>36</v>
      </c>
      <c r="I301" t="s">
        <v>24</v>
      </c>
      <c r="J301" t="s">
        <v>20</v>
      </c>
      <c r="K301">
        <v>0</v>
      </c>
      <c r="L301">
        <v>3</v>
      </c>
      <c r="M301">
        <v>5.93</v>
      </c>
      <c r="N301">
        <v>1</v>
      </c>
      <c r="O301" t="str">
        <f>IF(financial_fraud_data[[#This Row],[Risk_Score]]&gt;8,"High",IF(financial_fraud_data[[#This Row],[Risk_Score]]&gt;5,"Med","Low"))</f>
        <v>Med</v>
      </c>
      <c r="P301" t="str">
        <f>TEXT(financial_fraud_data[[#This Row],[Transaction_Date]],"MMM")</f>
        <v>Jan</v>
      </c>
      <c r="Q301" t="str">
        <f>IF(financial_fraud_data[[#This Row],[Is_Fraud]]=1,"Yes","No")</f>
        <v>Yes</v>
      </c>
    </row>
    <row r="302" spans="1:17" x14ac:dyDescent="0.2">
      <c r="A302" t="s">
        <v>566</v>
      </c>
      <c r="B302" t="s">
        <v>567</v>
      </c>
      <c r="C302" s="1">
        <v>45304.5</v>
      </c>
      <c r="D302">
        <v>2631.5</v>
      </c>
      <c r="E302" t="s">
        <v>80</v>
      </c>
      <c r="F302" t="s">
        <v>50</v>
      </c>
      <c r="G302" t="s">
        <v>65</v>
      </c>
      <c r="H302" t="s">
        <v>19</v>
      </c>
      <c r="I302" t="s">
        <v>29</v>
      </c>
      <c r="J302" t="s">
        <v>37</v>
      </c>
      <c r="K302">
        <v>0</v>
      </c>
      <c r="L302">
        <v>3</v>
      </c>
      <c r="M302">
        <v>5.76</v>
      </c>
      <c r="N302">
        <v>1</v>
      </c>
      <c r="O302" t="str">
        <f>IF(financial_fraud_data[[#This Row],[Risk_Score]]&gt;8,"High",IF(financial_fraud_data[[#This Row],[Risk_Score]]&gt;5,"Med","Low"))</f>
        <v>Med</v>
      </c>
      <c r="P302" t="str">
        <f>TEXT(financial_fraud_data[[#This Row],[Transaction_Date]],"MMM")</f>
        <v>Jan</v>
      </c>
      <c r="Q302" t="str">
        <f>IF(financial_fraud_data[[#This Row],[Is_Fraud]]=1,"Yes","No")</f>
        <v>Yes</v>
      </c>
    </row>
    <row r="303" spans="1:17" x14ac:dyDescent="0.2">
      <c r="A303" t="s">
        <v>568</v>
      </c>
      <c r="B303" t="s">
        <v>425</v>
      </c>
      <c r="C303" s="1">
        <v>45304.541666666664</v>
      </c>
      <c r="D303">
        <v>26591.16</v>
      </c>
      <c r="E303" t="s">
        <v>34</v>
      </c>
      <c r="F303" t="s">
        <v>17</v>
      </c>
      <c r="G303" t="s">
        <v>28</v>
      </c>
      <c r="H303" t="s">
        <v>23</v>
      </c>
      <c r="I303" t="s">
        <v>23</v>
      </c>
      <c r="J303" t="s">
        <v>37</v>
      </c>
      <c r="K303">
        <v>0</v>
      </c>
      <c r="L303">
        <v>2</v>
      </c>
      <c r="M303">
        <v>5.66</v>
      </c>
      <c r="N303">
        <v>1</v>
      </c>
      <c r="O303" t="str">
        <f>IF(financial_fraud_data[[#This Row],[Risk_Score]]&gt;8,"High",IF(financial_fraud_data[[#This Row],[Risk_Score]]&gt;5,"Med","Low"))</f>
        <v>Med</v>
      </c>
      <c r="P303" t="str">
        <f>TEXT(financial_fraud_data[[#This Row],[Transaction_Date]],"MMM")</f>
        <v>Jan</v>
      </c>
      <c r="Q303" t="str">
        <f>IF(financial_fraud_data[[#This Row],[Is_Fraud]]=1,"Yes","No")</f>
        <v>Yes</v>
      </c>
    </row>
    <row r="304" spans="1:17" x14ac:dyDescent="0.2">
      <c r="A304" t="s">
        <v>569</v>
      </c>
      <c r="B304" t="s">
        <v>570</v>
      </c>
      <c r="C304" s="1">
        <v>45304.583333333336</v>
      </c>
      <c r="D304">
        <v>27054.720000000001</v>
      </c>
      <c r="E304" t="s">
        <v>80</v>
      </c>
      <c r="F304" t="s">
        <v>17</v>
      </c>
      <c r="G304" t="s">
        <v>56</v>
      </c>
      <c r="H304" t="s">
        <v>23</v>
      </c>
      <c r="I304" t="s">
        <v>36</v>
      </c>
      <c r="J304" t="s">
        <v>51</v>
      </c>
      <c r="K304">
        <v>0</v>
      </c>
      <c r="L304">
        <v>0</v>
      </c>
      <c r="M304">
        <v>3.71</v>
      </c>
      <c r="N304">
        <v>0</v>
      </c>
      <c r="O304" t="str">
        <f>IF(financial_fraud_data[[#This Row],[Risk_Score]]&gt;8,"High",IF(financial_fraud_data[[#This Row],[Risk_Score]]&gt;5,"Med","Low"))</f>
        <v>Low</v>
      </c>
      <c r="P304" t="str">
        <f>TEXT(financial_fraud_data[[#This Row],[Transaction_Date]],"MMM")</f>
        <v>Jan</v>
      </c>
      <c r="Q304" t="str">
        <f>IF(financial_fraud_data[[#This Row],[Is_Fraud]]=1,"Yes","No")</f>
        <v>No</v>
      </c>
    </row>
    <row r="305" spans="1:17" x14ac:dyDescent="0.2">
      <c r="A305" t="s">
        <v>571</v>
      </c>
      <c r="B305" t="s">
        <v>572</v>
      </c>
      <c r="C305" s="1">
        <v>45304.625</v>
      </c>
      <c r="D305">
        <v>31889.62</v>
      </c>
      <c r="E305" t="s">
        <v>16</v>
      </c>
      <c r="F305" t="s">
        <v>47</v>
      </c>
      <c r="G305" t="s">
        <v>65</v>
      </c>
      <c r="H305" t="s">
        <v>29</v>
      </c>
      <c r="I305" t="s">
        <v>29</v>
      </c>
      <c r="J305" t="s">
        <v>20</v>
      </c>
      <c r="K305">
        <v>0</v>
      </c>
      <c r="L305">
        <v>0</v>
      </c>
      <c r="M305">
        <v>3.19</v>
      </c>
      <c r="N305">
        <v>0</v>
      </c>
      <c r="O305" t="str">
        <f>IF(financial_fraud_data[[#This Row],[Risk_Score]]&gt;8,"High",IF(financial_fraud_data[[#This Row],[Risk_Score]]&gt;5,"Med","Low"))</f>
        <v>Low</v>
      </c>
      <c r="P305" t="str">
        <f>TEXT(financial_fraud_data[[#This Row],[Transaction_Date]],"MMM")</f>
        <v>Jan</v>
      </c>
      <c r="Q305" t="str">
        <f>IF(financial_fraud_data[[#This Row],[Is_Fraud]]=1,"Yes","No")</f>
        <v>No</v>
      </c>
    </row>
    <row r="306" spans="1:17" x14ac:dyDescent="0.2">
      <c r="A306" t="s">
        <v>573</v>
      </c>
      <c r="B306" t="s">
        <v>574</v>
      </c>
      <c r="C306" s="1">
        <v>45304.666666666664</v>
      </c>
      <c r="D306">
        <v>36318.26</v>
      </c>
      <c r="E306" t="s">
        <v>34</v>
      </c>
      <c r="F306" t="s">
        <v>27</v>
      </c>
      <c r="G306" t="s">
        <v>18</v>
      </c>
      <c r="H306" t="s">
        <v>36</v>
      </c>
      <c r="I306" t="s">
        <v>29</v>
      </c>
      <c r="J306" t="s">
        <v>51</v>
      </c>
      <c r="K306">
        <v>0</v>
      </c>
      <c r="L306">
        <v>3</v>
      </c>
      <c r="M306">
        <v>9.1300000000000008</v>
      </c>
      <c r="N306">
        <v>1</v>
      </c>
      <c r="O306" t="str">
        <f>IF(financial_fraud_data[[#This Row],[Risk_Score]]&gt;8,"High",IF(financial_fraud_data[[#This Row],[Risk_Score]]&gt;5,"Med","Low"))</f>
        <v>High</v>
      </c>
      <c r="P306" t="str">
        <f>TEXT(financial_fraud_data[[#This Row],[Transaction_Date]],"MMM")</f>
        <v>Jan</v>
      </c>
      <c r="Q306" t="str">
        <f>IF(financial_fraud_data[[#This Row],[Is_Fraud]]=1,"Yes","No")</f>
        <v>Yes</v>
      </c>
    </row>
    <row r="307" spans="1:17" x14ac:dyDescent="0.2">
      <c r="A307" t="s">
        <v>575</v>
      </c>
      <c r="B307" t="s">
        <v>576</v>
      </c>
      <c r="C307" s="1">
        <v>45304.708333333336</v>
      </c>
      <c r="D307">
        <v>48793.81</v>
      </c>
      <c r="E307" t="s">
        <v>42</v>
      </c>
      <c r="F307" t="s">
        <v>50</v>
      </c>
      <c r="G307" t="s">
        <v>18</v>
      </c>
      <c r="H307" t="s">
        <v>23</v>
      </c>
      <c r="I307" t="s">
        <v>36</v>
      </c>
      <c r="J307" t="s">
        <v>51</v>
      </c>
      <c r="K307">
        <v>0</v>
      </c>
      <c r="L307">
        <v>0</v>
      </c>
      <c r="M307">
        <v>5.88</v>
      </c>
      <c r="N307">
        <v>1</v>
      </c>
      <c r="O307" t="str">
        <f>IF(financial_fraud_data[[#This Row],[Risk_Score]]&gt;8,"High",IF(financial_fraud_data[[#This Row],[Risk_Score]]&gt;5,"Med","Low"))</f>
        <v>Med</v>
      </c>
      <c r="P307" t="str">
        <f>TEXT(financial_fraud_data[[#This Row],[Transaction_Date]],"MMM")</f>
        <v>Jan</v>
      </c>
      <c r="Q307" t="str">
        <f>IF(financial_fraud_data[[#This Row],[Is_Fraud]]=1,"Yes","No")</f>
        <v>Yes</v>
      </c>
    </row>
    <row r="308" spans="1:17" x14ac:dyDescent="0.2">
      <c r="A308" t="s">
        <v>577</v>
      </c>
      <c r="B308" t="s">
        <v>203</v>
      </c>
      <c r="C308" s="1">
        <v>45304.75</v>
      </c>
      <c r="D308">
        <v>25839.200000000001</v>
      </c>
      <c r="E308" t="s">
        <v>34</v>
      </c>
      <c r="F308" t="s">
        <v>17</v>
      </c>
      <c r="G308" t="s">
        <v>56</v>
      </c>
      <c r="H308" t="s">
        <v>19</v>
      </c>
      <c r="I308" t="s">
        <v>23</v>
      </c>
      <c r="J308" t="s">
        <v>37</v>
      </c>
      <c r="K308">
        <v>0</v>
      </c>
      <c r="L308">
        <v>0</v>
      </c>
      <c r="M308">
        <v>3.58</v>
      </c>
      <c r="N308">
        <v>0</v>
      </c>
      <c r="O308" t="str">
        <f>IF(financial_fraud_data[[#This Row],[Risk_Score]]&gt;8,"High",IF(financial_fraud_data[[#This Row],[Risk_Score]]&gt;5,"Med","Low"))</f>
        <v>Low</v>
      </c>
      <c r="P308" t="str">
        <f>TEXT(financial_fraud_data[[#This Row],[Transaction_Date]],"MMM")</f>
        <v>Jan</v>
      </c>
      <c r="Q308" t="str">
        <f>IF(financial_fraud_data[[#This Row],[Is_Fraud]]=1,"Yes","No")</f>
        <v>No</v>
      </c>
    </row>
    <row r="309" spans="1:17" x14ac:dyDescent="0.2">
      <c r="A309" t="s">
        <v>578</v>
      </c>
      <c r="B309" t="s">
        <v>241</v>
      </c>
      <c r="C309" s="1">
        <v>45304.791666666664</v>
      </c>
      <c r="D309">
        <v>16181.68</v>
      </c>
      <c r="E309" t="s">
        <v>16</v>
      </c>
      <c r="F309" t="s">
        <v>50</v>
      </c>
      <c r="G309" t="s">
        <v>65</v>
      </c>
      <c r="H309" t="s">
        <v>36</v>
      </c>
      <c r="I309" t="s">
        <v>24</v>
      </c>
      <c r="J309" t="s">
        <v>37</v>
      </c>
      <c r="K309">
        <v>0</v>
      </c>
      <c r="L309">
        <v>2</v>
      </c>
      <c r="M309">
        <v>5.62</v>
      </c>
      <c r="N309">
        <v>1</v>
      </c>
      <c r="O309" t="str">
        <f>IF(financial_fraud_data[[#This Row],[Risk_Score]]&gt;8,"High",IF(financial_fraud_data[[#This Row],[Risk_Score]]&gt;5,"Med","Low"))</f>
        <v>Med</v>
      </c>
      <c r="P309" t="str">
        <f>TEXT(financial_fraud_data[[#This Row],[Transaction_Date]],"MMM")</f>
        <v>Jan</v>
      </c>
      <c r="Q309" t="str">
        <f>IF(financial_fraud_data[[#This Row],[Is_Fraud]]=1,"Yes","No")</f>
        <v>Yes</v>
      </c>
    </row>
    <row r="310" spans="1:17" x14ac:dyDescent="0.2">
      <c r="A310" t="s">
        <v>579</v>
      </c>
      <c r="B310" t="s">
        <v>580</v>
      </c>
      <c r="C310" s="1">
        <v>45304.833333333336</v>
      </c>
      <c r="D310">
        <v>39769.550000000003</v>
      </c>
      <c r="E310" t="s">
        <v>42</v>
      </c>
      <c r="F310" t="s">
        <v>50</v>
      </c>
      <c r="G310" t="s">
        <v>28</v>
      </c>
      <c r="H310" t="s">
        <v>29</v>
      </c>
      <c r="I310" t="s">
        <v>29</v>
      </c>
      <c r="J310" t="s">
        <v>51</v>
      </c>
      <c r="K310">
        <v>0</v>
      </c>
      <c r="L310">
        <v>2</v>
      </c>
      <c r="M310">
        <v>6.98</v>
      </c>
      <c r="N310">
        <v>1</v>
      </c>
      <c r="O310" t="str">
        <f>IF(financial_fraud_data[[#This Row],[Risk_Score]]&gt;8,"High",IF(financial_fraud_data[[#This Row],[Risk_Score]]&gt;5,"Med","Low"))</f>
        <v>Med</v>
      </c>
      <c r="P310" t="str">
        <f>TEXT(financial_fraud_data[[#This Row],[Transaction_Date]],"MMM")</f>
        <v>Jan</v>
      </c>
      <c r="Q310" t="str">
        <f>IF(financial_fraud_data[[#This Row],[Is_Fraud]]=1,"Yes","No")</f>
        <v>Yes</v>
      </c>
    </row>
    <row r="311" spans="1:17" x14ac:dyDescent="0.2">
      <c r="A311" t="s">
        <v>581</v>
      </c>
      <c r="B311" t="s">
        <v>582</v>
      </c>
      <c r="C311" s="1">
        <v>45304.875</v>
      </c>
      <c r="D311">
        <v>13578.07</v>
      </c>
      <c r="E311" t="s">
        <v>42</v>
      </c>
      <c r="F311" t="s">
        <v>27</v>
      </c>
      <c r="G311" t="s">
        <v>56</v>
      </c>
      <c r="H311" t="s">
        <v>19</v>
      </c>
      <c r="I311" t="s">
        <v>36</v>
      </c>
      <c r="J311" t="s">
        <v>20</v>
      </c>
      <c r="K311">
        <v>0</v>
      </c>
      <c r="L311">
        <v>0</v>
      </c>
      <c r="M311">
        <v>2.36</v>
      </c>
      <c r="N311">
        <v>0</v>
      </c>
      <c r="O311" t="str">
        <f>IF(financial_fraud_data[[#This Row],[Risk_Score]]&gt;8,"High",IF(financial_fraud_data[[#This Row],[Risk_Score]]&gt;5,"Med","Low"))</f>
        <v>Low</v>
      </c>
      <c r="P311" t="str">
        <f>TEXT(financial_fraud_data[[#This Row],[Transaction_Date]],"MMM")</f>
        <v>Jan</v>
      </c>
      <c r="Q311" t="str">
        <f>IF(financial_fraud_data[[#This Row],[Is_Fraud]]=1,"Yes","No")</f>
        <v>No</v>
      </c>
    </row>
    <row r="312" spans="1:17" x14ac:dyDescent="0.2">
      <c r="A312" t="s">
        <v>583</v>
      </c>
      <c r="B312" t="s">
        <v>233</v>
      </c>
      <c r="C312" s="1">
        <v>45304.916666666664</v>
      </c>
      <c r="D312">
        <v>21976.62</v>
      </c>
      <c r="E312" t="s">
        <v>80</v>
      </c>
      <c r="F312" t="s">
        <v>17</v>
      </c>
      <c r="G312" t="s">
        <v>65</v>
      </c>
      <c r="H312" t="s">
        <v>24</v>
      </c>
      <c r="I312" t="s">
        <v>23</v>
      </c>
      <c r="J312" t="s">
        <v>20</v>
      </c>
      <c r="K312">
        <v>0</v>
      </c>
      <c r="L312">
        <v>2</v>
      </c>
      <c r="M312">
        <v>6.2</v>
      </c>
      <c r="N312">
        <v>1</v>
      </c>
      <c r="O312" t="str">
        <f>IF(financial_fraud_data[[#This Row],[Risk_Score]]&gt;8,"High",IF(financial_fraud_data[[#This Row],[Risk_Score]]&gt;5,"Med","Low"))</f>
        <v>Med</v>
      </c>
      <c r="P312" t="str">
        <f>TEXT(financial_fraud_data[[#This Row],[Transaction_Date]],"MMM")</f>
        <v>Jan</v>
      </c>
      <c r="Q312" t="str">
        <f>IF(financial_fraud_data[[#This Row],[Is_Fraud]]=1,"Yes","No")</f>
        <v>Yes</v>
      </c>
    </row>
    <row r="313" spans="1:17" x14ac:dyDescent="0.2">
      <c r="A313" t="s">
        <v>584</v>
      </c>
      <c r="B313" t="s">
        <v>502</v>
      </c>
      <c r="C313" s="1">
        <v>45304.958333333336</v>
      </c>
      <c r="D313">
        <v>3968.9</v>
      </c>
      <c r="E313" t="s">
        <v>42</v>
      </c>
      <c r="F313" t="s">
        <v>50</v>
      </c>
      <c r="G313" t="s">
        <v>35</v>
      </c>
      <c r="H313" t="s">
        <v>29</v>
      </c>
      <c r="I313" t="s">
        <v>19</v>
      </c>
      <c r="J313" t="s">
        <v>51</v>
      </c>
      <c r="K313">
        <v>0</v>
      </c>
      <c r="L313">
        <v>4</v>
      </c>
      <c r="M313">
        <v>7.4</v>
      </c>
      <c r="N313">
        <v>1</v>
      </c>
      <c r="O313" t="str">
        <f>IF(financial_fraud_data[[#This Row],[Risk_Score]]&gt;8,"High",IF(financial_fraud_data[[#This Row],[Risk_Score]]&gt;5,"Med","Low"))</f>
        <v>Med</v>
      </c>
      <c r="P313" t="str">
        <f>TEXT(financial_fraud_data[[#This Row],[Transaction_Date]],"MMM")</f>
        <v>Jan</v>
      </c>
      <c r="Q313" t="str">
        <f>IF(financial_fraud_data[[#This Row],[Is_Fraud]]=1,"Yes","No")</f>
        <v>Yes</v>
      </c>
    </row>
    <row r="314" spans="1:17" x14ac:dyDescent="0.2">
      <c r="A314" t="s">
        <v>585</v>
      </c>
      <c r="B314" t="s">
        <v>586</v>
      </c>
      <c r="C314" s="1">
        <v>45305</v>
      </c>
      <c r="D314">
        <v>1316.27</v>
      </c>
      <c r="E314" t="s">
        <v>42</v>
      </c>
      <c r="F314" t="s">
        <v>17</v>
      </c>
      <c r="G314" t="s">
        <v>18</v>
      </c>
      <c r="H314" t="s">
        <v>19</v>
      </c>
      <c r="I314" t="s">
        <v>24</v>
      </c>
      <c r="J314" t="s">
        <v>51</v>
      </c>
      <c r="K314">
        <v>0</v>
      </c>
      <c r="L314">
        <v>3</v>
      </c>
      <c r="M314">
        <v>5.63</v>
      </c>
      <c r="N314">
        <v>1</v>
      </c>
      <c r="O314" t="str">
        <f>IF(financial_fraud_data[[#This Row],[Risk_Score]]&gt;8,"High",IF(financial_fraud_data[[#This Row],[Risk_Score]]&gt;5,"Med","Low"))</f>
        <v>Med</v>
      </c>
      <c r="P314" t="str">
        <f>TEXT(financial_fraud_data[[#This Row],[Transaction_Date]],"MMM")</f>
        <v>Jan</v>
      </c>
      <c r="Q314" t="str">
        <f>IF(financial_fraud_data[[#This Row],[Is_Fraud]]=1,"Yes","No")</f>
        <v>Yes</v>
      </c>
    </row>
    <row r="315" spans="1:17" x14ac:dyDescent="0.2">
      <c r="A315" t="s">
        <v>587</v>
      </c>
      <c r="B315" t="s">
        <v>588</v>
      </c>
      <c r="C315" s="1">
        <v>45305.041666666664</v>
      </c>
      <c r="D315">
        <v>48134.29</v>
      </c>
      <c r="E315" t="s">
        <v>34</v>
      </c>
      <c r="F315" t="s">
        <v>47</v>
      </c>
      <c r="G315" t="s">
        <v>28</v>
      </c>
      <c r="H315" t="s">
        <v>23</v>
      </c>
      <c r="I315" t="s">
        <v>36</v>
      </c>
      <c r="J315" t="s">
        <v>20</v>
      </c>
      <c r="K315">
        <v>1</v>
      </c>
      <c r="L315">
        <v>4</v>
      </c>
      <c r="M315">
        <v>13.81</v>
      </c>
      <c r="N315">
        <v>1</v>
      </c>
      <c r="O315" t="str">
        <f>IF(financial_fraud_data[[#This Row],[Risk_Score]]&gt;8,"High",IF(financial_fraud_data[[#This Row],[Risk_Score]]&gt;5,"Med","Low"))</f>
        <v>High</v>
      </c>
      <c r="P315" t="str">
        <f>TEXT(financial_fraud_data[[#This Row],[Transaction_Date]],"MMM")</f>
        <v>Jan</v>
      </c>
      <c r="Q315" t="str">
        <f>IF(financial_fraud_data[[#This Row],[Is_Fraud]]=1,"Yes","No")</f>
        <v>Yes</v>
      </c>
    </row>
    <row r="316" spans="1:17" x14ac:dyDescent="0.2">
      <c r="A316" t="s">
        <v>589</v>
      </c>
      <c r="B316" t="s">
        <v>590</v>
      </c>
      <c r="C316" s="1">
        <v>45305.083333333336</v>
      </c>
      <c r="D316">
        <v>41807.21</v>
      </c>
      <c r="E316" t="s">
        <v>16</v>
      </c>
      <c r="F316" t="s">
        <v>47</v>
      </c>
      <c r="G316" t="s">
        <v>28</v>
      </c>
      <c r="H316" t="s">
        <v>24</v>
      </c>
      <c r="I316" t="s">
        <v>36</v>
      </c>
      <c r="J316" t="s">
        <v>20</v>
      </c>
      <c r="K316">
        <v>0</v>
      </c>
      <c r="L316">
        <v>4</v>
      </c>
      <c r="M316">
        <v>11.18</v>
      </c>
      <c r="N316">
        <v>1</v>
      </c>
      <c r="O316" t="str">
        <f>IF(financial_fraud_data[[#This Row],[Risk_Score]]&gt;8,"High",IF(financial_fraud_data[[#This Row],[Risk_Score]]&gt;5,"Med","Low"))</f>
        <v>High</v>
      </c>
      <c r="P316" t="str">
        <f>TEXT(financial_fraud_data[[#This Row],[Transaction_Date]],"MMM")</f>
        <v>Jan</v>
      </c>
      <c r="Q316" t="str">
        <f>IF(financial_fraud_data[[#This Row],[Is_Fraud]]=1,"Yes","No")</f>
        <v>Yes</v>
      </c>
    </row>
    <row r="317" spans="1:17" x14ac:dyDescent="0.2">
      <c r="A317" t="s">
        <v>591</v>
      </c>
      <c r="B317" t="s">
        <v>208</v>
      </c>
      <c r="C317" s="1">
        <v>45305.125</v>
      </c>
      <c r="D317">
        <v>34813.910000000003</v>
      </c>
      <c r="E317" t="s">
        <v>80</v>
      </c>
      <c r="F317" t="s">
        <v>50</v>
      </c>
      <c r="G317" t="s">
        <v>28</v>
      </c>
      <c r="H317" t="s">
        <v>29</v>
      </c>
      <c r="I317" t="s">
        <v>36</v>
      </c>
      <c r="J317" t="s">
        <v>20</v>
      </c>
      <c r="K317">
        <v>0</v>
      </c>
      <c r="L317">
        <v>0</v>
      </c>
      <c r="M317">
        <v>4.4800000000000004</v>
      </c>
      <c r="N317">
        <v>0</v>
      </c>
      <c r="O317" t="str">
        <f>IF(financial_fraud_data[[#This Row],[Risk_Score]]&gt;8,"High",IF(financial_fraud_data[[#This Row],[Risk_Score]]&gt;5,"Med","Low"))</f>
        <v>Low</v>
      </c>
      <c r="P317" t="str">
        <f>TEXT(financial_fraud_data[[#This Row],[Transaction_Date]],"MMM")</f>
        <v>Jan</v>
      </c>
      <c r="Q317" t="str">
        <f>IF(financial_fraud_data[[#This Row],[Is_Fraud]]=1,"Yes","No")</f>
        <v>No</v>
      </c>
    </row>
    <row r="318" spans="1:17" x14ac:dyDescent="0.2">
      <c r="A318" t="s">
        <v>592</v>
      </c>
      <c r="B318" t="s">
        <v>593</v>
      </c>
      <c r="C318" s="1">
        <v>45305.166666666664</v>
      </c>
      <c r="D318">
        <v>20477.2</v>
      </c>
      <c r="E318" t="s">
        <v>34</v>
      </c>
      <c r="F318" t="s">
        <v>17</v>
      </c>
      <c r="G318" t="s">
        <v>18</v>
      </c>
      <c r="H318" t="s">
        <v>23</v>
      </c>
      <c r="I318" t="s">
        <v>29</v>
      </c>
      <c r="J318" t="s">
        <v>51</v>
      </c>
      <c r="K318">
        <v>0</v>
      </c>
      <c r="L318">
        <v>0</v>
      </c>
      <c r="M318">
        <v>3.05</v>
      </c>
      <c r="N318">
        <v>0</v>
      </c>
      <c r="O318" t="str">
        <f>IF(financial_fraud_data[[#This Row],[Risk_Score]]&gt;8,"High",IF(financial_fraud_data[[#This Row],[Risk_Score]]&gt;5,"Med","Low"))</f>
        <v>Low</v>
      </c>
      <c r="P318" t="str">
        <f>TEXT(financial_fraud_data[[#This Row],[Transaction_Date]],"MMM")</f>
        <v>Jan</v>
      </c>
      <c r="Q318" t="str">
        <f>IF(financial_fraud_data[[#This Row],[Is_Fraud]]=1,"Yes","No")</f>
        <v>No</v>
      </c>
    </row>
    <row r="319" spans="1:17" x14ac:dyDescent="0.2">
      <c r="A319" t="s">
        <v>594</v>
      </c>
      <c r="B319" t="s">
        <v>595</v>
      </c>
      <c r="C319" s="1">
        <v>45305.208333333336</v>
      </c>
      <c r="D319">
        <v>8706.0499999999993</v>
      </c>
      <c r="E319" t="s">
        <v>42</v>
      </c>
      <c r="F319" t="s">
        <v>50</v>
      </c>
      <c r="G319" t="s">
        <v>65</v>
      </c>
      <c r="H319" t="s">
        <v>24</v>
      </c>
      <c r="I319" t="s">
        <v>19</v>
      </c>
      <c r="J319" t="s">
        <v>37</v>
      </c>
      <c r="K319">
        <v>0</v>
      </c>
      <c r="L319">
        <v>4</v>
      </c>
      <c r="M319">
        <v>7.87</v>
      </c>
      <c r="N319">
        <v>1</v>
      </c>
      <c r="O319" t="str">
        <f>IF(financial_fraud_data[[#This Row],[Risk_Score]]&gt;8,"High",IF(financial_fraud_data[[#This Row],[Risk_Score]]&gt;5,"Med","Low"))</f>
        <v>Med</v>
      </c>
      <c r="P319" t="str">
        <f>TEXT(financial_fraud_data[[#This Row],[Transaction_Date]],"MMM")</f>
        <v>Jan</v>
      </c>
      <c r="Q319" t="str">
        <f>IF(financial_fraud_data[[#This Row],[Is_Fraud]]=1,"Yes","No")</f>
        <v>Yes</v>
      </c>
    </row>
    <row r="320" spans="1:17" x14ac:dyDescent="0.2">
      <c r="A320" t="s">
        <v>596</v>
      </c>
      <c r="B320" t="s">
        <v>140</v>
      </c>
      <c r="C320" s="1">
        <v>45305.25</v>
      </c>
      <c r="D320">
        <v>7864.03</v>
      </c>
      <c r="E320" t="s">
        <v>42</v>
      </c>
      <c r="F320" t="s">
        <v>17</v>
      </c>
      <c r="G320" t="s">
        <v>56</v>
      </c>
      <c r="H320" t="s">
        <v>36</v>
      </c>
      <c r="I320" t="s">
        <v>24</v>
      </c>
      <c r="J320" t="s">
        <v>20</v>
      </c>
      <c r="K320">
        <v>0</v>
      </c>
      <c r="L320">
        <v>4</v>
      </c>
      <c r="M320">
        <v>7.79</v>
      </c>
      <c r="N320">
        <v>1</v>
      </c>
      <c r="O320" t="str">
        <f>IF(financial_fraud_data[[#This Row],[Risk_Score]]&gt;8,"High",IF(financial_fraud_data[[#This Row],[Risk_Score]]&gt;5,"Med","Low"))</f>
        <v>Med</v>
      </c>
      <c r="P320" t="str">
        <f>TEXT(financial_fraud_data[[#This Row],[Transaction_Date]],"MMM")</f>
        <v>Jan</v>
      </c>
      <c r="Q320" t="str">
        <f>IF(financial_fraud_data[[#This Row],[Is_Fraud]]=1,"Yes","No")</f>
        <v>Yes</v>
      </c>
    </row>
    <row r="321" spans="1:17" x14ac:dyDescent="0.2">
      <c r="A321" t="s">
        <v>597</v>
      </c>
      <c r="B321" t="s">
        <v>46</v>
      </c>
      <c r="C321" s="1">
        <v>45305.291666666664</v>
      </c>
      <c r="D321">
        <v>12549.63</v>
      </c>
      <c r="E321" t="s">
        <v>80</v>
      </c>
      <c r="F321" t="s">
        <v>17</v>
      </c>
      <c r="G321" t="s">
        <v>65</v>
      </c>
      <c r="H321" t="s">
        <v>23</v>
      </c>
      <c r="I321" t="s">
        <v>23</v>
      </c>
      <c r="J321" t="s">
        <v>20</v>
      </c>
      <c r="K321">
        <v>0</v>
      </c>
      <c r="L321">
        <v>1</v>
      </c>
      <c r="M321">
        <v>2.75</v>
      </c>
      <c r="N321">
        <v>0</v>
      </c>
      <c r="O321" t="str">
        <f>IF(financial_fraud_data[[#This Row],[Risk_Score]]&gt;8,"High",IF(financial_fraud_data[[#This Row],[Risk_Score]]&gt;5,"Med","Low"))</f>
        <v>Low</v>
      </c>
      <c r="P321" t="str">
        <f>TEXT(financial_fraud_data[[#This Row],[Transaction_Date]],"MMM")</f>
        <v>Jan</v>
      </c>
      <c r="Q321" t="str">
        <f>IF(financial_fraud_data[[#This Row],[Is_Fraud]]=1,"Yes","No")</f>
        <v>No</v>
      </c>
    </row>
    <row r="322" spans="1:17" x14ac:dyDescent="0.2">
      <c r="A322" t="s">
        <v>598</v>
      </c>
      <c r="B322" t="s">
        <v>599</v>
      </c>
      <c r="C322" s="1">
        <v>45305.333333333336</v>
      </c>
      <c r="D322">
        <v>27483.87</v>
      </c>
      <c r="E322" t="s">
        <v>16</v>
      </c>
      <c r="F322" t="s">
        <v>27</v>
      </c>
      <c r="G322" t="s">
        <v>56</v>
      </c>
      <c r="H322" t="s">
        <v>19</v>
      </c>
      <c r="I322" t="s">
        <v>23</v>
      </c>
      <c r="J322" t="s">
        <v>20</v>
      </c>
      <c r="K322">
        <v>0</v>
      </c>
      <c r="L322">
        <v>1</v>
      </c>
      <c r="M322">
        <v>5.25</v>
      </c>
      <c r="N322">
        <v>1</v>
      </c>
      <c r="O322" t="str">
        <f>IF(financial_fraud_data[[#This Row],[Risk_Score]]&gt;8,"High",IF(financial_fraud_data[[#This Row],[Risk_Score]]&gt;5,"Med","Low"))</f>
        <v>Med</v>
      </c>
      <c r="P322" t="str">
        <f>TEXT(financial_fraud_data[[#This Row],[Transaction_Date]],"MMM")</f>
        <v>Jan</v>
      </c>
      <c r="Q322" t="str">
        <f>IF(financial_fraud_data[[#This Row],[Is_Fraud]]=1,"Yes","No")</f>
        <v>Yes</v>
      </c>
    </row>
    <row r="323" spans="1:17" x14ac:dyDescent="0.2">
      <c r="A323" t="s">
        <v>600</v>
      </c>
      <c r="B323" t="s">
        <v>601</v>
      </c>
      <c r="C323" s="1">
        <v>45305.375</v>
      </c>
      <c r="D323">
        <v>35744.07</v>
      </c>
      <c r="E323" t="s">
        <v>80</v>
      </c>
      <c r="F323" t="s">
        <v>27</v>
      </c>
      <c r="G323" t="s">
        <v>28</v>
      </c>
      <c r="H323" t="s">
        <v>29</v>
      </c>
      <c r="I323" t="s">
        <v>19</v>
      </c>
      <c r="J323" t="s">
        <v>51</v>
      </c>
      <c r="K323">
        <v>1</v>
      </c>
      <c r="L323">
        <v>3</v>
      </c>
      <c r="M323">
        <v>11.07</v>
      </c>
      <c r="N323">
        <v>1</v>
      </c>
      <c r="O323" t="str">
        <f>IF(financial_fraud_data[[#This Row],[Risk_Score]]&gt;8,"High",IF(financial_fraud_data[[#This Row],[Risk_Score]]&gt;5,"Med","Low"))</f>
        <v>High</v>
      </c>
      <c r="P323" t="str">
        <f>TEXT(financial_fraud_data[[#This Row],[Transaction_Date]],"MMM")</f>
        <v>Jan</v>
      </c>
      <c r="Q323" t="str">
        <f>IF(financial_fraud_data[[#This Row],[Is_Fraud]]=1,"Yes","No")</f>
        <v>Yes</v>
      </c>
    </row>
    <row r="324" spans="1:17" x14ac:dyDescent="0.2">
      <c r="A324" t="s">
        <v>602</v>
      </c>
      <c r="B324" t="s">
        <v>195</v>
      </c>
      <c r="C324" s="1">
        <v>45305.416666666664</v>
      </c>
      <c r="D324">
        <v>33026.86</v>
      </c>
      <c r="E324" t="s">
        <v>34</v>
      </c>
      <c r="F324" t="s">
        <v>27</v>
      </c>
      <c r="G324" t="s">
        <v>65</v>
      </c>
      <c r="H324" t="s">
        <v>24</v>
      </c>
      <c r="I324" t="s">
        <v>36</v>
      </c>
      <c r="J324" t="s">
        <v>37</v>
      </c>
      <c r="K324">
        <v>1</v>
      </c>
      <c r="L324">
        <v>4</v>
      </c>
      <c r="M324">
        <v>12.3</v>
      </c>
      <c r="N324">
        <v>1</v>
      </c>
      <c r="O324" t="str">
        <f>IF(financial_fraud_data[[#This Row],[Risk_Score]]&gt;8,"High",IF(financial_fraud_data[[#This Row],[Risk_Score]]&gt;5,"Med","Low"))</f>
        <v>High</v>
      </c>
      <c r="P324" t="str">
        <f>TEXT(financial_fraud_data[[#This Row],[Transaction_Date]],"MMM")</f>
        <v>Jan</v>
      </c>
      <c r="Q324" t="str">
        <f>IF(financial_fraud_data[[#This Row],[Is_Fraud]]=1,"Yes","No")</f>
        <v>Yes</v>
      </c>
    </row>
    <row r="325" spans="1:17" x14ac:dyDescent="0.2">
      <c r="A325" t="s">
        <v>603</v>
      </c>
      <c r="B325" t="s">
        <v>462</v>
      </c>
      <c r="C325" s="1">
        <v>45305.458333333336</v>
      </c>
      <c r="D325">
        <v>14032.7</v>
      </c>
      <c r="E325" t="s">
        <v>80</v>
      </c>
      <c r="F325" t="s">
        <v>50</v>
      </c>
      <c r="G325" t="s">
        <v>28</v>
      </c>
      <c r="H325" t="s">
        <v>23</v>
      </c>
      <c r="I325" t="s">
        <v>36</v>
      </c>
      <c r="J325" t="s">
        <v>37</v>
      </c>
      <c r="K325">
        <v>0</v>
      </c>
      <c r="L325">
        <v>2</v>
      </c>
      <c r="M325">
        <v>5.4</v>
      </c>
      <c r="N325">
        <v>1</v>
      </c>
      <c r="O325" t="str">
        <f>IF(financial_fraud_data[[#This Row],[Risk_Score]]&gt;8,"High",IF(financial_fraud_data[[#This Row],[Risk_Score]]&gt;5,"Med","Low"))</f>
        <v>Med</v>
      </c>
      <c r="P325" t="str">
        <f>TEXT(financial_fraud_data[[#This Row],[Transaction_Date]],"MMM")</f>
        <v>Jan</v>
      </c>
      <c r="Q325" t="str">
        <f>IF(financial_fraud_data[[#This Row],[Is_Fraud]]=1,"Yes","No")</f>
        <v>Yes</v>
      </c>
    </row>
    <row r="326" spans="1:17" x14ac:dyDescent="0.2">
      <c r="A326" t="s">
        <v>604</v>
      </c>
      <c r="B326" t="s">
        <v>140</v>
      </c>
      <c r="C326" s="1">
        <v>45305.5</v>
      </c>
      <c r="D326">
        <v>47745.52</v>
      </c>
      <c r="E326" t="s">
        <v>42</v>
      </c>
      <c r="F326" t="s">
        <v>27</v>
      </c>
      <c r="G326" t="s">
        <v>35</v>
      </c>
      <c r="H326" t="s">
        <v>36</v>
      </c>
      <c r="I326" t="s">
        <v>36</v>
      </c>
      <c r="J326" t="s">
        <v>20</v>
      </c>
      <c r="K326">
        <v>1</v>
      </c>
      <c r="L326">
        <v>1</v>
      </c>
      <c r="M326">
        <v>8.27</v>
      </c>
      <c r="N326">
        <v>1</v>
      </c>
      <c r="O326" t="str">
        <f>IF(financial_fraud_data[[#This Row],[Risk_Score]]&gt;8,"High",IF(financial_fraud_data[[#This Row],[Risk_Score]]&gt;5,"Med","Low"))</f>
        <v>High</v>
      </c>
      <c r="P326" t="str">
        <f>TEXT(financial_fraud_data[[#This Row],[Transaction_Date]],"MMM")</f>
        <v>Jan</v>
      </c>
      <c r="Q326" t="str">
        <f>IF(financial_fraud_data[[#This Row],[Is_Fraud]]=1,"Yes","No")</f>
        <v>Yes</v>
      </c>
    </row>
    <row r="327" spans="1:17" x14ac:dyDescent="0.2">
      <c r="A327" t="s">
        <v>605</v>
      </c>
      <c r="B327" t="s">
        <v>606</v>
      </c>
      <c r="C327" s="1">
        <v>45305.541666666664</v>
      </c>
      <c r="D327">
        <v>36907.949999999997</v>
      </c>
      <c r="E327" t="s">
        <v>34</v>
      </c>
      <c r="F327" t="s">
        <v>27</v>
      </c>
      <c r="G327" t="s">
        <v>28</v>
      </c>
      <c r="H327" t="s">
        <v>29</v>
      </c>
      <c r="I327" t="s">
        <v>36</v>
      </c>
      <c r="J327" t="s">
        <v>51</v>
      </c>
      <c r="K327">
        <v>0</v>
      </c>
      <c r="L327">
        <v>0</v>
      </c>
      <c r="M327">
        <v>4.6900000000000004</v>
      </c>
      <c r="N327">
        <v>0</v>
      </c>
      <c r="O327" t="str">
        <f>IF(financial_fraud_data[[#This Row],[Risk_Score]]&gt;8,"High",IF(financial_fraud_data[[#This Row],[Risk_Score]]&gt;5,"Med","Low"))</f>
        <v>Low</v>
      </c>
      <c r="P327" t="str">
        <f>TEXT(financial_fraud_data[[#This Row],[Transaction_Date]],"MMM")</f>
        <v>Jan</v>
      </c>
      <c r="Q327" t="str">
        <f>IF(financial_fraud_data[[#This Row],[Is_Fraud]]=1,"Yes","No")</f>
        <v>No</v>
      </c>
    </row>
    <row r="328" spans="1:17" x14ac:dyDescent="0.2">
      <c r="A328" t="s">
        <v>607</v>
      </c>
      <c r="B328" t="s">
        <v>608</v>
      </c>
      <c r="C328" s="1">
        <v>45305.583333333336</v>
      </c>
      <c r="D328">
        <v>27739.98</v>
      </c>
      <c r="E328" t="s">
        <v>42</v>
      </c>
      <c r="F328" t="s">
        <v>47</v>
      </c>
      <c r="G328" t="s">
        <v>28</v>
      </c>
      <c r="H328" t="s">
        <v>29</v>
      </c>
      <c r="I328" t="s">
        <v>36</v>
      </c>
      <c r="J328" t="s">
        <v>37</v>
      </c>
      <c r="K328">
        <v>0</v>
      </c>
      <c r="L328">
        <v>4</v>
      </c>
      <c r="M328">
        <v>9.77</v>
      </c>
      <c r="N328">
        <v>1</v>
      </c>
      <c r="O328" t="str">
        <f>IF(financial_fraud_data[[#This Row],[Risk_Score]]&gt;8,"High",IF(financial_fraud_data[[#This Row],[Risk_Score]]&gt;5,"Med","Low"))</f>
        <v>High</v>
      </c>
      <c r="P328" t="str">
        <f>TEXT(financial_fraud_data[[#This Row],[Transaction_Date]],"MMM")</f>
        <v>Jan</v>
      </c>
      <c r="Q328" t="str">
        <f>IF(financial_fraud_data[[#This Row],[Is_Fraud]]=1,"Yes","No")</f>
        <v>Yes</v>
      </c>
    </row>
    <row r="329" spans="1:17" x14ac:dyDescent="0.2">
      <c r="A329" t="s">
        <v>609</v>
      </c>
      <c r="B329" t="s">
        <v>152</v>
      </c>
      <c r="C329" s="1">
        <v>45305.625</v>
      </c>
      <c r="D329">
        <v>30605.45</v>
      </c>
      <c r="E329" t="s">
        <v>16</v>
      </c>
      <c r="F329" t="s">
        <v>17</v>
      </c>
      <c r="G329" t="s">
        <v>56</v>
      </c>
      <c r="H329" t="s">
        <v>23</v>
      </c>
      <c r="I329" t="s">
        <v>19</v>
      </c>
      <c r="J329" t="s">
        <v>51</v>
      </c>
      <c r="K329">
        <v>0</v>
      </c>
      <c r="L329">
        <v>2</v>
      </c>
      <c r="M329">
        <v>7.06</v>
      </c>
      <c r="N329">
        <v>1</v>
      </c>
      <c r="O329" t="str">
        <f>IF(financial_fraud_data[[#This Row],[Risk_Score]]&gt;8,"High",IF(financial_fraud_data[[#This Row],[Risk_Score]]&gt;5,"Med","Low"))</f>
        <v>Med</v>
      </c>
      <c r="P329" t="str">
        <f>TEXT(financial_fraud_data[[#This Row],[Transaction_Date]],"MMM")</f>
        <v>Jan</v>
      </c>
      <c r="Q329" t="str">
        <f>IF(financial_fraud_data[[#This Row],[Is_Fraud]]=1,"Yes","No")</f>
        <v>Yes</v>
      </c>
    </row>
    <row r="330" spans="1:17" x14ac:dyDescent="0.2">
      <c r="A330" t="s">
        <v>610</v>
      </c>
      <c r="B330" t="s">
        <v>88</v>
      </c>
      <c r="C330" s="1">
        <v>45305.666666666664</v>
      </c>
      <c r="D330">
        <v>21009.02</v>
      </c>
      <c r="E330" t="s">
        <v>42</v>
      </c>
      <c r="F330" t="s">
        <v>17</v>
      </c>
      <c r="G330" t="s">
        <v>35</v>
      </c>
      <c r="H330" t="s">
        <v>36</v>
      </c>
      <c r="I330" t="s">
        <v>29</v>
      </c>
      <c r="J330" t="s">
        <v>37</v>
      </c>
      <c r="K330">
        <v>0</v>
      </c>
      <c r="L330">
        <v>2</v>
      </c>
      <c r="M330">
        <v>6.1</v>
      </c>
      <c r="N330">
        <v>1</v>
      </c>
      <c r="O330" t="str">
        <f>IF(financial_fraud_data[[#This Row],[Risk_Score]]&gt;8,"High",IF(financial_fraud_data[[#This Row],[Risk_Score]]&gt;5,"Med","Low"))</f>
        <v>Med</v>
      </c>
      <c r="P330" t="str">
        <f>TEXT(financial_fraud_data[[#This Row],[Transaction_Date]],"MMM")</f>
        <v>Jan</v>
      </c>
      <c r="Q330" t="str">
        <f>IF(financial_fraud_data[[#This Row],[Is_Fraud]]=1,"Yes","No")</f>
        <v>Yes</v>
      </c>
    </row>
    <row r="331" spans="1:17" x14ac:dyDescent="0.2">
      <c r="A331" t="s">
        <v>611</v>
      </c>
      <c r="B331" t="s">
        <v>504</v>
      </c>
      <c r="C331" s="1">
        <v>45305.708333333336</v>
      </c>
      <c r="D331">
        <v>12424.16</v>
      </c>
      <c r="E331" t="s">
        <v>42</v>
      </c>
      <c r="F331" t="s">
        <v>27</v>
      </c>
      <c r="G331" t="s">
        <v>28</v>
      </c>
      <c r="H331" t="s">
        <v>24</v>
      </c>
      <c r="I331" t="s">
        <v>24</v>
      </c>
      <c r="J331" t="s">
        <v>20</v>
      </c>
      <c r="K331">
        <v>0</v>
      </c>
      <c r="L331">
        <v>2</v>
      </c>
      <c r="M331">
        <v>4.24</v>
      </c>
      <c r="N331">
        <v>0</v>
      </c>
      <c r="O331" t="str">
        <f>IF(financial_fraud_data[[#This Row],[Risk_Score]]&gt;8,"High",IF(financial_fraud_data[[#This Row],[Risk_Score]]&gt;5,"Med","Low"))</f>
        <v>Low</v>
      </c>
      <c r="P331" t="str">
        <f>TEXT(financial_fraud_data[[#This Row],[Transaction_Date]],"MMM")</f>
        <v>Jan</v>
      </c>
      <c r="Q331" t="str">
        <f>IF(financial_fraud_data[[#This Row],[Is_Fraud]]=1,"Yes","No")</f>
        <v>No</v>
      </c>
    </row>
    <row r="332" spans="1:17" x14ac:dyDescent="0.2">
      <c r="A332" t="s">
        <v>612</v>
      </c>
      <c r="B332" t="s">
        <v>106</v>
      </c>
      <c r="C332" s="1">
        <v>45305.75</v>
      </c>
      <c r="D332">
        <v>17830.84</v>
      </c>
      <c r="E332" t="s">
        <v>80</v>
      </c>
      <c r="F332" t="s">
        <v>17</v>
      </c>
      <c r="G332" t="s">
        <v>28</v>
      </c>
      <c r="H332" t="s">
        <v>23</v>
      </c>
      <c r="I332" t="s">
        <v>36</v>
      </c>
      <c r="J332" t="s">
        <v>51</v>
      </c>
      <c r="K332">
        <v>0</v>
      </c>
      <c r="L332">
        <v>0</v>
      </c>
      <c r="M332">
        <v>2.78</v>
      </c>
      <c r="N332">
        <v>0</v>
      </c>
      <c r="O332" t="str">
        <f>IF(financial_fraud_data[[#This Row],[Risk_Score]]&gt;8,"High",IF(financial_fraud_data[[#This Row],[Risk_Score]]&gt;5,"Med","Low"))</f>
        <v>Low</v>
      </c>
      <c r="P332" t="str">
        <f>TEXT(financial_fraud_data[[#This Row],[Transaction_Date]],"MMM")</f>
        <v>Jan</v>
      </c>
      <c r="Q332" t="str">
        <f>IF(financial_fraud_data[[#This Row],[Is_Fraud]]=1,"Yes","No")</f>
        <v>No</v>
      </c>
    </row>
    <row r="333" spans="1:17" x14ac:dyDescent="0.2">
      <c r="A333" t="s">
        <v>613</v>
      </c>
      <c r="B333" t="s">
        <v>133</v>
      </c>
      <c r="C333" s="1">
        <v>45305.791666666664</v>
      </c>
      <c r="D333">
        <v>37904.410000000003</v>
      </c>
      <c r="E333" t="s">
        <v>42</v>
      </c>
      <c r="F333" t="s">
        <v>47</v>
      </c>
      <c r="G333" t="s">
        <v>35</v>
      </c>
      <c r="H333" t="s">
        <v>24</v>
      </c>
      <c r="I333" t="s">
        <v>29</v>
      </c>
      <c r="J333" t="s">
        <v>20</v>
      </c>
      <c r="K333">
        <v>0</v>
      </c>
      <c r="L333">
        <v>1</v>
      </c>
      <c r="M333">
        <v>6.29</v>
      </c>
      <c r="N333">
        <v>1</v>
      </c>
      <c r="O333" t="str">
        <f>IF(financial_fraud_data[[#This Row],[Risk_Score]]&gt;8,"High",IF(financial_fraud_data[[#This Row],[Risk_Score]]&gt;5,"Med","Low"))</f>
        <v>Med</v>
      </c>
      <c r="P333" t="str">
        <f>TEXT(financial_fraud_data[[#This Row],[Transaction_Date]],"MMM")</f>
        <v>Jan</v>
      </c>
      <c r="Q333" t="str">
        <f>IF(financial_fraud_data[[#This Row],[Is_Fraud]]=1,"Yes","No")</f>
        <v>Yes</v>
      </c>
    </row>
    <row r="334" spans="1:17" x14ac:dyDescent="0.2">
      <c r="A334" t="s">
        <v>614</v>
      </c>
      <c r="B334" t="s">
        <v>453</v>
      </c>
      <c r="C334" s="1">
        <v>45305.833333333336</v>
      </c>
      <c r="D334">
        <v>768.95</v>
      </c>
      <c r="E334" t="s">
        <v>34</v>
      </c>
      <c r="F334" t="s">
        <v>47</v>
      </c>
      <c r="G334" t="s">
        <v>35</v>
      </c>
      <c r="H334" t="s">
        <v>29</v>
      </c>
      <c r="I334" t="s">
        <v>23</v>
      </c>
      <c r="J334" t="s">
        <v>37</v>
      </c>
      <c r="K334">
        <v>0</v>
      </c>
      <c r="L334">
        <v>2</v>
      </c>
      <c r="M334">
        <v>4.08</v>
      </c>
      <c r="N334">
        <v>0</v>
      </c>
      <c r="O334" t="str">
        <f>IF(financial_fraud_data[[#This Row],[Risk_Score]]&gt;8,"High",IF(financial_fraud_data[[#This Row],[Risk_Score]]&gt;5,"Med","Low"))</f>
        <v>Low</v>
      </c>
      <c r="P334" t="str">
        <f>TEXT(financial_fraud_data[[#This Row],[Transaction_Date]],"MMM")</f>
        <v>Jan</v>
      </c>
      <c r="Q334" t="str">
        <f>IF(financial_fraud_data[[#This Row],[Is_Fraud]]=1,"Yes","No")</f>
        <v>No</v>
      </c>
    </row>
    <row r="335" spans="1:17" x14ac:dyDescent="0.2">
      <c r="A335" t="s">
        <v>615</v>
      </c>
      <c r="B335" t="s">
        <v>616</v>
      </c>
      <c r="C335" s="1">
        <v>45305.875</v>
      </c>
      <c r="D335">
        <v>5847.83</v>
      </c>
      <c r="E335" t="s">
        <v>34</v>
      </c>
      <c r="F335" t="s">
        <v>27</v>
      </c>
      <c r="G335" t="s">
        <v>65</v>
      </c>
      <c r="H335" t="s">
        <v>24</v>
      </c>
      <c r="I335" t="s">
        <v>19</v>
      </c>
      <c r="J335" t="s">
        <v>37</v>
      </c>
      <c r="K335">
        <v>0</v>
      </c>
      <c r="L335">
        <v>1</v>
      </c>
      <c r="M335">
        <v>3.08</v>
      </c>
      <c r="N335">
        <v>0</v>
      </c>
      <c r="O335" t="str">
        <f>IF(financial_fraud_data[[#This Row],[Risk_Score]]&gt;8,"High",IF(financial_fraud_data[[#This Row],[Risk_Score]]&gt;5,"Med","Low"))</f>
        <v>Low</v>
      </c>
      <c r="P335" t="str">
        <f>TEXT(financial_fraud_data[[#This Row],[Transaction_Date]],"MMM")</f>
        <v>Jan</v>
      </c>
      <c r="Q335" t="str">
        <f>IF(financial_fraud_data[[#This Row],[Is_Fraud]]=1,"Yes","No")</f>
        <v>No</v>
      </c>
    </row>
    <row r="336" spans="1:17" x14ac:dyDescent="0.2">
      <c r="A336" t="s">
        <v>617</v>
      </c>
      <c r="B336" t="s">
        <v>618</v>
      </c>
      <c r="C336" s="1">
        <v>45305.916666666664</v>
      </c>
      <c r="D336">
        <v>2347.83</v>
      </c>
      <c r="E336" t="s">
        <v>16</v>
      </c>
      <c r="F336" t="s">
        <v>47</v>
      </c>
      <c r="G336" t="s">
        <v>56</v>
      </c>
      <c r="H336" t="s">
        <v>36</v>
      </c>
      <c r="I336" t="s">
        <v>29</v>
      </c>
      <c r="J336" t="s">
        <v>20</v>
      </c>
      <c r="K336">
        <v>0</v>
      </c>
      <c r="L336">
        <v>3</v>
      </c>
      <c r="M336">
        <v>5.73</v>
      </c>
      <c r="N336">
        <v>1</v>
      </c>
      <c r="O336" t="str">
        <f>IF(financial_fraud_data[[#This Row],[Risk_Score]]&gt;8,"High",IF(financial_fraud_data[[#This Row],[Risk_Score]]&gt;5,"Med","Low"))</f>
        <v>Med</v>
      </c>
      <c r="P336" t="str">
        <f>TEXT(financial_fraud_data[[#This Row],[Transaction_Date]],"MMM")</f>
        <v>Jan</v>
      </c>
      <c r="Q336" t="str">
        <f>IF(financial_fraud_data[[#This Row],[Is_Fraud]]=1,"Yes","No")</f>
        <v>Yes</v>
      </c>
    </row>
    <row r="337" spans="1:17" x14ac:dyDescent="0.2">
      <c r="A337" t="s">
        <v>619</v>
      </c>
      <c r="B337" t="s">
        <v>519</v>
      </c>
      <c r="C337" s="1">
        <v>45305.958333333336</v>
      </c>
      <c r="D337">
        <v>2084.4</v>
      </c>
      <c r="E337" t="s">
        <v>34</v>
      </c>
      <c r="F337" t="s">
        <v>17</v>
      </c>
      <c r="G337" t="s">
        <v>35</v>
      </c>
      <c r="H337" t="s">
        <v>19</v>
      </c>
      <c r="I337" t="s">
        <v>36</v>
      </c>
      <c r="J337" t="s">
        <v>37</v>
      </c>
      <c r="K337">
        <v>0</v>
      </c>
      <c r="L337">
        <v>0</v>
      </c>
      <c r="M337">
        <v>1.21</v>
      </c>
      <c r="N337">
        <v>0</v>
      </c>
      <c r="O337" t="str">
        <f>IF(financial_fraud_data[[#This Row],[Risk_Score]]&gt;8,"High",IF(financial_fraud_data[[#This Row],[Risk_Score]]&gt;5,"Med","Low"))</f>
        <v>Low</v>
      </c>
      <c r="P337" t="str">
        <f>TEXT(financial_fraud_data[[#This Row],[Transaction_Date]],"MMM")</f>
        <v>Jan</v>
      </c>
      <c r="Q337" t="str">
        <f>IF(financial_fraud_data[[#This Row],[Is_Fraud]]=1,"Yes","No")</f>
        <v>No</v>
      </c>
    </row>
    <row r="338" spans="1:17" x14ac:dyDescent="0.2">
      <c r="A338" t="s">
        <v>620</v>
      </c>
      <c r="B338" t="s">
        <v>621</v>
      </c>
      <c r="C338" s="1">
        <v>45306</v>
      </c>
      <c r="D338">
        <v>42780.26</v>
      </c>
      <c r="E338" t="s">
        <v>80</v>
      </c>
      <c r="F338" t="s">
        <v>50</v>
      </c>
      <c r="G338" t="s">
        <v>35</v>
      </c>
      <c r="H338" t="s">
        <v>36</v>
      </c>
      <c r="I338" t="s">
        <v>36</v>
      </c>
      <c r="J338" t="s">
        <v>20</v>
      </c>
      <c r="K338">
        <v>1</v>
      </c>
      <c r="L338">
        <v>1</v>
      </c>
      <c r="M338">
        <v>7.78</v>
      </c>
      <c r="N338">
        <v>1</v>
      </c>
      <c r="O338" t="str">
        <f>IF(financial_fraud_data[[#This Row],[Risk_Score]]&gt;8,"High",IF(financial_fraud_data[[#This Row],[Risk_Score]]&gt;5,"Med","Low"))</f>
        <v>Med</v>
      </c>
      <c r="P338" t="str">
        <f>TEXT(financial_fraud_data[[#This Row],[Transaction_Date]],"MMM")</f>
        <v>Jan</v>
      </c>
      <c r="Q338" t="str">
        <f>IF(financial_fraud_data[[#This Row],[Is_Fraud]]=1,"Yes","No")</f>
        <v>Yes</v>
      </c>
    </row>
    <row r="339" spans="1:17" x14ac:dyDescent="0.2">
      <c r="A339" t="s">
        <v>622</v>
      </c>
      <c r="B339" t="s">
        <v>623</v>
      </c>
      <c r="C339" s="1">
        <v>45306.041666666664</v>
      </c>
      <c r="D339">
        <v>35197.71</v>
      </c>
      <c r="E339" t="s">
        <v>16</v>
      </c>
      <c r="F339" t="s">
        <v>17</v>
      </c>
      <c r="G339" t="s">
        <v>18</v>
      </c>
      <c r="H339" t="s">
        <v>24</v>
      </c>
      <c r="I339" t="s">
        <v>36</v>
      </c>
      <c r="J339" t="s">
        <v>20</v>
      </c>
      <c r="K339">
        <v>0</v>
      </c>
      <c r="L339">
        <v>1</v>
      </c>
      <c r="M339">
        <v>6.02</v>
      </c>
      <c r="N339">
        <v>1</v>
      </c>
      <c r="O339" t="str">
        <f>IF(financial_fraud_data[[#This Row],[Risk_Score]]&gt;8,"High",IF(financial_fraud_data[[#This Row],[Risk_Score]]&gt;5,"Med","Low"))</f>
        <v>Med</v>
      </c>
      <c r="P339" t="str">
        <f>TEXT(financial_fraud_data[[#This Row],[Transaction_Date]],"MMM")</f>
        <v>Jan</v>
      </c>
      <c r="Q339" t="str">
        <f>IF(financial_fraud_data[[#This Row],[Is_Fraud]]=1,"Yes","No")</f>
        <v>Yes</v>
      </c>
    </row>
    <row r="340" spans="1:17" x14ac:dyDescent="0.2">
      <c r="A340" t="s">
        <v>624</v>
      </c>
      <c r="B340" t="s">
        <v>625</v>
      </c>
      <c r="C340" s="1">
        <v>45306.083333333336</v>
      </c>
      <c r="D340">
        <v>23734.98</v>
      </c>
      <c r="E340" t="s">
        <v>34</v>
      </c>
      <c r="F340" t="s">
        <v>50</v>
      </c>
      <c r="G340" t="s">
        <v>35</v>
      </c>
      <c r="H340" t="s">
        <v>23</v>
      </c>
      <c r="I340" t="s">
        <v>29</v>
      </c>
      <c r="J340" t="s">
        <v>20</v>
      </c>
      <c r="K340">
        <v>0</v>
      </c>
      <c r="L340">
        <v>2</v>
      </c>
      <c r="M340">
        <v>6.37</v>
      </c>
      <c r="N340">
        <v>1</v>
      </c>
      <c r="O340" t="str">
        <f>IF(financial_fraud_data[[#This Row],[Risk_Score]]&gt;8,"High",IF(financial_fraud_data[[#This Row],[Risk_Score]]&gt;5,"Med","Low"))</f>
        <v>Med</v>
      </c>
      <c r="P340" t="str">
        <f>TEXT(financial_fraud_data[[#This Row],[Transaction_Date]],"MMM")</f>
        <v>Jan</v>
      </c>
      <c r="Q340" t="str">
        <f>IF(financial_fraud_data[[#This Row],[Is_Fraud]]=1,"Yes","No")</f>
        <v>Yes</v>
      </c>
    </row>
    <row r="341" spans="1:17" x14ac:dyDescent="0.2">
      <c r="A341" t="s">
        <v>626</v>
      </c>
      <c r="B341" t="s">
        <v>627</v>
      </c>
      <c r="C341" s="1">
        <v>45306.125</v>
      </c>
      <c r="D341">
        <v>4936.82</v>
      </c>
      <c r="E341" t="s">
        <v>80</v>
      </c>
      <c r="F341" t="s">
        <v>27</v>
      </c>
      <c r="G341" t="s">
        <v>56</v>
      </c>
      <c r="H341" t="s">
        <v>29</v>
      </c>
      <c r="I341" t="s">
        <v>36</v>
      </c>
      <c r="J341" t="s">
        <v>37</v>
      </c>
      <c r="K341">
        <v>1</v>
      </c>
      <c r="L341">
        <v>2</v>
      </c>
      <c r="M341">
        <v>6.49</v>
      </c>
      <c r="N341">
        <v>1</v>
      </c>
      <c r="O341" t="str">
        <f>IF(financial_fraud_data[[#This Row],[Risk_Score]]&gt;8,"High",IF(financial_fraud_data[[#This Row],[Risk_Score]]&gt;5,"Med","Low"))</f>
        <v>Med</v>
      </c>
      <c r="P341" t="str">
        <f>TEXT(financial_fraud_data[[#This Row],[Transaction_Date]],"MMM")</f>
        <v>Jan</v>
      </c>
      <c r="Q341" t="str">
        <f>IF(financial_fraud_data[[#This Row],[Is_Fraud]]=1,"Yes","No")</f>
        <v>Yes</v>
      </c>
    </row>
    <row r="342" spans="1:17" x14ac:dyDescent="0.2">
      <c r="A342" t="s">
        <v>628</v>
      </c>
      <c r="B342" t="s">
        <v>629</v>
      </c>
      <c r="C342" s="1">
        <v>45306.166666666664</v>
      </c>
      <c r="D342">
        <v>24606.21</v>
      </c>
      <c r="E342" t="s">
        <v>34</v>
      </c>
      <c r="F342" t="s">
        <v>50</v>
      </c>
      <c r="G342" t="s">
        <v>28</v>
      </c>
      <c r="H342" t="s">
        <v>19</v>
      </c>
      <c r="I342" t="s">
        <v>29</v>
      </c>
      <c r="J342" t="s">
        <v>51</v>
      </c>
      <c r="K342">
        <v>0</v>
      </c>
      <c r="L342">
        <v>0</v>
      </c>
      <c r="M342">
        <v>3.46</v>
      </c>
      <c r="N342">
        <v>0</v>
      </c>
      <c r="O342" t="str">
        <f>IF(financial_fraud_data[[#This Row],[Risk_Score]]&gt;8,"High",IF(financial_fraud_data[[#This Row],[Risk_Score]]&gt;5,"Med","Low"))</f>
        <v>Low</v>
      </c>
      <c r="P342" t="str">
        <f>TEXT(financial_fraud_data[[#This Row],[Transaction_Date]],"MMM")</f>
        <v>Jan</v>
      </c>
      <c r="Q342" t="str">
        <f>IF(financial_fraud_data[[#This Row],[Is_Fraud]]=1,"Yes","No")</f>
        <v>No</v>
      </c>
    </row>
    <row r="343" spans="1:17" x14ac:dyDescent="0.2">
      <c r="A343" t="s">
        <v>630</v>
      </c>
      <c r="B343" t="s">
        <v>140</v>
      </c>
      <c r="C343" s="1">
        <v>45306.208333333336</v>
      </c>
      <c r="D343">
        <v>23699.91</v>
      </c>
      <c r="E343" t="s">
        <v>34</v>
      </c>
      <c r="F343" t="s">
        <v>47</v>
      </c>
      <c r="G343" t="s">
        <v>28</v>
      </c>
      <c r="H343" t="s">
        <v>23</v>
      </c>
      <c r="I343" t="s">
        <v>36</v>
      </c>
      <c r="J343" t="s">
        <v>20</v>
      </c>
      <c r="K343">
        <v>0</v>
      </c>
      <c r="L343">
        <v>1</v>
      </c>
      <c r="M343">
        <v>4.87</v>
      </c>
      <c r="N343">
        <v>0</v>
      </c>
      <c r="O343" t="str">
        <f>IF(financial_fraud_data[[#This Row],[Risk_Score]]&gt;8,"High",IF(financial_fraud_data[[#This Row],[Risk_Score]]&gt;5,"Med","Low"))</f>
        <v>Low</v>
      </c>
      <c r="P343" t="str">
        <f>TEXT(financial_fraud_data[[#This Row],[Transaction_Date]],"MMM")</f>
        <v>Jan</v>
      </c>
      <c r="Q343" t="str">
        <f>IF(financial_fraud_data[[#This Row],[Is_Fraud]]=1,"Yes","No")</f>
        <v>No</v>
      </c>
    </row>
    <row r="344" spans="1:17" x14ac:dyDescent="0.2">
      <c r="A344" t="s">
        <v>631</v>
      </c>
      <c r="B344" t="s">
        <v>627</v>
      </c>
      <c r="C344" s="1">
        <v>45306.25</v>
      </c>
      <c r="D344">
        <v>8701.43</v>
      </c>
      <c r="E344" t="s">
        <v>42</v>
      </c>
      <c r="F344" t="s">
        <v>17</v>
      </c>
      <c r="G344" t="s">
        <v>28</v>
      </c>
      <c r="H344" t="s">
        <v>23</v>
      </c>
      <c r="I344" t="s">
        <v>23</v>
      </c>
      <c r="J344" t="s">
        <v>51</v>
      </c>
      <c r="K344">
        <v>0</v>
      </c>
      <c r="L344">
        <v>4</v>
      </c>
      <c r="M344">
        <v>6.87</v>
      </c>
      <c r="N344">
        <v>1</v>
      </c>
      <c r="O344" t="str">
        <f>IF(financial_fraud_data[[#This Row],[Risk_Score]]&gt;8,"High",IF(financial_fraud_data[[#This Row],[Risk_Score]]&gt;5,"Med","Low"))</f>
        <v>Med</v>
      </c>
      <c r="P344" t="str">
        <f>TEXT(financial_fraud_data[[#This Row],[Transaction_Date]],"MMM")</f>
        <v>Jan</v>
      </c>
      <c r="Q344" t="str">
        <f>IF(financial_fraud_data[[#This Row],[Is_Fraud]]=1,"Yes","No")</f>
        <v>Yes</v>
      </c>
    </row>
    <row r="345" spans="1:17" x14ac:dyDescent="0.2">
      <c r="A345" t="s">
        <v>632</v>
      </c>
      <c r="B345" t="s">
        <v>633</v>
      </c>
      <c r="C345" s="1">
        <v>45306.291666666664</v>
      </c>
      <c r="D345">
        <v>21720.89</v>
      </c>
      <c r="E345" t="s">
        <v>34</v>
      </c>
      <c r="F345" t="s">
        <v>50</v>
      </c>
      <c r="G345" t="s">
        <v>28</v>
      </c>
      <c r="H345" t="s">
        <v>36</v>
      </c>
      <c r="I345" t="s">
        <v>23</v>
      </c>
      <c r="J345" t="s">
        <v>37</v>
      </c>
      <c r="K345">
        <v>0</v>
      </c>
      <c r="L345">
        <v>2</v>
      </c>
      <c r="M345">
        <v>6.17</v>
      </c>
      <c r="N345">
        <v>1</v>
      </c>
      <c r="O345" t="str">
        <f>IF(financial_fraud_data[[#This Row],[Risk_Score]]&gt;8,"High",IF(financial_fraud_data[[#This Row],[Risk_Score]]&gt;5,"Med","Low"))</f>
        <v>Med</v>
      </c>
      <c r="P345" t="str">
        <f>TEXT(financial_fraud_data[[#This Row],[Transaction_Date]],"MMM")</f>
        <v>Jan</v>
      </c>
      <c r="Q345" t="str">
        <f>IF(financial_fraud_data[[#This Row],[Is_Fraud]]=1,"Yes","No")</f>
        <v>Yes</v>
      </c>
    </row>
    <row r="346" spans="1:17" x14ac:dyDescent="0.2">
      <c r="A346" t="s">
        <v>634</v>
      </c>
      <c r="B346" t="s">
        <v>477</v>
      </c>
      <c r="C346" s="1">
        <v>45306.333333333336</v>
      </c>
      <c r="D346">
        <v>19955.310000000001</v>
      </c>
      <c r="E346" t="s">
        <v>34</v>
      </c>
      <c r="F346" t="s">
        <v>17</v>
      </c>
      <c r="G346" t="s">
        <v>18</v>
      </c>
      <c r="H346" t="s">
        <v>24</v>
      </c>
      <c r="I346" t="s">
        <v>24</v>
      </c>
      <c r="J346" t="s">
        <v>37</v>
      </c>
      <c r="K346">
        <v>0</v>
      </c>
      <c r="L346">
        <v>2</v>
      </c>
      <c r="M346">
        <v>5</v>
      </c>
      <c r="N346">
        <v>0</v>
      </c>
      <c r="O346" t="str">
        <f>IF(financial_fraud_data[[#This Row],[Risk_Score]]&gt;8,"High",IF(financial_fraud_data[[#This Row],[Risk_Score]]&gt;5,"Med","Low"))</f>
        <v>Low</v>
      </c>
      <c r="P346" t="str">
        <f>TEXT(financial_fraud_data[[#This Row],[Transaction_Date]],"MMM")</f>
        <v>Jan</v>
      </c>
      <c r="Q346" t="str">
        <f>IF(financial_fraud_data[[#This Row],[Is_Fraud]]=1,"Yes","No")</f>
        <v>No</v>
      </c>
    </row>
    <row r="347" spans="1:17" x14ac:dyDescent="0.2">
      <c r="A347" t="s">
        <v>635</v>
      </c>
      <c r="B347" t="s">
        <v>636</v>
      </c>
      <c r="C347" s="1">
        <v>45306.375</v>
      </c>
      <c r="D347">
        <v>30811.71</v>
      </c>
      <c r="E347" t="s">
        <v>80</v>
      </c>
      <c r="F347" t="s">
        <v>27</v>
      </c>
      <c r="G347" t="s">
        <v>35</v>
      </c>
      <c r="H347" t="s">
        <v>36</v>
      </c>
      <c r="I347" t="s">
        <v>36</v>
      </c>
      <c r="J347" t="s">
        <v>51</v>
      </c>
      <c r="K347">
        <v>0</v>
      </c>
      <c r="L347">
        <v>3</v>
      </c>
      <c r="M347">
        <v>7.58</v>
      </c>
      <c r="N347">
        <v>1</v>
      </c>
      <c r="O347" t="str">
        <f>IF(financial_fraud_data[[#This Row],[Risk_Score]]&gt;8,"High",IF(financial_fraud_data[[#This Row],[Risk_Score]]&gt;5,"Med","Low"))</f>
        <v>Med</v>
      </c>
      <c r="P347" t="str">
        <f>TEXT(financial_fraud_data[[#This Row],[Transaction_Date]],"MMM")</f>
        <v>Jan</v>
      </c>
      <c r="Q347" t="str">
        <f>IF(financial_fraud_data[[#This Row],[Is_Fraud]]=1,"Yes","No")</f>
        <v>Yes</v>
      </c>
    </row>
    <row r="348" spans="1:17" x14ac:dyDescent="0.2">
      <c r="A348" t="s">
        <v>637</v>
      </c>
      <c r="B348" t="s">
        <v>638</v>
      </c>
      <c r="C348" s="1">
        <v>45306.416666666664</v>
      </c>
      <c r="D348">
        <v>31772.93</v>
      </c>
      <c r="E348" t="s">
        <v>80</v>
      </c>
      <c r="F348" t="s">
        <v>27</v>
      </c>
      <c r="G348" t="s">
        <v>28</v>
      </c>
      <c r="H348" t="s">
        <v>24</v>
      </c>
      <c r="I348" t="s">
        <v>36</v>
      </c>
      <c r="J348" t="s">
        <v>20</v>
      </c>
      <c r="K348">
        <v>0</v>
      </c>
      <c r="L348">
        <v>0</v>
      </c>
      <c r="M348">
        <v>4.18</v>
      </c>
      <c r="N348">
        <v>0</v>
      </c>
      <c r="O348" t="str">
        <f>IF(financial_fraud_data[[#This Row],[Risk_Score]]&gt;8,"High",IF(financial_fraud_data[[#This Row],[Risk_Score]]&gt;5,"Med","Low"))</f>
        <v>Low</v>
      </c>
      <c r="P348" t="str">
        <f>TEXT(financial_fraud_data[[#This Row],[Transaction_Date]],"MMM")</f>
        <v>Jan</v>
      </c>
      <c r="Q348" t="str">
        <f>IF(financial_fraud_data[[#This Row],[Is_Fraud]]=1,"Yes","No")</f>
        <v>No</v>
      </c>
    </row>
    <row r="349" spans="1:17" x14ac:dyDescent="0.2">
      <c r="A349" t="s">
        <v>639</v>
      </c>
      <c r="B349" t="s">
        <v>259</v>
      </c>
      <c r="C349" s="1">
        <v>45306.458333333336</v>
      </c>
      <c r="D349">
        <v>2312.94</v>
      </c>
      <c r="E349" t="s">
        <v>42</v>
      </c>
      <c r="F349" t="s">
        <v>47</v>
      </c>
      <c r="G349" t="s">
        <v>65</v>
      </c>
      <c r="H349" t="s">
        <v>36</v>
      </c>
      <c r="I349" t="s">
        <v>29</v>
      </c>
      <c r="J349" t="s">
        <v>37</v>
      </c>
      <c r="K349">
        <v>0</v>
      </c>
      <c r="L349">
        <v>1</v>
      </c>
      <c r="M349">
        <v>2.73</v>
      </c>
      <c r="N349">
        <v>0</v>
      </c>
      <c r="O349" t="str">
        <f>IF(financial_fraud_data[[#This Row],[Risk_Score]]&gt;8,"High",IF(financial_fraud_data[[#This Row],[Risk_Score]]&gt;5,"Med","Low"))</f>
        <v>Low</v>
      </c>
      <c r="P349" t="str">
        <f>TEXT(financial_fraud_data[[#This Row],[Transaction_Date]],"MMM")</f>
        <v>Jan</v>
      </c>
      <c r="Q349" t="str">
        <f>IF(financial_fraud_data[[#This Row],[Is_Fraud]]=1,"Yes","No")</f>
        <v>No</v>
      </c>
    </row>
    <row r="350" spans="1:17" x14ac:dyDescent="0.2">
      <c r="A350" t="s">
        <v>640</v>
      </c>
      <c r="B350" t="s">
        <v>44</v>
      </c>
      <c r="C350" s="1">
        <v>45306.5</v>
      </c>
      <c r="D350">
        <v>18761.900000000001</v>
      </c>
      <c r="E350" t="s">
        <v>34</v>
      </c>
      <c r="F350" t="s">
        <v>27</v>
      </c>
      <c r="G350" t="s">
        <v>28</v>
      </c>
      <c r="H350" t="s">
        <v>23</v>
      </c>
      <c r="I350" t="s">
        <v>29</v>
      </c>
      <c r="J350" t="s">
        <v>20</v>
      </c>
      <c r="K350">
        <v>1</v>
      </c>
      <c r="L350">
        <v>1</v>
      </c>
      <c r="M350">
        <v>6.38</v>
      </c>
      <c r="N350">
        <v>1</v>
      </c>
      <c r="O350" t="str">
        <f>IF(financial_fraud_data[[#This Row],[Risk_Score]]&gt;8,"High",IF(financial_fraud_data[[#This Row],[Risk_Score]]&gt;5,"Med","Low"))</f>
        <v>Med</v>
      </c>
      <c r="P350" t="str">
        <f>TEXT(financial_fraud_data[[#This Row],[Transaction_Date]],"MMM")</f>
        <v>Jan</v>
      </c>
      <c r="Q350" t="str">
        <f>IF(financial_fraud_data[[#This Row],[Is_Fraud]]=1,"Yes","No")</f>
        <v>Yes</v>
      </c>
    </row>
    <row r="351" spans="1:17" x14ac:dyDescent="0.2">
      <c r="A351" t="s">
        <v>641</v>
      </c>
      <c r="B351" t="s">
        <v>642</v>
      </c>
      <c r="C351" s="1">
        <v>45306.541666666664</v>
      </c>
      <c r="D351">
        <v>31311.7</v>
      </c>
      <c r="E351" t="s">
        <v>42</v>
      </c>
      <c r="F351" t="s">
        <v>50</v>
      </c>
      <c r="G351" t="s">
        <v>35</v>
      </c>
      <c r="H351" t="s">
        <v>29</v>
      </c>
      <c r="I351" t="s">
        <v>36</v>
      </c>
      <c r="J351" t="s">
        <v>20</v>
      </c>
      <c r="K351">
        <v>0</v>
      </c>
      <c r="L351">
        <v>1</v>
      </c>
      <c r="M351">
        <v>5.63</v>
      </c>
      <c r="N351">
        <v>1</v>
      </c>
      <c r="O351" t="str">
        <f>IF(financial_fraud_data[[#This Row],[Risk_Score]]&gt;8,"High",IF(financial_fraud_data[[#This Row],[Risk_Score]]&gt;5,"Med","Low"))</f>
        <v>Med</v>
      </c>
      <c r="P351" t="str">
        <f>TEXT(financial_fraud_data[[#This Row],[Transaction_Date]],"MMM")</f>
        <v>Jan</v>
      </c>
      <c r="Q351" t="str">
        <f>IF(financial_fraud_data[[#This Row],[Is_Fraud]]=1,"Yes","No")</f>
        <v>Yes</v>
      </c>
    </row>
    <row r="352" spans="1:17" x14ac:dyDescent="0.2">
      <c r="A352" t="s">
        <v>643</v>
      </c>
      <c r="B352" t="s">
        <v>356</v>
      </c>
      <c r="C352" s="1">
        <v>45306.583333333336</v>
      </c>
      <c r="D352">
        <v>25181.66</v>
      </c>
      <c r="E352" t="s">
        <v>34</v>
      </c>
      <c r="F352" t="s">
        <v>27</v>
      </c>
      <c r="G352" t="s">
        <v>28</v>
      </c>
      <c r="H352" t="s">
        <v>24</v>
      </c>
      <c r="I352" t="s">
        <v>24</v>
      </c>
      <c r="J352" t="s">
        <v>51</v>
      </c>
      <c r="K352">
        <v>1</v>
      </c>
      <c r="L352">
        <v>2</v>
      </c>
      <c r="M352">
        <v>7.52</v>
      </c>
      <c r="N352">
        <v>1</v>
      </c>
      <c r="O352" t="str">
        <f>IF(financial_fraud_data[[#This Row],[Risk_Score]]&gt;8,"High",IF(financial_fraud_data[[#This Row],[Risk_Score]]&gt;5,"Med","Low"))</f>
        <v>Med</v>
      </c>
      <c r="P352" t="str">
        <f>TEXT(financial_fraud_data[[#This Row],[Transaction_Date]],"MMM")</f>
        <v>Jan</v>
      </c>
      <c r="Q352" t="str">
        <f>IF(financial_fraud_data[[#This Row],[Is_Fraud]]=1,"Yes","No")</f>
        <v>Yes</v>
      </c>
    </row>
    <row r="353" spans="1:17" x14ac:dyDescent="0.2">
      <c r="A353" t="s">
        <v>644</v>
      </c>
      <c r="B353" t="s">
        <v>645</v>
      </c>
      <c r="C353" s="1">
        <v>45306.625</v>
      </c>
      <c r="D353">
        <v>42831.67</v>
      </c>
      <c r="E353" t="s">
        <v>16</v>
      </c>
      <c r="F353" t="s">
        <v>47</v>
      </c>
      <c r="G353" t="s">
        <v>18</v>
      </c>
      <c r="H353" t="s">
        <v>19</v>
      </c>
      <c r="I353" t="s">
        <v>36</v>
      </c>
      <c r="J353" t="s">
        <v>37</v>
      </c>
      <c r="K353">
        <v>1</v>
      </c>
      <c r="L353">
        <v>0</v>
      </c>
      <c r="M353">
        <v>7.28</v>
      </c>
      <c r="N353">
        <v>1</v>
      </c>
      <c r="O353" t="str">
        <f>IF(financial_fraud_data[[#This Row],[Risk_Score]]&gt;8,"High",IF(financial_fraud_data[[#This Row],[Risk_Score]]&gt;5,"Med","Low"))</f>
        <v>Med</v>
      </c>
      <c r="P353" t="str">
        <f>TEXT(financial_fraud_data[[#This Row],[Transaction_Date]],"MMM")</f>
        <v>Jan</v>
      </c>
      <c r="Q353" t="str">
        <f>IF(financial_fraud_data[[#This Row],[Is_Fraud]]=1,"Yes","No")</f>
        <v>Yes</v>
      </c>
    </row>
    <row r="354" spans="1:17" x14ac:dyDescent="0.2">
      <c r="A354" t="s">
        <v>646</v>
      </c>
      <c r="B354" t="s">
        <v>647</v>
      </c>
      <c r="C354" s="1">
        <v>45306.666666666664</v>
      </c>
      <c r="D354">
        <v>32951.75</v>
      </c>
      <c r="E354" t="s">
        <v>16</v>
      </c>
      <c r="F354" t="s">
        <v>17</v>
      </c>
      <c r="G354" t="s">
        <v>56</v>
      </c>
      <c r="H354" t="s">
        <v>19</v>
      </c>
      <c r="I354" t="s">
        <v>29</v>
      </c>
      <c r="J354" t="s">
        <v>51</v>
      </c>
      <c r="K354">
        <v>0</v>
      </c>
      <c r="L354">
        <v>1</v>
      </c>
      <c r="M354">
        <v>5.8</v>
      </c>
      <c r="N354">
        <v>1</v>
      </c>
      <c r="O354" t="str">
        <f>IF(financial_fraud_data[[#This Row],[Risk_Score]]&gt;8,"High",IF(financial_fraud_data[[#This Row],[Risk_Score]]&gt;5,"Med","Low"))</f>
        <v>Med</v>
      </c>
      <c r="P354" t="str">
        <f>TEXT(financial_fraud_data[[#This Row],[Transaction_Date]],"MMM")</f>
        <v>Jan</v>
      </c>
      <c r="Q354" t="str">
        <f>IF(financial_fraud_data[[#This Row],[Is_Fraud]]=1,"Yes","No")</f>
        <v>Yes</v>
      </c>
    </row>
    <row r="355" spans="1:17" x14ac:dyDescent="0.2">
      <c r="A355" t="s">
        <v>648</v>
      </c>
      <c r="B355" t="s">
        <v>649</v>
      </c>
      <c r="C355" s="1">
        <v>45306.708333333336</v>
      </c>
      <c r="D355">
        <v>8188.57</v>
      </c>
      <c r="E355" t="s">
        <v>42</v>
      </c>
      <c r="F355" t="s">
        <v>17</v>
      </c>
      <c r="G355" t="s">
        <v>56</v>
      </c>
      <c r="H355" t="s">
        <v>23</v>
      </c>
      <c r="I355" t="s">
        <v>36</v>
      </c>
      <c r="J355" t="s">
        <v>37</v>
      </c>
      <c r="K355">
        <v>0</v>
      </c>
      <c r="L355">
        <v>4</v>
      </c>
      <c r="M355">
        <v>7.82</v>
      </c>
      <c r="N355">
        <v>1</v>
      </c>
      <c r="O355" t="str">
        <f>IF(financial_fraud_data[[#This Row],[Risk_Score]]&gt;8,"High",IF(financial_fraud_data[[#This Row],[Risk_Score]]&gt;5,"Med","Low"))</f>
        <v>Med</v>
      </c>
      <c r="P355" t="str">
        <f>TEXT(financial_fraud_data[[#This Row],[Transaction_Date]],"MMM")</f>
        <v>Jan</v>
      </c>
      <c r="Q355" t="str">
        <f>IF(financial_fraud_data[[#This Row],[Is_Fraud]]=1,"Yes","No")</f>
        <v>Yes</v>
      </c>
    </row>
    <row r="356" spans="1:17" x14ac:dyDescent="0.2">
      <c r="A356" t="s">
        <v>650</v>
      </c>
      <c r="B356" t="s">
        <v>651</v>
      </c>
      <c r="C356" s="1">
        <v>45306.75</v>
      </c>
      <c r="D356">
        <v>3574.91</v>
      </c>
      <c r="E356" t="s">
        <v>42</v>
      </c>
      <c r="F356" t="s">
        <v>27</v>
      </c>
      <c r="G356" t="s">
        <v>35</v>
      </c>
      <c r="H356" t="s">
        <v>36</v>
      </c>
      <c r="I356" t="s">
        <v>29</v>
      </c>
      <c r="J356" t="s">
        <v>51</v>
      </c>
      <c r="K356">
        <v>0</v>
      </c>
      <c r="L356">
        <v>3</v>
      </c>
      <c r="M356">
        <v>5.86</v>
      </c>
      <c r="N356">
        <v>1</v>
      </c>
      <c r="O356" t="str">
        <f>IF(financial_fraud_data[[#This Row],[Risk_Score]]&gt;8,"High",IF(financial_fraud_data[[#This Row],[Risk_Score]]&gt;5,"Med","Low"))</f>
        <v>Med</v>
      </c>
      <c r="P356" t="str">
        <f>TEXT(financial_fraud_data[[#This Row],[Transaction_Date]],"MMM")</f>
        <v>Jan</v>
      </c>
      <c r="Q356" t="str">
        <f>IF(financial_fraud_data[[#This Row],[Is_Fraud]]=1,"Yes","No")</f>
        <v>Yes</v>
      </c>
    </row>
    <row r="357" spans="1:17" x14ac:dyDescent="0.2">
      <c r="A357" t="s">
        <v>652</v>
      </c>
      <c r="B357" t="s">
        <v>111</v>
      </c>
      <c r="C357" s="1">
        <v>45306.791666666664</v>
      </c>
      <c r="D357">
        <v>32138.84</v>
      </c>
      <c r="E357" t="s">
        <v>42</v>
      </c>
      <c r="F357" t="s">
        <v>50</v>
      </c>
      <c r="G357" t="s">
        <v>56</v>
      </c>
      <c r="H357" t="s">
        <v>36</v>
      </c>
      <c r="I357" t="s">
        <v>36</v>
      </c>
      <c r="J357" t="s">
        <v>37</v>
      </c>
      <c r="K357">
        <v>1</v>
      </c>
      <c r="L357">
        <v>3</v>
      </c>
      <c r="M357">
        <v>9.7100000000000009</v>
      </c>
      <c r="N357">
        <v>1</v>
      </c>
      <c r="O357" t="str">
        <f>IF(financial_fraud_data[[#This Row],[Risk_Score]]&gt;8,"High",IF(financial_fraud_data[[#This Row],[Risk_Score]]&gt;5,"Med","Low"))</f>
        <v>High</v>
      </c>
      <c r="P357" t="str">
        <f>TEXT(financial_fraud_data[[#This Row],[Transaction_Date]],"MMM")</f>
        <v>Jan</v>
      </c>
      <c r="Q357" t="str">
        <f>IF(financial_fraud_data[[#This Row],[Is_Fraud]]=1,"Yes","No")</f>
        <v>Yes</v>
      </c>
    </row>
    <row r="358" spans="1:17" x14ac:dyDescent="0.2">
      <c r="A358" t="s">
        <v>653</v>
      </c>
      <c r="B358" t="s">
        <v>317</v>
      </c>
      <c r="C358" s="1">
        <v>45306.833333333336</v>
      </c>
      <c r="D358">
        <v>1374.24</v>
      </c>
      <c r="E358" t="s">
        <v>80</v>
      </c>
      <c r="F358" t="s">
        <v>47</v>
      </c>
      <c r="G358" t="s">
        <v>56</v>
      </c>
      <c r="H358" t="s">
        <v>23</v>
      </c>
      <c r="I358" t="s">
        <v>19</v>
      </c>
      <c r="J358" t="s">
        <v>37</v>
      </c>
      <c r="K358">
        <v>0</v>
      </c>
      <c r="L358">
        <v>1</v>
      </c>
      <c r="M358">
        <v>2.64</v>
      </c>
      <c r="N358">
        <v>0</v>
      </c>
      <c r="O358" t="str">
        <f>IF(financial_fraud_data[[#This Row],[Risk_Score]]&gt;8,"High",IF(financial_fraud_data[[#This Row],[Risk_Score]]&gt;5,"Med","Low"))</f>
        <v>Low</v>
      </c>
      <c r="P358" t="str">
        <f>TEXT(financial_fraud_data[[#This Row],[Transaction_Date]],"MMM")</f>
        <v>Jan</v>
      </c>
      <c r="Q358" t="str">
        <f>IF(financial_fraud_data[[#This Row],[Is_Fraud]]=1,"Yes","No")</f>
        <v>No</v>
      </c>
    </row>
    <row r="359" spans="1:17" x14ac:dyDescent="0.2">
      <c r="A359" t="s">
        <v>654</v>
      </c>
      <c r="B359" t="s">
        <v>655</v>
      </c>
      <c r="C359" s="1">
        <v>45306.875</v>
      </c>
      <c r="D359">
        <v>29309.49</v>
      </c>
      <c r="E359" t="s">
        <v>80</v>
      </c>
      <c r="F359" t="s">
        <v>50</v>
      </c>
      <c r="G359" t="s">
        <v>65</v>
      </c>
      <c r="H359" t="s">
        <v>19</v>
      </c>
      <c r="I359" t="s">
        <v>29</v>
      </c>
      <c r="J359" t="s">
        <v>37</v>
      </c>
      <c r="K359">
        <v>0</v>
      </c>
      <c r="L359">
        <v>2</v>
      </c>
      <c r="M359">
        <v>6.93</v>
      </c>
      <c r="N359">
        <v>1</v>
      </c>
      <c r="O359" t="str">
        <f>IF(financial_fraud_data[[#This Row],[Risk_Score]]&gt;8,"High",IF(financial_fraud_data[[#This Row],[Risk_Score]]&gt;5,"Med","Low"))</f>
        <v>Med</v>
      </c>
      <c r="P359" t="str">
        <f>TEXT(financial_fraud_data[[#This Row],[Transaction_Date]],"MMM")</f>
        <v>Jan</v>
      </c>
      <c r="Q359" t="str">
        <f>IF(financial_fraud_data[[#This Row],[Is_Fraud]]=1,"Yes","No")</f>
        <v>Yes</v>
      </c>
    </row>
    <row r="360" spans="1:17" x14ac:dyDescent="0.2">
      <c r="A360" t="s">
        <v>656</v>
      </c>
      <c r="B360" t="s">
        <v>289</v>
      </c>
      <c r="C360" s="1">
        <v>45306.916666666664</v>
      </c>
      <c r="D360">
        <v>47014.5</v>
      </c>
      <c r="E360" t="s">
        <v>80</v>
      </c>
      <c r="F360" t="s">
        <v>47</v>
      </c>
      <c r="G360" t="s">
        <v>35</v>
      </c>
      <c r="H360" t="s">
        <v>19</v>
      </c>
      <c r="I360" t="s">
        <v>24</v>
      </c>
      <c r="J360" t="s">
        <v>20</v>
      </c>
      <c r="K360">
        <v>0</v>
      </c>
      <c r="L360">
        <v>3</v>
      </c>
      <c r="M360">
        <v>10.199999999999999</v>
      </c>
      <c r="N360">
        <v>1</v>
      </c>
      <c r="O360" t="str">
        <f>IF(financial_fraud_data[[#This Row],[Risk_Score]]&gt;8,"High",IF(financial_fraud_data[[#This Row],[Risk_Score]]&gt;5,"Med","Low"))</f>
        <v>High</v>
      </c>
      <c r="P360" t="str">
        <f>TEXT(financial_fraud_data[[#This Row],[Transaction_Date]],"MMM")</f>
        <v>Jan</v>
      </c>
      <c r="Q360" t="str">
        <f>IF(financial_fraud_data[[#This Row],[Is_Fraud]]=1,"Yes","No")</f>
        <v>Yes</v>
      </c>
    </row>
    <row r="361" spans="1:17" x14ac:dyDescent="0.2">
      <c r="A361" t="s">
        <v>657</v>
      </c>
      <c r="B361" t="s">
        <v>341</v>
      </c>
      <c r="C361" s="1">
        <v>45306.958333333336</v>
      </c>
      <c r="D361">
        <v>28794.94</v>
      </c>
      <c r="E361" t="s">
        <v>42</v>
      </c>
      <c r="F361" t="s">
        <v>27</v>
      </c>
      <c r="G361" t="s">
        <v>35</v>
      </c>
      <c r="H361" t="s">
        <v>36</v>
      </c>
      <c r="I361" t="s">
        <v>19</v>
      </c>
      <c r="J361" t="s">
        <v>20</v>
      </c>
      <c r="K361">
        <v>0</v>
      </c>
      <c r="L361">
        <v>3</v>
      </c>
      <c r="M361">
        <v>8.3800000000000008</v>
      </c>
      <c r="N361">
        <v>1</v>
      </c>
      <c r="O361" t="str">
        <f>IF(financial_fraud_data[[#This Row],[Risk_Score]]&gt;8,"High",IF(financial_fraud_data[[#This Row],[Risk_Score]]&gt;5,"Med","Low"))</f>
        <v>High</v>
      </c>
      <c r="P361" t="str">
        <f>TEXT(financial_fraud_data[[#This Row],[Transaction_Date]],"MMM")</f>
        <v>Jan</v>
      </c>
      <c r="Q361" t="str">
        <f>IF(financial_fraud_data[[#This Row],[Is_Fraud]]=1,"Yes","No")</f>
        <v>Yes</v>
      </c>
    </row>
    <row r="362" spans="1:17" x14ac:dyDescent="0.2">
      <c r="A362" t="s">
        <v>658</v>
      </c>
      <c r="B362" t="s">
        <v>659</v>
      </c>
      <c r="C362" s="1">
        <v>45307</v>
      </c>
      <c r="D362">
        <v>19439.09</v>
      </c>
      <c r="E362" t="s">
        <v>34</v>
      </c>
      <c r="F362" t="s">
        <v>47</v>
      </c>
      <c r="G362" t="s">
        <v>56</v>
      </c>
      <c r="H362" t="s">
        <v>24</v>
      </c>
      <c r="I362" t="s">
        <v>36</v>
      </c>
      <c r="J362" t="s">
        <v>51</v>
      </c>
      <c r="K362">
        <v>1</v>
      </c>
      <c r="L362">
        <v>3</v>
      </c>
      <c r="M362">
        <v>9.44</v>
      </c>
      <c r="N362">
        <v>1</v>
      </c>
      <c r="O362" t="str">
        <f>IF(financial_fraud_data[[#This Row],[Risk_Score]]&gt;8,"High",IF(financial_fraud_data[[#This Row],[Risk_Score]]&gt;5,"Med","Low"))</f>
        <v>High</v>
      </c>
      <c r="P362" t="str">
        <f>TEXT(financial_fraud_data[[#This Row],[Transaction_Date]],"MMM")</f>
        <v>Jan</v>
      </c>
      <c r="Q362" t="str">
        <f>IF(financial_fraud_data[[#This Row],[Is_Fraud]]=1,"Yes","No")</f>
        <v>Yes</v>
      </c>
    </row>
    <row r="363" spans="1:17" x14ac:dyDescent="0.2">
      <c r="A363" t="s">
        <v>660</v>
      </c>
      <c r="B363" t="s">
        <v>661</v>
      </c>
      <c r="C363" s="1">
        <v>45307.041666666664</v>
      </c>
      <c r="D363">
        <v>32182.25</v>
      </c>
      <c r="E363" t="s">
        <v>16</v>
      </c>
      <c r="F363" t="s">
        <v>47</v>
      </c>
      <c r="G363" t="s">
        <v>56</v>
      </c>
      <c r="H363" t="s">
        <v>29</v>
      </c>
      <c r="I363" t="s">
        <v>29</v>
      </c>
      <c r="J363" t="s">
        <v>51</v>
      </c>
      <c r="K363">
        <v>0</v>
      </c>
      <c r="L363">
        <v>3</v>
      </c>
      <c r="M363">
        <v>7.72</v>
      </c>
      <c r="N363">
        <v>1</v>
      </c>
      <c r="O363" t="str">
        <f>IF(financial_fraud_data[[#This Row],[Risk_Score]]&gt;8,"High",IF(financial_fraud_data[[#This Row],[Risk_Score]]&gt;5,"Med","Low"))</f>
        <v>Med</v>
      </c>
      <c r="P363" t="str">
        <f>TEXT(financial_fraud_data[[#This Row],[Transaction_Date]],"MMM")</f>
        <v>Jan</v>
      </c>
      <c r="Q363" t="str">
        <f>IF(financial_fraud_data[[#This Row],[Is_Fraud]]=1,"Yes","No")</f>
        <v>Yes</v>
      </c>
    </row>
    <row r="364" spans="1:17" x14ac:dyDescent="0.2">
      <c r="A364" t="s">
        <v>662</v>
      </c>
      <c r="B364" t="s">
        <v>638</v>
      </c>
      <c r="C364" s="1">
        <v>45307.083333333336</v>
      </c>
      <c r="D364">
        <v>22939.73</v>
      </c>
      <c r="E364" t="s">
        <v>42</v>
      </c>
      <c r="F364" t="s">
        <v>27</v>
      </c>
      <c r="G364" t="s">
        <v>56</v>
      </c>
      <c r="H364" t="s">
        <v>24</v>
      </c>
      <c r="I364" t="s">
        <v>19</v>
      </c>
      <c r="J364" t="s">
        <v>37</v>
      </c>
      <c r="K364">
        <v>1</v>
      </c>
      <c r="L364">
        <v>1</v>
      </c>
      <c r="M364">
        <v>6.79</v>
      </c>
      <c r="N364">
        <v>1</v>
      </c>
      <c r="O364" t="str">
        <f>IF(financial_fraud_data[[#This Row],[Risk_Score]]&gt;8,"High",IF(financial_fraud_data[[#This Row],[Risk_Score]]&gt;5,"Med","Low"))</f>
        <v>Med</v>
      </c>
      <c r="P364" t="str">
        <f>TEXT(financial_fraud_data[[#This Row],[Transaction_Date]],"MMM")</f>
        <v>Jan</v>
      </c>
      <c r="Q364" t="str">
        <f>IF(financial_fraud_data[[#This Row],[Is_Fraud]]=1,"Yes","No")</f>
        <v>Yes</v>
      </c>
    </row>
    <row r="365" spans="1:17" x14ac:dyDescent="0.2">
      <c r="A365" t="s">
        <v>663</v>
      </c>
      <c r="B365" t="s">
        <v>133</v>
      </c>
      <c r="C365" s="1">
        <v>45307.125</v>
      </c>
      <c r="D365">
        <v>27303.56</v>
      </c>
      <c r="E365" t="s">
        <v>80</v>
      </c>
      <c r="F365" t="s">
        <v>50</v>
      </c>
      <c r="G365" t="s">
        <v>18</v>
      </c>
      <c r="H365" t="s">
        <v>19</v>
      </c>
      <c r="I365" t="s">
        <v>24</v>
      </c>
      <c r="J365" t="s">
        <v>37</v>
      </c>
      <c r="K365">
        <v>0</v>
      </c>
      <c r="L365">
        <v>0</v>
      </c>
      <c r="M365">
        <v>3.73</v>
      </c>
      <c r="N365">
        <v>0</v>
      </c>
      <c r="O365" t="str">
        <f>IF(financial_fraud_data[[#This Row],[Risk_Score]]&gt;8,"High",IF(financial_fraud_data[[#This Row],[Risk_Score]]&gt;5,"Med","Low"))</f>
        <v>Low</v>
      </c>
      <c r="P365" t="str">
        <f>TEXT(financial_fraud_data[[#This Row],[Transaction_Date]],"MMM")</f>
        <v>Jan</v>
      </c>
      <c r="Q365" t="str">
        <f>IF(financial_fraud_data[[#This Row],[Is_Fraud]]=1,"Yes","No")</f>
        <v>No</v>
      </c>
    </row>
    <row r="366" spans="1:17" x14ac:dyDescent="0.2">
      <c r="A366" t="s">
        <v>664</v>
      </c>
      <c r="B366" t="s">
        <v>398</v>
      </c>
      <c r="C366" s="1">
        <v>45307.166666666664</v>
      </c>
      <c r="D366">
        <v>47076.17</v>
      </c>
      <c r="E366" t="s">
        <v>80</v>
      </c>
      <c r="F366" t="s">
        <v>27</v>
      </c>
      <c r="G366" t="s">
        <v>28</v>
      </c>
      <c r="H366" t="s">
        <v>24</v>
      </c>
      <c r="I366" t="s">
        <v>29</v>
      </c>
      <c r="J366" t="s">
        <v>20</v>
      </c>
      <c r="K366">
        <v>0</v>
      </c>
      <c r="L366">
        <v>0</v>
      </c>
      <c r="M366">
        <v>5.71</v>
      </c>
      <c r="N366">
        <v>1</v>
      </c>
      <c r="O366" t="str">
        <f>IF(financial_fraud_data[[#This Row],[Risk_Score]]&gt;8,"High",IF(financial_fraud_data[[#This Row],[Risk_Score]]&gt;5,"Med","Low"))</f>
        <v>Med</v>
      </c>
      <c r="P366" t="str">
        <f>TEXT(financial_fraud_data[[#This Row],[Transaction_Date]],"MMM")</f>
        <v>Jan</v>
      </c>
      <c r="Q366" t="str">
        <f>IF(financial_fraud_data[[#This Row],[Is_Fraud]]=1,"Yes","No")</f>
        <v>Yes</v>
      </c>
    </row>
    <row r="367" spans="1:17" x14ac:dyDescent="0.2">
      <c r="A367" t="s">
        <v>665</v>
      </c>
      <c r="B367" t="s">
        <v>666</v>
      </c>
      <c r="C367" s="1">
        <v>45307.208333333336</v>
      </c>
      <c r="D367">
        <v>19335.830000000002</v>
      </c>
      <c r="E367" t="s">
        <v>42</v>
      </c>
      <c r="F367" t="s">
        <v>47</v>
      </c>
      <c r="G367" t="s">
        <v>18</v>
      </c>
      <c r="H367" t="s">
        <v>29</v>
      </c>
      <c r="I367" t="s">
        <v>19</v>
      </c>
      <c r="J367" t="s">
        <v>20</v>
      </c>
      <c r="K367">
        <v>1</v>
      </c>
      <c r="L367">
        <v>2</v>
      </c>
      <c r="M367">
        <v>7.93</v>
      </c>
      <c r="N367">
        <v>1</v>
      </c>
      <c r="O367" t="str">
        <f>IF(financial_fraud_data[[#This Row],[Risk_Score]]&gt;8,"High",IF(financial_fraud_data[[#This Row],[Risk_Score]]&gt;5,"Med","Low"))</f>
        <v>Med</v>
      </c>
      <c r="P367" t="str">
        <f>TEXT(financial_fraud_data[[#This Row],[Transaction_Date]],"MMM")</f>
        <v>Jan</v>
      </c>
      <c r="Q367" t="str">
        <f>IF(financial_fraud_data[[#This Row],[Is_Fraud]]=1,"Yes","No")</f>
        <v>Yes</v>
      </c>
    </row>
    <row r="368" spans="1:17" x14ac:dyDescent="0.2">
      <c r="A368" t="s">
        <v>667</v>
      </c>
      <c r="B368" t="s">
        <v>633</v>
      </c>
      <c r="C368" s="1">
        <v>45307.25</v>
      </c>
      <c r="D368">
        <v>48061.47</v>
      </c>
      <c r="E368" t="s">
        <v>42</v>
      </c>
      <c r="F368" t="s">
        <v>27</v>
      </c>
      <c r="G368" t="s">
        <v>35</v>
      </c>
      <c r="H368" t="s">
        <v>24</v>
      </c>
      <c r="I368" t="s">
        <v>19</v>
      </c>
      <c r="J368" t="s">
        <v>20</v>
      </c>
      <c r="K368">
        <v>0</v>
      </c>
      <c r="L368">
        <v>4</v>
      </c>
      <c r="M368">
        <v>11.81</v>
      </c>
      <c r="N368">
        <v>1</v>
      </c>
      <c r="O368" t="str">
        <f>IF(financial_fraud_data[[#This Row],[Risk_Score]]&gt;8,"High",IF(financial_fraud_data[[#This Row],[Risk_Score]]&gt;5,"Med","Low"))</f>
        <v>High</v>
      </c>
      <c r="P368" t="str">
        <f>TEXT(financial_fraud_data[[#This Row],[Transaction_Date]],"MMM")</f>
        <v>Jan</v>
      </c>
      <c r="Q368" t="str">
        <f>IF(financial_fraud_data[[#This Row],[Is_Fraud]]=1,"Yes","No")</f>
        <v>Yes</v>
      </c>
    </row>
    <row r="369" spans="1:17" x14ac:dyDescent="0.2">
      <c r="A369" t="s">
        <v>668</v>
      </c>
      <c r="B369" t="s">
        <v>669</v>
      </c>
      <c r="C369" s="1">
        <v>45307.291666666664</v>
      </c>
      <c r="D369">
        <v>45272.26</v>
      </c>
      <c r="E369" t="s">
        <v>80</v>
      </c>
      <c r="F369" t="s">
        <v>47</v>
      </c>
      <c r="G369" t="s">
        <v>65</v>
      </c>
      <c r="H369" t="s">
        <v>24</v>
      </c>
      <c r="I369" t="s">
        <v>19</v>
      </c>
      <c r="J369" t="s">
        <v>51</v>
      </c>
      <c r="K369">
        <v>1</v>
      </c>
      <c r="L369">
        <v>0</v>
      </c>
      <c r="M369">
        <v>7.53</v>
      </c>
      <c r="N369">
        <v>1</v>
      </c>
      <c r="O369" t="str">
        <f>IF(financial_fraud_data[[#This Row],[Risk_Score]]&gt;8,"High",IF(financial_fraud_data[[#This Row],[Risk_Score]]&gt;5,"Med","Low"))</f>
        <v>Med</v>
      </c>
      <c r="P369" t="str">
        <f>TEXT(financial_fraud_data[[#This Row],[Transaction_Date]],"MMM")</f>
        <v>Jan</v>
      </c>
      <c r="Q369" t="str">
        <f>IF(financial_fraud_data[[#This Row],[Is_Fraud]]=1,"Yes","No")</f>
        <v>Yes</v>
      </c>
    </row>
    <row r="370" spans="1:17" x14ac:dyDescent="0.2">
      <c r="A370" t="s">
        <v>670</v>
      </c>
      <c r="B370" t="s">
        <v>671</v>
      </c>
      <c r="C370" s="1">
        <v>45307.333333333336</v>
      </c>
      <c r="D370">
        <v>9829.77</v>
      </c>
      <c r="E370" t="s">
        <v>34</v>
      </c>
      <c r="F370" t="s">
        <v>27</v>
      </c>
      <c r="G370" t="s">
        <v>28</v>
      </c>
      <c r="H370" t="s">
        <v>24</v>
      </c>
      <c r="I370" t="s">
        <v>23</v>
      </c>
      <c r="J370" t="s">
        <v>20</v>
      </c>
      <c r="K370">
        <v>0</v>
      </c>
      <c r="L370">
        <v>4</v>
      </c>
      <c r="M370">
        <v>7.98</v>
      </c>
      <c r="N370">
        <v>1</v>
      </c>
      <c r="O370" t="str">
        <f>IF(financial_fraud_data[[#This Row],[Risk_Score]]&gt;8,"High",IF(financial_fraud_data[[#This Row],[Risk_Score]]&gt;5,"Med","Low"))</f>
        <v>Med</v>
      </c>
      <c r="P370" t="str">
        <f>TEXT(financial_fraud_data[[#This Row],[Transaction_Date]],"MMM")</f>
        <v>Jan</v>
      </c>
      <c r="Q370" t="str">
        <f>IF(financial_fraud_data[[#This Row],[Is_Fraud]]=1,"Yes","No")</f>
        <v>Yes</v>
      </c>
    </row>
    <row r="371" spans="1:17" x14ac:dyDescent="0.2">
      <c r="A371" t="s">
        <v>672</v>
      </c>
      <c r="B371" t="s">
        <v>560</v>
      </c>
      <c r="C371" s="1">
        <v>45307.375</v>
      </c>
      <c r="D371">
        <v>3514.6</v>
      </c>
      <c r="E371" t="s">
        <v>80</v>
      </c>
      <c r="F371" t="s">
        <v>17</v>
      </c>
      <c r="G371" t="s">
        <v>65</v>
      </c>
      <c r="H371" t="s">
        <v>24</v>
      </c>
      <c r="I371" t="s">
        <v>36</v>
      </c>
      <c r="J371" t="s">
        <v>51</v>
      </c>
      <c r="K371">
        <v>0</v>
      </c>
      <c r="L371">
        <v>0</v>
      </c>
      <c r="M371">
        <v>1.35</v>
      </c>
      <c r="N371">
        <v>0</v>
      </c>
      <c r="O371" t="str">
        <f>IF(financial_fraud_data[[#This Row],[Risk_Score]]&gt;8,"High",IF(financial_fraud_data[[#This Row],[Risk_Score]]&gt;5,"Med","Low"))</f>
        <v>Low</v>
      </c>
      <c r="P371" t="str">
        <f>TEXT(financial_fraud_data[[#This Row],[Transaction_Date]],"MMM")</f>
        <v>Jan</v>
      </c>
      <c r="Q371" t="str">
        <f>IF(financial_fraud_data[[#This Row],[Is_Fraud]]=1,"Yes","No")</f>
        <v>No</v>
      </c>
    </row>
    <row r="372" spans="1:17" x14ac:dyDescent="0.2">
      <c r="A372" t="s">
        <v>673</v>
      </c>
      <c r="B372" t="s">
        <v>674</v>
      </c>
      <c r="C372" s="1">
        <v>45307.416666666664</v>
      </c>
      <c r="D372">
        <v>5083.8599999999997</v>
      </c>
      <c r="E372" t="s">
        <v>80</v>
      </c>
      <c r="F372" t="s">
        <v>17</v>
      </c>
      <c r="G372" t="s">
        <v>35</v>
      </c>
      <c r="H372" t="s">
        <v>23</v>
      </c>
      <c r="I372" t="s">
        <v>29</v>
      </c>
      <c r="J372" t="s">
        <v>20</v>
      </c>
      <c r="K372">
        <v>0</v>
      </c>
      <c r="L372">
        <v>0</v>
      </c>
      <c r="M372">
        <v>1.51</v>
      </c>
      <c r="N372">
        <v>0</v>
      </c>
      <c r="O372" t="str">
        <f>IF(financial_fraud_data[[#This Row],[Risk_Score]]&gt;8,"High",IF(financial_fraud_data[[#This Row],[Risk_Score]]&gt;5,"Med","Low"))</f>
        <v>Low</v>
      </c>
      <c r="P372" t="str">
        <f>TEXT(financial_fraud_data[[#This Row],[Transaction_Date]],"MMM")</f>
        <v>Jan</v>
      </c>
      <c r="Q372" t="str">
        <f>IF(financial_fraud_data[[#This Row],[Is_Fraud]]=1,"Yes","No")</f>
        <v>No</v>
      </c>
    </row>
    <row r="373" spans="1:17" x14ac:dyDescent="0.2">
      <c r="A373" t="s">
        <v>675</v>
      </c>
      <c r="B373" t="s">
        <v>676</v>
      </c>
      <c r="C373" s="1">
        <v>45307.458333333336</v>
      </c>
      <c r="D373">
        <v>960.18</v>
      </c>
      <c r="E373" t="s">
        <v>42</v>
      </c>
      <c r="F373" t="s">
        <v>27</v>
      </c>
      <c r="G373" t="s">
        <v>35</v>
      </c>
      <c r="H373" t="s">
        <v>19</v>
      </c>
      <c r="I373" t="s">
        <v>29</v>
      </c>
      <c r="J373" t="s">
        <v>20</v>
      </c>
      <c r="K373">
        <v>1</v>
      </c>
      <c r="L373">
        <v>2</v>
      </c>
      <c r="M373">
        <v>6.1</v>
      </c>
      <c r="N373">
        <v>1</v>
      </c>
      <c r="O373" t="str">
        <f>IF(financial_fraud_data[[#This Row],[Risk_Score]]&gt;8,"High",IF(financial_fraud_data[[#This Row],[Risk_Score]]&gt;5,"Med","Low"))</f>
        <v>Med</v>
      </c>
      <c r="P373" t="str">
        <f>TEXT(financial_fraud_data[[#This Row],[Transaction_Date]],"MMM")</f>
        <v>Jan</v>
      </c>
      <c r="Q373" t="str">
        <f>IF(financial_fraud_data[[#This Row],[Is_Fraud]]=1,"Yes","No")</f>
        <v>Yes</v>
      </c>
    </row>
    <row r="374" spans="1:17" x14ac:dyDescent="0.2">
      <c r="A374" t="s">
        <v>677</v>
      </c>
      <c r="B374" t="s">
        <v>678</v>
      </c>
      <c r="C374" s="1">
        <v>45307.5</v>
      </c>
      <c r="D374">
        <v>4767.43</v>
      </c>
      <c r="E374" t="s">
        <v>34</v>
      </c>
      <c r="F374" t="s">
        <v>50</v>
      </c>
      <c r="G374" t="s">
        <v>65</v>
      </c>
      <c r="H374" t="s">
        <v>29</v>
      </c>
      <c r="I374" t="s">
        <v>29</v>
      </c>
      <c r="J374" t="s">
        <v>37</v>
      </c>
      <c r="K374">
        <v>1</v>
      </c>
      <c r="L374">
        <v>3</v>
      </c>
      <c r="M374">
        <v>6.98</v>
      </c>
      <c r="N374">
        <v>1</v>
      </c>
      <c r="O374" t="str">
        <f>IF(financial_fraud_data[[#This Row],[Risk_Score]]&gt;8,"High",IF(financial_fraud_data[[#This Row],[Risk_Score]]&gt;5,"Med","Low"))</f>
        <v>Med</v>
      </c>
      <c r="P374" t="str">
        <f>TEXT(financial_fraud_data[[#This Row],[Transaction_Date]],"MMM")</f>
        <v>Jan</v>
      </c>
      <c r="Q374" t="str">
        <f>IF(financial_fraud_data[[#This Row],[Is_Fraud]]=1,"Yes","No")</f>
        <v>Yes</v>
      </c>
    </row>
    <row r="375" spans="1:17" x14ac:dyDescent="0.2">
      <c r="A375" t="s">
        <v>679</v>
      </c>
      <c r="B375" t="s">
        <v>680</v>
      </c>
      <c r="C375" s="1">
        <v>45307.541666666664</v>
      </c>
      <c r="D375">
        <v>34166.19</v>
      </c>
      <c r="E375" t="s">
        <v>80</v>
      </c>
      <c r="F375" t="s">
        <v>47</v>
      </c>
      <c r="G375" t="s">
        <v>65</v>
      </c>
      <c r="H375" t="s">
        <v>19</v>
      </c>
      <c r="I375" t="s">
        <v>19</v>
      </c>
      <c r="J375" t="s">
        <v>51</v>
      </c>
      <c r="K375">
        <v>0</v>
      </c>
      <c r="L375">
        <v>2</v>
      </c>
      <c r="M375">
        <v>6.42</v>
      </c>
      <c r="N375">
        <v>1</v>
      </c>
      <c r="O375" t="str">
        <f>IF(financial_fraud_data[[#This Row],[Risk_Score]]&gt;8,"High",IF(financial_fraud_data[[#This Row],[Risk_Score]]&gt;5,"Med","Low"))</f>
        <v>Med</v>
      </c>
      <c r="P375" t="str">
        <f>TEXT(financial_fraud_data[[#This Row],[Transaction_Date]],"MMM")</f>
        <v>Jan</v>
      </c>
      <c r="Q375" t="str">
        <f>IF(financial_fraud_data[[#This Row],[Is_Fraud]]=1,"Yes","No")</f>
        <v>Yes</v>
      </c>
    </row>
    <row r="376" spans="1:17" x14ac:dyDescent="0.2">
      <c r="A376" t="s">
        <v>681</v>
      </c>
      <c r="B376" t="s">
        <v>333</v>
      </c>
      <c r="C376" s="1">
        <v>45307.583333333336</v>
      </c>
      <c r="D376">
        <v>3605.87</v>
      </c>
      <c r="E376" t="s">
        <v>80</v>
      </c>
      <c r="F376" t="s">
        <v>17</v>
      </c>
      <c r="G376" t="s">
        <v>65</v>
      </c>
      <c r="H376" t="s">
        <v>23</v>
      </c>
      <c r="I376" t="s">
        <v>36</v>
      </c>
      <c r="J376" t="s">
        <v>20</v>
      </c>
      <c r="K376">
        <v>0</v>
      </c>
      <c r="L376">
        <v>0</v>
      </c>
      <c r="M376">
        <v>1.36</v>
      </c>
      <c r="N376">
        <v>0</v>
      </c>
      <c r="O376" t="str">
        <f>IF(financial_fraud_data[[#This Row],[Risk_Score]]&gt;8,"High",IF(financial_fraud_data[[#This Row],[Risk_Score]]&gt;5,"Med","Low"))</f>
        <v>Low</v>
      </c>
      <c r="P376" t="str">
        <f>TEXT(financial_fraud_data[[#This Row],[Transaction_Date]],"MMM")</f>
        <v>Jan</v>
      </c>
      <c r="Q376" t="str">
        <f>IF(financial_fraud_data[[#This Row],[Is_Fraud]]=1,"Yes","No")</f>
        <v>No</v>
      </c>
    </row>
    <row r="377" spans="1:17" x14ac:dyDescent="0.2">
      <c r="A377" t="s">
        <v>682</v>
      </c>
      <c r="B377" t="s">
        <v>683</v>
      </c>
      <c r="C377" s="1">
        <v>45307.625</v>
      </c>
      <c r="D377">
        <v>15982.83</v>
      </c>
      <c r="E377" t="s">
        <v>16</v>
      </c>
      <c r="F377" t="s">
        <v>50</v>
      </c>
      <c r="G377" t="s">
        <v>35</v>
      </c>
      <c r="H377" t="s">
        <v>23</v>
      </c>
      <c r="I377" t="s">
        <v>24</v>
      </c>
      <c r="J377" t="s">
        <v>37</v>
      </c>
      <c r="K377">
        <v>0</v>
      </c>
      <c r="L377">
        <v>3</v>
      </c>
      <c r="M377">
        <v>7.1</v>
      </c>
      <c r="N377">
        <v>1</v>
      </c>
      <c r="O377" t="str">
        <f>IF(financial_fraud_data[[#This Row],[Risk_Score]]&gt;8,"High",IF(financial_fraud_data[[#This Row],[Risk_Score]]&gt;5,"Med","Low"))</f>
        <v>Med</v>
      </c>
      <c r="P377" t="str">
        <f>TEXT(financial_fraud_data[[#This Row],[Transaction_Date]],"MMM")</f>
        <v>Jan</v>
      </c>
      <c r="Q377" t="str">
        <f>IF(financial_fraud_data[[#This Row],[Is_Fraud]]=1,"Yes","No")</f>
        <v>Yes</v>
      </c>
    </row>
    <row r="378" spans="1:17" x14ac:dyDescent="0.2">
      <c r="A378" t="s">
        <v>684</v>
      </c>
      <c r="B378" t="s">
        <v>439</v>
      </c>
      <c r="C378" s="1">
        <v>45307.666666666664</v>
      </c>
      <c r="D378">
        <v>42251.519999999997</v>
      </c>
      <c r="E378" t="s">
        <v>42</v>
      </c>
      <c r="F378" t="s">
        <v>47</v>
      </c>
      <c r="G378" t="s">
        <v>56</v>
      </c>
      <c r="H378" t="s">
        <v>23</v>
      </c>
      <c r="I378" t="s">
        <v>29</v>
      </c>
      <c r="J378" t="s">
        <v>51</v>
      </c>
      <c r="K378">
        <v>0</v>
      </c>
      <c r="L378">
        <v>3</v>
      </c>
      <c r="M378">
        <v>9.73</v>
      </c>
      <c r="N378">
        <v>1</v>
      </c>
      <c r="O378" t="str">
        <f>IF(financial_fraud_data[[#This Row],[Risk_Score]]&gt;8,"High",IF(financial_fraud_data[[#This Row],[Risk_Score]]&gt;5,"Med","Low"))</f>
        <v>High</v>
      </c>
      <c r="P378" t="str">
        <f>TEXT(financial_fraud_data[[#This Row],[Transaction_Date]],"MMM")</f>
        <v>Jan</v>
      </c>
      <c r="Q378" t="str">
        <f>IF(financial_fraud_data[[#This Row],[Is_Fraud]]=1,"Yes","No")</f>
        <v>Yes</v>
      </c>
    </row>
    <row r="379" spans="1:17" x14ac:dyDescent="0.2">
      <c r="A379" t="s">
        <v>685</v>
      </c>
      <c r="B379" t="s">
        <v>686</v>
      </c>
      <c r="C379" s="1">
        <v>45307.708333333336</v>
      </c>
      <c r="D379">
        <v>1212.43</v>
      </c>
      <c r="E379" t="s">
        <v>16</v>
      </c>
      <c r="F379" t="s">
        <v>17</v>
      </c>
      <c r="G379" t="s">
        <v>65</v>
      </c>
      <c r="H379" t="s">
        <v>23</v>
      </c>
      <c r="I379" t="s">
        <v>36</v>
      </c>
      <c r="J379" t="s">
        <v>51</v>
      </c>
      <c r="K379">
        <v>0</v>
      </c>
      <c r="L379">
        <v>3</v>
      </c>
      <c r="M379">
        <v>5.62</v>
      </c>
      <c r="N379">
        <v>1</v>
      </c>
      <c r="O379" t="str">
        <f>IF(financial_fraud_data[[#This Row],[Risk_Score]]&gt;8,"High",IF(financial_fraud_data[[#This Row],[Risk_Score]]&gt;5,"Med","Low"))</f>
        <v>Med</v>
      </c>
      <c r="P379" t="str">
        <f>TEXT(financial_fraud_data[[#This Row],[Transaction_Date]],"MMM")</f>
        <v>Jan</v>
      </c>
      <c r="Q379" t="str">
        <f>IF(financial_fraud_data[[#This Row],[Is_Fraud]]=1,"Yes","No")</f>
        <v>Yes</v>
      </c>
    </row>
    <row r="380" spans="1:17" x14ac:dyDescent="0.2">
      <c r="A380" t="s">
        <v>687</v>
      </c>
      <c r="B380" t="s">
        <v>688</v>
      </c>
      <c r="C380" s="1">
        <v>45307.75</v>
      </c>
      <c r="D380">
        <v>40732.699999999997</v>
      </c>
      <c r="E380" t="s">
        <v>16</v>
      </c>
      <c r="F380" t="s">
        <v>17</v>
      </c>
      <c r="G380" t="s">
        <v>28</v>
      </c>
      <c r="H380" t="s">
        <v>24</v>
      </c>
      <c r="I380" t="s">
        <v>36</v>
      </c>
      <c r="J380" t="s">
        <v>20</v>
      </c>
      <c r="K380">
        <v>0</v>
      </c>
      <c r="L380">
        <v>4</v>
      </c>
      <c r="M380">
        <v>11.07</v>
      </c>
      <c r="N380">
        <v>1</v>
      </c>
      <c r="O380" t="str">
        <f>IF(financial_fraud_data[[#This Row],[Risk_Score]]&gt;8,"High",IF(financial_fraud_data[[#This Row],[Risk_Score]]&gt;5,"Med","Low"))</f>
        <v>High</v>
      </c>
      <c r="P380" t="str">
        <f>TEXT(financial_fraud_data[[#This Row],[Transaction_Date]],"MMM")</f>
        <v>Jan</v>
      </c>
      <c r="Q380" t="str">
        <f>IF(financial_fraud_data[[#This Row],[Is_Fraud]]=1,"Yes","No")</f>
        <v>Yes</v>
      </c>
    </row>
    <row r="381" spans="1:17" x14ac:dyDescent="0.2">
      <c r="A381" t="s">
        <v>689</v>
      </c>
      <c r="B381" t="s">
        <v>690</v>
      </c>
      <c r="C381" s="1">
        <v>45307.791666666664</v>
      </c>
      <c r="D381">
        <v>14128.65</v>
      </c>
      <c r="E381" t="s">
        <v>80</v>
      </c>
      <c r="F381" t="s">
        <v>27</v>
      </c>
      <c r="G381" t="s">
        <v>35</v>
      </c>
      <c r="H381" t="s">
        <v>19</v>
      </c>
      <c r="I381" t="s">
        <v>23</v>
      </c>
      <c r="J381" t="s">
        <v>51</v>
      </c>
      <c r="K381">
        <v>1</v>
      </c>
      <c r="L381">
        <v>0</v>
      </c>
      <c r="M381">
        <v>4.41</v>
      </c>
      <c r="N381">
        <v>0</v>
      </c>
      <c r="O381" t="str">
        <f>IF(financial_fraud_data[[#This Row],[Risk_Score]]&gt;8,"High",IF(financial_fraud_data[[#This Row],[Risk_Score]]&gt;5,"Med","Low"))</f>
        <v>Low</v>
      </c>
      <c r="P381" t="str">
        <f>TEXT(financial_fraud_data[[#This Row],[Transaction_Date]],"MMM")</f>
        <v>Jan</v>
      </c>
      <c r="Q381" t="str">
        <f>IF(financial_fraud_data[[#This Row],[Is_Fraud]]=1,"Yes","No")</f>
        <v>No</v>
      </c>
    </row>
    <row r="382" spans="1:17" x14ac:dyDescent="0.2">
      <c r="A382" t="s">
        <v>691</v>
      </c>
      <c r="B382" t="s">
        <v>402</v>
      </c>
      <c r="C382" s="1">
        <v>45307.833333333336</v>
      </c>
      <c r="D382">
        <v>5952.33</v>
      </c>
      <c r="E382" t="s">
        <v>42</v>
      </c>
      <c r="F382" t="s">
        <v>47</v>
      </c>
      <c r="G382" t="s">
        <v>18</v>
      </c>
      <c r="H382" t="s">
        <v>36</v>
      </c>
      <c r="I382" t="s">
        <v>29</v>
      </c>
      <c r="J382" t="s">
        <v>37</v>
      </c>
      <c r="K382">
        <v>0</v>
      </c>
      <c r="L382">
        <v>1</v>
      </c>
      <c r="M382">
        <v>3.1</v>
      </c>
      <c r="N382">
        <v>0</v>
      </c>
      <c r="O382" t="str">
        <f>IF(financial_fraud_data[[#This Row],[Risk_Score]]&gt;8,"High",IF(financial_fraud_data[[#This Row],[Risk_Score]]&gt;5,"Med","Low"))</f>
        <v>Low</v>
      </c>
      <c r="P382" t="str">
        <f>TEXT(financial_fraud_data[[#This Row],[Transaction_Date]],"MMM")</f>
        <v>Jan</v>
      </c>
      <c r="Q382" t="str">
        <f>IF(financial_fraud_data[[#This Row],[Is_Fraud]]=1,"Yes","No")</f>
        <v>No</v>
      </c>
    </row>
    <row r="383" spans="1:17" x14ac:dyDescent="0.2">
      <c r="A383" t="s">
        <v>692</v>
      </c>
      <c r="B383" t="s">
        <v>160</v>
      </c>
      <c r="C383" s="1">
        <v>45307.875</v>
      </c>
      <c r="D383">
        <v>34852.019999999997</v>
      </c>
      <c r="E383" t="s">
        <v>34</v>
      </c>
      <c r="F383" t="s">
        <v>50</v>
      </c>
      <c r="G383" t="s">
        <v>18</v>
      </c>
      <c r="H383" t="s">
        <v>29</v>
      </c>
      <c r="I383" t="s">
        <v>19</v>
      </c>
      <c r="J383" t="s">
        <v>37</v>
      </c>
      <c r="K383">
        <v>0</v>
      </c>
      <c r="L383">
        <v>2</v>
      </c>
      <c r="M383">
        <v>7.49</v>
      </c>
      <c r="N383">
        <v>1</v>
      </c>
      <c r="O383" t="str">
        <f>IF(financial_fraud_data[[#This Row],[Risk_Score]]&gt;8,"High",IF(financial_fraud_data[[#This Row],[Risk_Score]]&gt;5,"Med","Low"))</f>
        <v>Med</v>
      </c>
      <c r="P383" t="str">
        <f>TEXT(financial_fraud_data[[#This Row],[Transaction_Date]],"MMM")</f>
        <v>Jan</v>
      </c>
      <c r="Q383" t="str">
        <f>IF(financial_fraud_data[[#This Row],[Is_Fraud]]=1,"Yes","No")</f>
        <v>Yes</v>
      </c>
    </row>
    <row r="384" spans="1:17" x14ac:dyDescent="0.2">
      <c r="A384" t="s">
        <v>693</v>
      </c>
      <c r="B384" t="s">
        <v>380</v>
      </c>
      <c r="C384" s="1">
        <v>45307.916666666664</v>
      </c>
      <c r="D384">
        <v>31465.7</v>
      </c>
      <c r="E384" t="s">
        <v>80</v>
      </c>
      <c r="F384" t="s">
        <v>50</v>
      </c>
      <c r="G384" t="s">
        <v>28</v>
      </c>
      <c r="H384" t="s">
        <v>23</v>
      </c>
      <c r="I384" t="s">
        <v>36</v>
      </c>
      <c r="J384" t="s">
        <v>51</v>
      </c>
      <c r="K384">
        <v>0</v>
      </c>
      <c r="L384">
        <v>4</v>
      </c>
      <c r="M384">
        <v>10.15</v>
      </c>
      <c r="N384">
        <v>1</v>
      </c>
      <c r="O384" t="str">
        <f>IF(financial_fraud_data[[#This Row],[Risk_Score]]&gt;8,"High",IF(financial_fraud_data[[#This Row],[Risk_Score]]&gt;5,"Med","Low"))</f>
        <v>High</v>
      </c>
      <c r="P384" t="str">
        <f>TEXT(financial_fraud_data[[#This Row],[Transaction_Date]],"MMM")</f>
        <v>Jan</v>
      </c>
      <c r="Q384" t="str">
        <f>IF(financial_fraud_data[[#This Row],[Is_Fraud]]=1,"Yes","No")</f>
        <v>Yes</v>
      </c>
    </row>
    <row r="385" spans="1:17" x14ac:dyDescent="0.2">
      <c r="A385" t="s">
        <v>694</v>
      </c>
      <c r="B385" t="s">
        <v>415</v>
      </c>
      <c r="C385" s="1">
        <v>45307.958333333336</v>
      </c>
      <c r="D385">
        <v>43879.73</v>
      </c>
      <c r="E385" t="s">
        <v>34</v>
      </c>
      <c r="F385" t="s">
        <v>50</v>
      </c>
      <c r="G385" t="s">
        <v>56</v>
      </c>
      <c r="H385" t="s">
        <v>19</v>
      </c>
      <c r="I385" t="s">
        <v>36</v>
      </c>
      <c r="J385" t="s">
        <v>37</v>
      </c>
      <c r="K385">
        <v>0</v>
      </c>
      <c r="L385">
        <v>2</v>
      </c>
      <c r="M385">
        <v>8.39</v>
      </c>
      <c r="N385">
        <v>1</v>
      </c>
      <c r="O385" t="str">
        <f>IF(financial_fraud_data[[#This Row],[Risk_Score]]&gt;8,"High",IF(financial_fraud_data[[#This Row],[Risk_Score]]&gt;5,"Med","Low"))</f>
        <v>High</v>
      </c>
      <c r="P385" t="str">
        <f>TEXT(financial_fraud_data[[#This Row],[Transaction_Date]],"MMM")</f>
        <v>Jan</v>
      </c>
      <c r="Q385" t="str">
        <f>IF(financial_fraud_data[[#This Row],[Is_Fraud]]=1,"Yes","No")</f>
        <v>Yes</v>
      </c>
    </row>
    <row r="386" spans="1:17" x14ac:dyDescent="0.2">
      <c r="A386" t="s">
        <v>695</v>
      </c>
      <c r="B386" t="s">
        <v>115</v>
      </c>
      <c r="C386" s="1">
        <v>45308</v>
      </c>
      <c r="D386">
        <v>36766.800000000003</v>
      </c>
      <c r="E386" t="s">
        <v>34</v>
      </c>
      <c r="F386" t="s">
        <v>47</v>
      </c>
      <c r="G386" t="s">
        <v>65</v>
      </c>
      <c r="H386" t="s">
        <v>23</v>
      </c>
      <c r="I386" t="s">
        <v>24</v>
      </c>
      <c r="J386" t="s">
        <v>51</v>
      </c>
      <c r="K386">
        <v>1</v>
      </c>
      <c r="L386">
        <v>1</v>
      </c>
      <c r="M386">
        <v>8.18</v>
      </c>
      <c r="N386">
        <v>1</v>
      </c>
      <c r="O386" t="str">
        <f>IF(financial_fraud_data[[#This Row],[Risk_Score]]&gt;8,"High",IF(financial_fraud_data[[#This Row],[Risk_Score]]&gt;5,"Med","Low"))</f>
        <v>High</v>
      </c>
      <c r="P386" t="str">
        <f>TEXT(financial_fraud_data[[#This Row],[Transaction_Date]],"MMM")</f>
        <v>Jan</v>
      </c>
      <c r="Q386" t="str">
        <f>IF(financial_fraud_data[[#This Row],[Is_Fraud]]=1,"Yes","No")</f>
        <v>Yes</v>
      </c>
    </row>
    <row r="387" spans="1:17" x14ac:dyDescent="0.2">
      <c r="A387" t="s">
        <v>696</v>
      </c>
      <c r="B387" t="s">
        <v>697</v>
      </c>
      <c r="C387" s="1">
        <v>45308.041666666664</v>
      </c>
      <c r="D387">
        <v>40183.870000000003</v>
      </c>
      <c r="E387" t="s">
        <v>42</v>
      </c>
      <c r="F387" t="s">
        <v>50</v>
      </c>
      <c r="G387" t="s">
        <v>35</v>
      </c>
      <c r="H387" t="s">
        <v>23</v>
      </c>
      <c r="I387" t="s">
        <v>23</v>
      </c>
      <c r="J387" t="s">
        <v>37</v>
      </c>
      <c r="K387">
        <v>0</v>
      </c>
      <c r="L387">
        <v>3</v>
      </c>
      <c r="M387">
        <v>8.52</v>
      </c>
      <c r="N387">
        <v>1</v>
      </c>
      <c r="O387" t="str">
        <f>IF(financial_fraud_data[[#This Row],[Risk_Score]]&gt;8,"High",IF(financial_fraud_data[[#This Row],[Risk_Score]]&gt;5,"Med","Low"))</f>
        <v>High</v>
      </c>
      <c r="P387" t="str">
        <f>TEXT(financial_fraud_data[[#This Row],[Transaction_Date]],"MMM")</f>
        <v>Jan</v>
      </c>
      <c r="Q387" t="str">
        <f>IF(financial_fraud_data[[#This Row],[Is_Fraud]]=1,"Yes","No")</f>
        <v>Yes</v>
      </c>
    </row>
    <row r="388" spans="1:17" x14ac:dyDescent="0.2">
      <c r="A388" t="s">
        <v>698</v>
      </c>
      <c r="B388" t="s">
        <v>699</v>
      </c>
      <c r="C388" s="1">
        <v>45308.083333333336</v>
      </c>
      <c r="D388">
        <v>14137.63</v>
      </c>
      <c r="E388" t="s">
        <v>16</v>
      </c>
      <c r="F388" t="s">
        <v>50</v>
      </c>
      <c r="G388" t="s">
        <v>65</v>
      </c>
      <c r="H388" t="s">
        <v>23</v>
      </c>
      <c r="I388" t="s">
        <v>36</v>
      </c>
      <c r="J388" t="s">
        <v>51</v>
      </c>
      <c r="K388">
        <v>1</v>
      </c>
      <c r="L388">
        <v>1</v>
      </c>
      <c r="M388">
        <v>5.91</v>
      </c>
      <c r="N388">
        <v>1</v>
      </c>
      <c r="O388" t="str">
        <f>IF(financial_fraud_data[[#This Row],[Risk_Score]]&gt;8,"High",IF(financial_fraud_data[[#This Row],[Risk_Score]]&gt;5,"Med","Low"))</f>
        <v>Med</v>
      </c>
      <c r="P388" t="str">
        <f>TEXT(financial_fraud_data[[#This Row],[Transaction_Date]],"MMM")</f>
        <v>Jan</v>
      </c>
      <c r="Q388" t="str">
        <f>IF(financial_fraud_data[[#This Row],[Is_Fraud]]=1,"Yes","No")</f>
        <v>Yes</v>
      </c>
    </row>
    <row r="389" spans="1:17" x14ac:dyDescent="0.2">
      <c r="A389" t="s">
        <v>700</v>
      </c>
      <c r="B389" t="s">
        <v>249</v>
      </c>
      <c r="C389" s="1">
        <v>45308.125</v>
      </c>
      <c r="D389">
        <v>8913.11</v>
      </c>
      <c r="E389" t="s">
        <v>42</v>
      </c>
      <c r="F389" t="s">
        <v>50</v>
      </c>
      <c r="G389" t="s">
        <v>35</v>
      </c>
      <c r="H389" t="s">
        <v>23</v>
      </c>
      <c r="I389" t="s">
        <v>36</v>
      </c>
      <c r="J389" t="s">
        <v>51</v>
      </c>
      <c r="K389">
        <v>1</v>
      </c>
      <c r="L389">
        <v>2</v>
      </c>
      <c r="M389">
        <v>6.89</v>
      </c>
      <c r="N389">
        <v>1</v>
      </c>
      <c r="O389" t="str">
        <f>IF(financial_fraud_data[[#This Row],[Risk_Score]]&gt;8,"High",IF(financial_fraud_data[[#This Row],[Risk_Score]]&gt;5,"Med","Low"))</f>
        <v>Med</v>
      </c>
      <c r="P389" t="str">
        <f>TEXT(financial_fraud_data[[#This Row],[Transaction_Date]],"MMM")</f>
        <v>Jan</v>
      </c>
      <c r="Q389" t="str">
        <f>IF(financial_fraud_data[[#This Row],[Is_Fraud]]=1,"Yes","No")</f>
        <v>Yes</v>
      </c>
    </row>
    <row r="390" spans="1:17" x14ac:dyDescent="0.2">
      <c r="A390" t="s">
        <v>701</v>
      </c>
      <c r="B390" t="s">
        <v>189</v>
      </c>
      <c r="C390" s="1">
        <v>45308.166666666664</v>
      </c>
      <c r="D390">
        <v>37543.21</v>
      </c>
      <c r="E390" t="s">
        <v>34</v>
      </c>
      <c r="F390" t="s">
        <v>27</v>
      </c>
      <c r="G390" t="s">
        <v>18</v>
      </c>
      <c r="H390" t="s">
        <v>23</v>
      </c>
      <c r="I390" t="s">
        <v>19</v>
      </c>
      <c r="J390" t="s">
        <v>51</v>
      </c>
      <c r="K390">
        <v>0</v>
      </c>
      <c r="L390">
        <v>1</v>
      </c>
      <c r="M390">
        <v>6.25</v>
      </c>
      <c r="N390">
        <v>1</v>
      </c>
      <c r="O390" t="str">
        <f>IF(financial_fraud_data[[#This Row],[Risk_Score]]&gt;8,"High",IF(financial_fraud_data[[#This Row],[Risk_Score]]&gt;5,"Med","Low"))</f>
        <v>Med</v>
      </c>
      <c r="P390" t="str">
        <f>TEXT(financial_fraud_data[[#This Row],[Transaction_Date]],"MMM")</f>
        <v>Jan</v>
      </c>
      <c r="Q390" t="str">
        <f>IF(financial_fraud_data[[#This Row],[Is_Fraud]]=1,"Yes","No")</f>
        <v>Yes</v>
      </c>
    </row>
    <row r="391" spans="1:17" x14ac:dyDescent="0.2">
      <c r="A391" t="s">
        <v>702</v>
      </c>
      <c r="B391" t="s">
        <v>703</v>
      </c>
      <c r="C391" s="1">
        <v>45308.208333333336</v>
      </c>
      <c r="D391">
        <v>40351.4</v>
      </c>
      <c r="E391" t="s">
        <v>80</v>
      </c>
      <c r="F391" t="s">
        <v>27</v>
      </c>
      <c r="G391" t="s">
        <v>65</v>
      </c>
      <c r="H391" t="s">
        <v>29</v>
      </c>
      <c r="I391" t="s">
        <v>19</v>
      </c>
      <c r="J391" t="s">
        <v>37</v>
      </c>
      <c r="K391">
        <v>0</v>
      </c>
      <c r="L391">
        <v>0</v>
      </c>
      <c r="M391">
        <v>5.04</v>
      </c>
      <c r="N391">
        <v>1</v>
      </c>
      <c r="O391" t="str">
        <f>IF(financial_fraud_data[[#This Row],[Risk_Score]]&gt;8,"High",IF(financial_fraud_data[[#This Row],[Risk_Score]]&gt;5,"Med","Low"))</f>
        <v>Med</v>
      </c>
      <c r="P391" t="str">
        <f>TEXT(financial_fraud_data[[#This Row],[Transaction_Date]],"MMM")</f>
        <v>Jan</v>
      </c>
      <c r="Q391" t="str">
        <f>IF(financial_fraud_data[[#This Row],[Is_Fraud]]=1,"Yes","No")</f>
        <v>Yes</v>
      </c>
    </row>
    <row r="392" spans="1:17" x14ac:dyDescent="0.2">
      <c r="A392" t="s">
        <v>704</v>
      </c>
      <c r="B392" t="s">
        <v>705</v>
      </c>
      <c r="C392" s="1">
        <v>45308.25</v>
      </c>
      <c r="D392">
        <v>49525.73</v>
      </c>
      <c r="E392" t="s">
        <v>34</v>
      </c>
      <c r="F392" t="s">
        <v>47</v>
      </c>
      <c r="G392" t="s">
        <v>28</v>
      </c>
      <c r="H392" t="s">
        <v>19</v>
      </c>
      <c r="I392" t="s">
        <v>24</v>
      </c>
      <c r="J392" t="s">
        <v>51</v>
      </c>
      <c r="K392">
        <v>0</v>
      </c>
      <c r="L392">
        <v>1</v>
      </c>
      <c r="M392">
        <v>7.45</v>
      </c>
      <c r="N392">
        <v>1</v>
      </c>
      <c r="O392" t="str">
        <f>IF(financial_fraud_data[[#This Row],[Risk_Score]]&gt;8,"High",IF(financial_fraud_data[[#This Row],[Risk_Score]]&gt;5,"Med","Low"))</f>
        <v>Med</v>
      </c>
      <c r="P392" t="str">
        <f>TEXT(financial_fraud_data[[#This Row],[Transaction_Date]],"MMM")</f>
        <v>Jan</v>
      </c>
      <c r="Q392" t="str">
        <f>IF(financial_fraud_data[[#This Row],[Is_Fraud]]=1,"Yes","No")</f>
        <v>Yes</v>
      </c>
    </row>
    <row r="393" spans="1:17" x14ac:dyDescent="0.2">
      <c r="A393" t="s">
        <v>706</v>
      </c>
      <c r="B393" t="s">
        <v>84</v>
      </c>
      <c r="C393" s="1">
        <v>45308.291666666664</v>
      </c>
      <c r="D393">
        <v>20660.25</v>
      </c>
      <c r="E393" t="s">
        <v>80</v>
      </c>
      <c r="F393" t="s">
        <v>47</v>
      </c>
      <c r="G393" t="s">
        <v>56</v>
      </c>
      <c r="H393" t="s">
        <v>23</v>
      </c>
      <c r="I393" t="s">
        <v>24</v>
      </c>
      <c r="J393" t="s">
        <v>51</v>
      </c>
      <c r="K393">
        <v>0</v>
      </c>
      <c r="L393">
        <v>0</v>
      </c>
      <c r="M393">
        <v>3.07</v>
      </c>
      <c r="N393">
        <v>0</v>
      </c>
      <c r="O393" t="str">
        <f>IF(financial_fraud_data[[#This Row],[Risk_Score]]&gt;8,"High",IF(financial_fraud_data[[#This Row],[Risk_Score]]&gt;5,"Med","Low"))</f>
        <v>Low</v>
      </c>
      <c r="P393" t="str">
        <f>TEXT(financial_fraud_data[[#This Row],[Transaction_Date]],"MMM")</f>
        <v>Jan</v>
      </c>
      <c r="Q393" t="str">
        <f>IF(financial_fraud_data[[#This Row],[Is_Fraud]]=1,"Yes","No")</f>
        <v>No</v>
      </c>
    </row>
    <row r="394" spans="1:17" x14ac:dyDescent="0.2">
      <c r="A394" t="s">
        <v>707</v>
      </c>
      <c r="B394" t="s">
        <v>708</v>
      </c>
      <c r="C394" s="1">
        <v>45308.333333333336</v>
      </c>
      <c r="D394">
        <v>18632.3</v>
      </c>
      <c r="E394" t="s">
        <v>80</v>
      </c>
      <c r="F394" t="s">
        <v>50</v>
      </c>
      <c r="G394" t="s">
        <v>28</v>
      </c>
      <c r="H394" t="s">
        <v>23</v>
      </c>
      <c r="I394" t="s">
        <v>24</v>
      </c>
      <c r="J394" t="s">
        <v>20</v>
      </c>
      <c r="K394">
        <v>0</v>
      </c>
      <c r="L394">
        <v>1</v>
      </c>
      <c r="M394">
        <v>4.3600000000000003</v>
      </c>
      <c r="N394">
        <v>0</v>
      </c>
      <c r="O394" t="str">
        <f>IF(financial_fraud_data[[#This Row],[Risk_Score]]&gt;8,"High",IF(financial_fraud_data[[#This Row],[Risk_Score]]&gt;5,"Med","Low"))</f>
        <v>Low</v>
      </c>
      <c r="P394" t="str">
        <f>TEXT(financial_fraud_data[[#This Row],[Transaction_Date]],"MMM")</f>
        <v>Jan</v>
      </c>
      <c r="Q394" t="str">
        <f>IF(financial_fraud_data[[#This Row],[Is_Fraud]]=1,"Yes","No")</f>
        <v>No</v>
      </c>
    </row>
    <row r="395" spans="1:17" x14ac:dyDescent="0.2">
      <c r="A395" t="s">
        <v>709</v>
      </c>
      <c r="B395" t="s">
        <v>106</v>
      </c>
      <c r="C395" s="1">
        <v>45308.375</v>
      </c>
      <c r="D395">
        <v>38831.83</v>
      </c>
      <c r="E395" t="s">
        <v>42</v>
      </c>
      <c r="F395" t="s">
        <v>27</v>
      </c>
      <c r="G395" t="s">
        <v>56</v>
      </c>
      <c r="H395" t="s">
        <v>23</v>
      </c>
      <c r="I395" t="s">
        <v>19</v>
      </c>
      <c r="J395" t="s">
        <v>20</v>
      </c>
      <c r="K395">
        <v>0</v>
      </c>
      <c r="L395">
        <v>0</v>
      </c>
      <c r="M395">
        <v>4.88</v>
      </c>
      <c r="N395">
        <v>0</v>
      </c>
      <c r="O395" t="str">
        <f>IF(financial_fraud_data[[#This Row],[Risk_Score]]&gt;8,"High",IF(financial_fraud_data[[#This Row],[Risk_Score]]&gt;5,"Med","Low"))</f>
        <v>Low</v>
      </c>
      <c r="P395" t="str">
        <f>TEXT(financial_fraud_data[[#This Row],[Transaction_Date]],"MMM")</f>
        <v>Jan</v>
      </c>
      <c r="Q395" t="str">
        <f>IF(financial_fraud_data[[#This Row],[Is_Fraud]]=1,"Yes","No")</f>
        <v>No</v>
      </c>
    </row>
    <row r="396" spans="1:17" x14ac:dyDescent="0.2">
      <c r="A396" t="s">
        <v>710</v>
      </c>
      <c r="B396" t="s">
        <v>711</v>
      </c>
      <c r="C396" s="1">
        <v>45308.416666666664</v>
      </c>
      <c r="D396">
        <v>17073.14</v>
      </c>
      <c r="E396" t="s">
        <v>34</v>
      </c>
      <c r="F396" t="s">
        <v>17</v>
      </c>
      <c r="G396" t="s">
        <v>65</v>
      </c>
      <c r="H396" t="s">
        <v>23</v>
      </c>
      <c r="I396" t="s">
        <v>19</v>
      </c>
      <c r="J396" t="s">
        <v>51</v>
      </c>
      <c r="K396">
        <v>0</v>
      </c>
      <c r="L396">
        <v>0</v>
      </c>
      <c r="M396">
        <v>2.71</v>
      </c>
      <c r="N396">
        <v>0</v>
      </c>
      <c r="O396" t="str">
        <f>IF(financial_fraud_data[[#This Row],[Risk_Score]]&gt;8,"High",IF(financial_fraud_data[[#This Row],[Risk_Score]]&gt;5,"Med","Low"))</f>
        <v>Low</v>
      </c>
      <c r="P396" t="str">
        <f>TEXT(financial_fraud_data[[#This Row],[Transaction_Date]],"MMM")</f>
        <v>Jan</v>
      </c>
      <c r="Q396" t="str">
        <f>IF(financial_fraud_data[[#This Row],[Is_Fraud]]=1,"Yes","No")</f>
        <v>No</v>
      </c>
    </row>
    <row r="397" spans="1:17" x14ac:dyDescent="0.2">
      <c r="A397" t="s">
        <v>712</v>
      </c>
      <c r="B397" t="s">
        <v>510</v>
      </c>
      <c r="C397" s="1">
        <v>45308.458333333336</v>
      </c>
      <c r="D397">
        <v>46541.33</v>
      </c>
      <c r="E397" t="s">
        <v>16</v>
      </c>
      <c r="F397" t="s">
        <v>17</v>
      </c>
      <c r="G397" t="s">
        <v>65</v>
      </c>
      <c r="H397" t="s">
        <v>24</v>
      </c>
      <c r="I397" t="s">
        <v>23</v>
      </c>
      <c r="J397" t="s">
        <v>20</v>
      </c>
      <c r="K397">
        <v>0</v>
      </c>
      <c r="L397">
        <v>1</v>
      </c>
      <c r="M397">
        <v>7.15</v>
      </c>
      <c r="N397">
        <v>1</v>
      </c>
      <c r="O397" t="str">
        <f>IF(financial_fraud_data[[#This Row],[Risk_Score]]&gt;8,"High",IF(financial_fraud_data[[#This Row],[Risk_Score]]&gt;5,"Med","Low"))</f>
        <v>Med</v>
      </c>
      <c r="P397" t="str">
        <f>TEXT(financial_fraud_data[[#This Row],[Transaction_Date]],"MMM")</f>
        <v>Jan</v>
      </c>
      <c r="Q397" t="str">
        <f>IF(financial_fraud_data[[#This Row],[Is_Fraud]]=1,"Yes","No")</f>
        <v>Yes</v>
      </c>
    </row>
    <row r="398" spans="1:17" x14ac:dyDescent="0.2">
      <c r="A398" t="s">
        <v>713</v>
      </c>
      <c r="B398" t="s">
        <v>508</v>
      </c>
      <c r="C398" s="1">
        <v>45308.5</v>
      </c>
      <c r="D398">
        <v>42927.72</v>
      </c>
      <c r="E398" t="s">
        <v>34</v>
      </c>
      <c r="F398" t="s">
        <v>50</v>
      </c>
      <c r="G398" t="s">
        <v>56</v>
      </c>
      <c r="H398" t="s">
        <v>24</v>
      </c>
      <c r="I398" t="s">
        <v>29</v>
      </c>
      <c r="J398" t="s">
        <v>51</v>
      </c>
      <c r="K398">
        <v>0</v>
      </c>
      <c r="L398">
        <v>4</v>
      </c>
      <c r="M398">
        <v>11.29</v>
      </c>
      <c r="N398">
        <v>1</v>
      </c>
      <c r="O398" t="str">
        <f>IF(financial_fraud_data[[#This Row],[Risk_Score]]&gt;8,"High",IF(financial_fraud_data[[#This Row],[Risk_Score]]&gt;5,"Med","Low"))</f>
        <v>High</v>
      </c>
      <c r="P398" t="str">
        <f>TEXT(financial_fraud_data[[#This Row],[Transaction_Date]],"MMM")</f>
        <v>Jan</v>
      </c>
      <c r="Q398" t="str">
        <f>IF(financial_fraud_data[[#This Row],[Is_Fraud]]=1,"Yes","No")</f>
        <v>Yes</v>
      </c>
    </row>
    <row r="399" spans="1:17" x14ac:dyDescent="0.2">
      <c r="A399" t="s">
        <v>714</v>
      </c>
      <c r="B399" t="s">
        <v>715</v>
      </c>
      <c r="C399" s="1">
        <v>45308.541666666664</v>
      </c>
      <c r="D399">
        <v>21478.25</v>
      </c>
      <c r="E399" t="s">
        <v>34</v>
      </c>
      <c r="F399" t="s">
        <v>50</v>
      </c>
      <c r="G399" t="s">
        <v>18</v>
      </c>
      <c r="H399" t="s">
        <v>36</v>
      </c>
      <c r="I399" t="s">
        <v>29</v>
      </c>
      <c r="J399" t="s">
        <v>20</v>
      </c>
      <c r="K399">
        <v>0</v>
      </c>
      <c r="L399">
        <v>3</v>
      </c>
      <c r="M399">
        <v>7.65</v>
      </c>
      <c r="N399">
        <v>1</v>
      </c>
      <c r="O399" t="str">
        <f>IF(financial_fraud_data[[#This Row],[Risk_Score]]&gt;8,"High",IF(financial_fraud_data[[#This Row],[Risk_Score]]&gt;5,"Med","Low"))</f>
        <v>Med</v>
      </c>
      <c r="P399" t="str">
        <f>TEXT(financial_fraud_data[[#This Row],[Transaction_Date]],"MMM")</f>
        <v>Jan</v>
      </c>
      <c r="Q399" t="str">
        <f>IF(financial_fraud_data[[#This Row],[Is_Fraud]]=1,"Yes","No")</f>
        <v>Yes</v>
      </c>
    </row>
    <row r="400" spans="1:17" x14ac:dyDescent="0.2">
      <c r="A400" t="s">
        <v>716</v>
      </c>
      <c r="B400" t="s">
        <v>717</v>
      </c>
      <c r="C400" s="1">
        <v>45308.583333333336</v>
      </c>
      <c r="D400">
        <v>37556.01</v>
      </c>
      <c r="E400" t="s">
        <v>16</v>
      </c>
      <c r="F400" t="s">
        <v>27</v>
      </c>
      <c r="G400" t="s">
        <v>35</v>
      </c>
      <c r="H400" t="s">
        <v>23</v>
      </c>
      <c r="I400" t="s">
        <v>23</v>
      </c>
      <c r="J400" t="s">
        <v>37</v>
      </c>
      <c r="K400">
        <v>0</v>
      </c>
      <c r="L400">
        <v>3</v>
      </c>
      <c r="M400">
        <v>8.26</v>
      </c>
      <c r="N400">
        <v>1</v>
      </c>
      <c r="O400" t="str">
        <f>IF(financial_fraud_data[[#This Row],[Risk_Score]]&gt;8,"High",IF(financial_fraud_data[[#This Row],[Risk_Score]]&gt;5,"Med","Low"))</f>
        <v>High</v>
      </c>
      <c r="P400" t="str">
        <f>TEXT(financial_fraud_data[[#This Row],[Transaction_Date]],"MMM")</f>
        <v>Jan</v>
      </c>
      <c r="Q400" t="str">
        <f>IF(financial_fraud_data[[#This Row],[Is_Fraud]]=1,"Yes","No")</f>
        <v>Yes</v>
      </c>
    </row>
    <row r="401" spans="1:17" x14ac:dyDescent="0.2">
      <c r="A401" t="s">
        <v>718</v>
      </c>
      <c r="B401" t="s">
        <v>203</v>
      </c>
      <c r="C401" s="1">
        <v>45308.625</v>
      </c>
      <c r="D401">
        <v>37739.42</v>
      </c>
      <c r="E401" t="s">
        <v>42</v>
      </c>
      <c r="F401" t="s">
        <v>27</v>
      </c>
      <c r="G401" t="s">
        <v>28</v>
      </c>
      <c r="H401" t="s">
        <v>36</v>
      </c>
      <c r="I401" t="s">
        <v>29</v>
      </c>
      <c r="J401" t="s">
        <v>37</v>
      </c>
      <c r="K401">
        <v>0</v>
      </c>
      <c r="L401">
        <v>3</v>
      </c>
      <c r="M401">
        <v>9.27</v>
      </c>
      <c r="N401">
        <v>1</v>
      </c>
      <c r="O401" t="str">
        <f>IF(financial_fraud_data[[#This Row],[Risk_Score]]&gt;8,"High",IF(financial_fraud_data[[#This Row],[Risk_Score]]&gt;5,"Med","Low"))</f>
        <v>High</v>
      </c>
      <c r="P401" t="str">
        <f>TEXT(financial_fraud_data[[#This Row],[Transaction_Date]],"MMM")</f>
        <v>Jan</v>
      </c>
      <c r="Q401" t="str">
        <f>IF(financial_fraud_data[[#This Row],[Is_Fraud]]=1,"Yes","No")</f>
        <v>Yes</v>
      </c>
    </row>
    <row r="402" spans="1:17" x14ac:dyDescent="0.2">
      <c r="A402" t="s">
        <v>719</v>
      </c>
      <c r="B402" t="s">
        <v>720</v>
      </c>
      <c r="C402" s="1">
        <v>45308.666666666664</v>
      </c>
      <c r="D402">
        <v>5201.04</v>
      </c>
      <c r="E402" t="s">
        <v>34</v>
      </c>
      <c r="F402" t="s">
        <v>27</v>
      </c>
      <c r="G402" t="s">
        <v>28</v>
      </c>
      <c r="H402" t="s">
        <v>29</v>
      </c>
      <c r="I402" t="s">
        <v>19</v>
      </c>
      <c r="J402" t="s">
        <v>51</v>
      </c>
      <c r="K402">
        <v>0</v>
      </c>
      <c r="L402">
        <v>0</v>
      </c>
      <c r="M402">
        <v>1.52</v>
      </c>
      <c r="N402">
        <v>0</v>
      </c>
      <c r="O402" t="str">
        <f>IF(financial_fraud_data[[#This Row],[Risk_Score]]&gt;8,"High",IF(financial_fraud_data[[#This Row],[Risk_Score]]&gt;5,"Med","Low"))</f>
        <v>Low</v>
      </c>
      <c r="P402" t="str">
        <f>TEXT(financial_fraud_data[[#This Row],[Transaction_Date]],"MMM")</f>
        <v>Jan</v>
      </c>
      <c r="Q402" t="str">
        <f>IF(financial_fraud_data[[#This Row],[Is_Fraud]]=1,"Yes","No")</f>
        <v>No</v>
      </c>
    </row>
    <row r="403" spans="1:17" x14ac:dyDescent="0.2">
      <c r="A403" t="s">
        <v>721</v>
      </c>
      <c r="B403" t="s">
        <v>711</v>
      </c>
      <c r="C403" s="1">
        <v>45308.708333333336</v>
      </c>
      <c r="D403">
        <v>45132.52</v>
      </c>
      <c r="E403" t="s">
        <v>34</v>
      </c>
      <c r="F403" t="s">
        <v>47</v>
      </c>
      <c r="G403" t="s">
        <v>28</v>
      </c>
      <c r="H403" t="s">
        <v>36</v>
      </c>
      <c r="I403" t="s">
        <v>29</v>
      </c>
      <c r="J403" t="s">
        <v>51</v>
      </c>
      <c r="K403">
        <v>0</v>
      </c>
      <c r="L403">
        <v>3</v>
      </c>
      <c r="M403">
        <v>10.01</v>
      </c>
      <c r="N403">
        <v>1</v>
      </c>
      <c r="O403" t="str">
        <f>IF(financial_fraud_data[[#This Row],[Risk_Score]]&gt;8,"High",IF(financial_fraud_data[[#This Row],[Risk_Score]]&gt;5,"Med","Low"))</f>
        <v>High</v>
      </c>
      <c r="P403" t="str">
        <f>TEXT(financial_fraud_data[[#This Row],[Transaction_Date]],"MMM")</f>
        <v>Jan</v>
      </c>
      <c r="Q403" t="str">
        <f>IF(financial_fraud_data[[#This Row],[Is_Fraud]]=1,"Yes","No")</f>
        <v>Yes</v>
      </c>
    </row>
    <row r="404" spans="1:17" x14ac:dyDescent="0.2">
      <c r="A404" t="s">
        <v>722</v>
      </c>
      <c r="B404" t="s">
        <v>349</v>
      </c>
      <c r="C404" s="1">
        <v>45308.75</v>
      </c>
      <c r="D404">
        <v>25287.360000000001</v>
      </c>
      <c r="E404" t="s">
        <v>80</v>
      </c>
      <c r="F404" t="s">
        <v>47</v>
      </c>
      <c r="G404" t="s">
        <v>65</v>
      </c>
      <c r="H404" t="s">
        <v>19</v>
      </c>
      <c r="I404" t="s">
        <v>19</v>
      </c>
      <c r="J404" t="s">
        <v>37</v>
      </c>
      <c r="K404">
        <v>0</v>
      </c>
      <c r="L404">
        <v>0</v>
      </c>
      <c r="M404">
        <v>2.5299999999999998</v>
      </c>
      <c r="N404">
        <v>0</v>
      </c>
      <c r="O404" t="str">
        <f>IF(financial_fraud_data[[#This Row],[Risk_Score]]&gt;8,"High",IF(financial_fraud_data[[#This Row],[Risk_Score]]&gt;5,"Med","Low"))</f>
        <v>Low</v>
      </c>
      <c r="P404" t="str">
        <f>TEXT(financial_fraud_data[[#This Row],[Transaction_Date]],"MMM")</f>
        <v>Jan</v>
      </c>
      <c r="Q404" t="str">
        <f>IF(financial_fraud_data[[#This Row],[Is_Fraud]]=1,"Yes","No")</f>
        <v>No</v>
      </c>
    </row>
    <row r="405" spans="1:17" x14ac:dyDescent="0.2">
      <c r="A405" t="s">
        <v>723</v>
      </c>
      <c r="B405" t="s">
        <v>724</v>
      </c>
      <c r="C405" s="1">
        <v>45308.791666666664</v>
      </c>
      <c r="D405">
        <v>41331.550000000003</v>
      </c>
      <c r="E405" t="s">
        <v>34</v>
      </c>
      <c r="F405" t="s">
        <v>50</v>
      </c>
      <c r="G405" t="s">
        <v>28</v>
      </c>
      <c r="H405" t="s">
        <v>24</v>
      </c>
      <c r="I405" t="s">
        <v>23</v>
      </c>
      <c r="J405" t="s">
        <v>37</v>
      </c>
      <c r="K405">
        <v>0</v>
      </c>
      <c r="L405">
        <v>4</v>
      </c>
      <c r="M405">
        <v>11.13</v>
      </c>
      <c r="N405">
        <v>1</v>
      </c>
      <c r="O405" t="str">
        <f>IF(financial_fraud_data[[#This Row],[Risk_Score]]&gt;8,"High",IF(financial_fraud_data[[#This Row],[Risk_Score]]&gt;5,"Med","Low"))</f>
        <v>High</v>
      </c>
      <c r="P405" t="str">
        <f>TEXT(financial_fraud_data[[#This Row],[Transaction_Date]],"MMM")</f>
        <v>Jan</v>
      </c>
      <c r="Q405" t="str">
        <f>IF(financial_fraud_data[[#This Row],[Is_Fraud]]=1,"Yes","No")</f>
        <v>Yes</v>
      </c>
    </row>
    <row r="406" spans="1:17" x14ac:dyDescent="0.2">
      <c r="A406" t="s">
        <v>725</v>
      </c>
      <c r="B406" t="s">
        <v>608</v>
      </c>
      <c r="C406" s="1">
        <v>45308.833333333336</v>
      </c>
      <c r="D406">
        <v>16036.48</v>
      </c>
      <c r="E406" t="s">
        <v>16</v>
      </c>
      <c r="F406" t="s">
        <v>47</v>
      </c>
      <c r="G406" t="s">
        <v>35</v>
      </c>
      <c r="H406" t="s">
        <v>24</v>
      </c>
      <c r="I406" t="s">
        <v>24</v>
      </c>
      <c r="J406" t="s">
        <v>20</v>
      </c>
      <c r="K406">
        <v>0</v>
      </c>
      <c r="L406">
        <v>1</v>
      </c>
      <c r="M406">
        <v>3.1</v>
      </c>
      <c r="N406">
        <v>0</v>
      </c>
      <c r="O406" t="str">
        <f>IF(financial_fraud_data[[#This Row],[Risk_Score]]&gt;8,"High",IF(financial_fraud_data[[#This Row],[Risk_Score]]&gt;5,"Med","Low"))</f>
        <v>Low</v>
      </c>
      <c r="P406" t="str">
        <f>TEXT(financial_fraud_data[[#This Row],[Transaction_Date]],"MMM")</f>
        <v>Jan</v>
      </c>
      <c r="Q406" t="str">
        <f>IF(financial_fraud_data[[#This Row],[Is_Fraud]]=1,"Yes","No")</f>
        <v>No</v>
      </c>
    </row>
    <row r="407" spans="1:17" x14ac:dyDescent="0.2">
      <c r="A407" t="s">
        <v>726</v>
      </c>
      <c r="B407" t="s">
        <v>565</v>
      </c>
      <c r="C407" s="1">
        <v>45308.875</v>
      </c>
      <c r="D407">
        <v>44781.39</v>
      </c>
      <c r="E407" t="s">
        <v>80</v>
      </c>
      <c r="F407" t="s">
        <v>27</v>
      </c>
      <c r="G407" t="s">
        <v>35</v>
      </c>
      <c r="H407" t="s">
        <v>23</v>
      </c>
      <c r="I407" t="s">
        <v>23</v>
      </c>
      <c r="J407" t="s">
        <v>51</v>
      </c>
      <c r="K407">
        <v>0</v>
      </c>
      <c r="L407">
        <v>1</v>
      </c>
      <c r="M407">
        <v>5.98</v>
      </c>
      <c r="N407">
        <v>1</v>
      </c>
      <c r="O407" t="str">
        <f>IF(financial_fraud_data[[#This Row],[Risk_Score]]&gt;8,"High",IF(financial_fraud_data[[#This Row],[Risk_Score]]&gt;5,"Med","Low"))</f>
        <v>Med</v>
      </c>
      <c r="P407" t="str">
        <f>TEXT(financial_fraud_data[[#This Row],[Transaction_Date]],"MMM")</f>
        <v>Jan</v>
      </c>
      <c r="Q407" t="str">
        <f>IF(financial_fraud_data[[#This Row],[Is_Fraud]]=1,"Yes","No")</f>
        <v>Yes</v>
      </c>
    </row>
    <row r="408" spans="1:17" x14ac:dyDescent="0.2">
      <c r="A408" t="s">
        <v>727</v>
      </c>
      <c r="B408" t="s">
        <v>361</v>
      </c>
      <c r="C408" s="1">
        <v>45308.916666666664</v>
      </c>
      <c r="D408">
        <v>19490.62</v>
      </c>
      <c r="E408" t="s">
        <v>42</v>
      </c>
      <c r="F408" t="s">
        <v>27</v>
      </c>
      <c r="G408" t="s">
        <v>56</v>
      </c>
      <c r="H408" t="s">
        <v>23</v>
      </c>
      <c r="I408" t="s">
        <v>29</v>
      </c>
      <c r="J408" t="s">
        <v>37</v>
      </c>
      <c r="K408">
        <v>0</v>
      </c>
      <c r="L408">
        <v>0</v>
      </c>
      <c r="M408">
        <v>2.95</v>
      </c>
      <c r="N408">
        <v>0</v>
      </c>
      <c r="O408" t="str">
        <f>IF(financial_fraud_data[[#This Row],[Risk_Score]]&gt;8,"High",IF(financial_fraud_data[[#This Row],[Risk_Score]]&gt;5,"Med","Low"))</f>
        <v>Low</v>
      </c>
      <c r="P408" t="str">
        <f>TEXT(financial_fraud_data[[#This Row],[Transaction_Date]],"MMM")</f>
        <v>Jan</v>
      </c>
      <c r="Q408" t="str">
        <f>IF(financial_fraud_data[[#This Row],[Is_Fraud]]=1,"Yes","No")</f>
        <v>No</v>
      </c>
    </row>
    <row r="409" spans="1:17" x14ac:dyDescent="0.2">
      <c r="A409" t="s">
        <v>728</v>
      </c>
      <c r="B409" t="s">
        <v>729</v>
      </c>
      <c r="C409" s="1">
        <v>45308.958333333336</v>
      </c>
      <c r="D409">
        <v>591.34</v>
      </c>
      <c r="E409" t="s">
        <v>80</v>
      </c>
      <c r="F409" t="s">
        <v>47</v>
      </c>
      <c r="G409" t="s">
        <v>65</v>
      </c>
      <c r="H409" t="s">
        <v>29</v>
      </c>
      <c r="I409" t="s">
        <v>19</v>
      </c>
      <c r="J409" t="s">
        <v>37</v>
      </c>
      <c r="K409">
        <v>1</v>
      </c>
      <c r="L409">
        <v>0</v>
      </c>
      <c r="M409">
        <v>3.06</v>
      </c>
      <c r="N409">
        <v>0</v>
      </c>
      <c r="O409" t="str">
        <f>IF(financial_fraud_data[[#This Row],[Risk_Score]]&gt;8,"High",IF(financial_fraud_data[[#This Row],[Risk_Score]]&gt;5,"Med","Low"))</f>
        <v>Low</v>
      </c>
      <c r="P409" t="str">
        <f>TEXT(financial_fraud_data[[#This Row],[Transaction_Date]],"MMM")</f>
        <v>Jan</v>
      </c>
      <c r="Q409" t="str">
        <f>IF(financial_fraud_data[[#This Row],[Is_Fraud]]=1,"Yes","No")</f>
        <v>No</v>
      </c>
    </row>
    <row r="410" spans="1:17" x14ac:dyDescent="0.2">
      <c r="A410" t="s">
        <v>730</v>
      </c>
      <c r="B410" t="s">
        <v>731</v>
      </c>
      <c r="C410" s="1">
        <v>45309</v>
      </c>
      <c r="D410">
        <v>45273.83</v>
      </c>
      <c r="E410" t="s">
        <v>16</v>
      </c>
      <c r="F410" t="s">
        <v>17</v>
      </c>
      <c r="G410" t="s">
        <v>35</v>
      </c>
      <c r="H410" t="s">
        <v>29</v>
      </c>
      <c r="I410" t="s">
        <v>29</v>
      </c>
      <c r="J410" t="s">
        <v>51</v>
      </c>
      <c r="K410">
        <v>0</v>
      </c>
      <c r="L410">
        <v>4</v>
      </c>
      <c r="M410">
        <v>10.53</v>
      </c>
      <c r="N410">
        <v>1</v>
      </c>
      <c r="O410" t="str">
        <f>IF(financial_fraud_data[[#This Row],[Risk_Score]]&gt;8,"High",IF(financial_fraud_data[[#This Row],[Risk_Score]]&gt;5,"Med","Low"))</f>
        <v>High</v>
      </c>
      <c r="P410" t="str">
        <f>TEXT(financial_fraud_data[[#This Row],[Transaction_Date]],"MMM")</f>
        <v>Jan</v>
      </c>
      <c r="Q410" t="str">
        <f>IF(financial_fraud_data[[#This Row],[Is_Fraud]]=1,"Yes","No")</f>
        <v>Yes</v>
      </c>
    </row>
    <row r="411" spans="1:17" x14ac:dyDescent="0.2">
      <c r="A411" t="s">
        <v>732</v>
      </c>
      <c r="B411" t="s">
        <v>125</v>
      </c>
      <c r="C411" s="1">
        <v>45309.041666666664</v>
      </c>
      <c r="D411">
        <v>4609.7700000000004</v>
      </c>
      <c r="E411" t="s">
        <v>16</v>
      </c>
      <c r="F411" t="s">
        <v>50</v>
      </c>
      <c r="G411" t="s">
        <v>18</v>
      </c>
      <c r="H411" t="s">
        <v>19</v>
      </c>
      <c r="I411" t="s">
        <v>29</v>
      </c>
      <c r="J411" t="s">
        <v>20</v>
      </c>
      <c r="K411">
        <v>0</v>
      </c>
      <c r="L411">
        <v>3</v>
      </c>
      <c r="M411">
        <v>5.96</v>
      </c>
      <c r="N411">
        <v>1</v>
      </c>
      <c r="O411" t="str">
        <f>IF(financial_fraud_data[[#This Row],[Risk_Score]]&gt;8,"High",IF(financial_fraud_data[[#This Row],[Risk_Score]]&gt;5,"Med","Low"))</f>
        <v>Med</v>
      </c>
      <c r="P411" t="str">
        <f>TEXT(financial_fraud_data[[#This Row],[Transaction_Date]],"MMM")</f>
        <v>Jan</v>
      </c>
      <c r="Q411" t="str">
        <f>IF(financial_fraud_data[[#This Row],[Is_Fraud]]=1,"Yes","No")</f>
        <v>Yes</v>
      </c>
    </row>
    <row r="412" spans="1:17" x14ac:dyDescent="0.2">
      <c r="A412" t="s">
        <v>733</v>
      </c>
      <c r="B412" t="s">
        <v>383</v>
      </c>
      <c r="C412" s="1">
        <v>45309.083333333336</v>
      </c>
      <c r="D412">
        <v>15999.72</v>
      </c>
      <c r="E412" t="s">
        <v>80</v>
      </c>
      <c r="F412" t="s">
        <v>17</v>
      </c>
      <c r="G412" t="s">
        <v>65</v>
      </c>
      <c r="H412" t="s">
        <v>23</v>
      </c>
      <c r="I412" t="s">
        <v>24</v>
      </c>
      <c r="J412" t="s">
        <v>20</v>
      </c>
      <c r="K412">
        <v>0</v>
      </c>
      <c r="L412">
        <v>4</v>
      </c>
      <c r="M412">
        <v>8.6</v>
      </c>
      <c r="N412">
        <v>1</v>
      </c>
      <c r="O412" t="str">
        <f>IF(financial_fraud_data[[#This Row],[Risk_Score]]&gt;8,"High",IF(financial_fraud_data[[#This Row],[Risk_Score]]&gt;5,"Med","Low"))</f>
        <v>High</v>
      </c>
      <c r="P412" t="str">
        <f>TEXT(financial_fraud_data[[#This Row],[Transaction_Date]],"MMM")</f>
        <v>Jan</v>
      </c>
      <c r="Q412" t="str">
        <f>IF(financial_fraud_data[[#This Row],[Is_Fraud]]=1,"Yes","No")</f>
        <v>Yes</v>
      </c>
    </row>
    <row r="413" spans="1:17" x14ac:dyDescent="0.2">
      <c r="A413" t="s">
        <v>734</v>
      </c>
      <c r="B413" t="s">
        <v>69</v>
      </c>
      <c r="C413" s="1">
        <v>45309.125</v>
      </c>
      <c r="D413">
        <v>47505.599999999999</v>
      </c>
      <c r="E413" t="s">
        <v>42</v>
      </c>
      <c r="F413" t="s">
        <v>50</v>
      </c>
      <c r="G413" t="s">
        <v>65</v>
      </c>
      <c r="H413" t="s">
        <v>23</v>
      </c>
      <c r="I413" t="s">
        <v>29</v>
      </c>
      <c r="J413" t="s">
        <v>20</v>
      </c>
      <c r="K413">
        <v>0</v>
      </c>
      <c r="L413">
        <v>1</v>
      </c>
      <c r="M413">
        <v>7.25</v>
      </c>
      <c r="N413">
        <v>1</v>
      </c>
      <c r="O413" t="str">
        <f>IF(financial_fraud_data[[#This Row],[Risk_Score]]&gt;8,"High",IF(financial_fraud_data[[#This Row],[Risk_Score]]&gt;5,"Med","Low"))</f>
        <v>Med</v>
      </c>
      <c r="P413" t="str">
        <f>TEXT(financial_fraud_data[[#This Row],[Transaction_Date]],"MMM")</f>
        <v>Jan</v>
      </c>
      <c r="Q413" t="str">
        <f>IF(financial_fraud_data[[#This Row],[Is_Fraud]]=1,"Yes","No")</f>
        <v>Yes</v>
      </c>
    </row>
    <row r="414" spans="1:17" x14ac:dyDescent="0.2">
      <c r="A414" t="s">
        <v>735</v>
      </c>
      <c r="B414" t="s">
        <v>736</v>
      </c>
      <c r="C414" s="1">
        <v>45309.166666666664</v>
      </c>
      <c r="D414">
        <v>47532.83</v>
      </c>
      <c r="E414" t="s">
        <v>80</v>
      </c>
      <c r="F414" t="s">
        <v>17</v>
      </c>
      <c r="G414" t="s">
        <v>35</v>
      </c>
      <c r="H414" t="s">
        <v>29</v>
      </c>
      <c r="I414" t="s">
        <v>24</v>
      </c>
      <c r="J414" t="s">
        <v>20</v>
      </c>
      <c r="K414">
        <v>0</v>
      </c>
      <c r="L414">
        <v>1</v>
      </c>
      <c r="M414">
        <v>7.25</v>
      </c>
      <c r="N414">
        <v>1</v>
      </c>
      <c r="O414" t="str">
        <f>IF(financial_fraud_data[[#This Row],[Risk_Score]]&gt;8,"High",IF(financial_fraud_data[[#This Row],[Risk_Score]]&gt;5,"Med","Low"))</f>
        <v>Med</v>
      </c>
      <c r="P414" t="str">
        <f>TEXT(financial_fraud_data[[#This Row],[Transaction_Date]],"MMM")</f>
        <v>Jan</v>
      </c>
      <c r="Q414" t="str">
        <f>IF(financial_fraud_data[[#This Row],[Is_Fraud]]=1,"Yes","No")</f>
        <v>Yes</v>
      </c>
    </row>
    <row r="415" spans="1:17" x14ac:dyDescent="0.2">
      <c r="A415" t="s">
        <v>737</v>
      </c>
      <c r="B415" t="s">
        <v>738</v>
      </c>
      <c r="C415" s="1">
        <v>45309.208333333336</v>
      </c>
      <c r="D415">
        <v>28693.22</v>
      </c>
      <c r="E415" t="s">
        <v>42</v>
      </c>
      <c r="F415" t="s">
        <v>47</v>
      </c>
      <c r="G415" t="s">
        <v>18</v>
      </c>
      <c r="H415" t="s">
        <v>29</v>
      </c>
      <c r="I415" t="s">
        <v>19</v>
      </c>
      <c r="J415" t="s">
        <v>37</v>
      </c>
      <c r="K415">
        <v>1</v>
      </c>
      <c r="L415">
        <v>3</v>
      </c>
      <c r="M415">
        <v>10.37</v>
      </c>
      <c r="N415">
        <v>1</v>
      </c>
      <c r="O415" t="str">
        <f>IF(financial_fraud_data[[#This Row],[Risk_Score]]&gt;8,"High",IF(financial_fraud_data[[#This Row],[Risk_Score]]&gt;5,"Med","Low"))</f>
        <v>High</v>
      </c>
      <c r="P415" t="str">
        <f>TEXT(financial_fraud_data[[#This Row],[Transaction_Date]],"MMM")</f>
        <v>Jan</v>
      </c>
      <c r="Q415" t="str">
        <f>IF(financial_fraud_data[[#This Row],[Is_Fraud]]=1,"Yes","No")</f>
        <v>Yes</v>
      </c>
    </row>
    <row r="416" spans="1:17" x14ac:dyDescent="0.2">
      <c r="A416" t="s">
        <v>739</v>
      </c>
      <c r="B416" t="s">
        <v>601</v>
      </c>
      <c r="C416" s="1">
        <v>45309.25</v>
      </c>
      <c r="D416">
        <v>31610.27</v>
      </c>
      <c r="E416" t="s">
        <v>80</v>
      </c>
      <c r="F416" t="s">
        <v>50</v>
      </c>
      <c r="G416" t="s">
        <v>56</v>
      </c>
      <c r="H416" t="s">
        <v>29</v>
      </c>
      <c r="I416" t="s">
        <v>19</v>
      </c>
      <c r="J416" t="s">
        <v>51</v>
      </c>
      <c r="K416">
        <v>0</v>
      </c>
      <c r="L416">
        <v>1</v>
      </c>
      <c r="M416">
        <v>5.66</v>
      </c>
      <c r="N416">
        <v>1</v>
      </c>
      <c r="O416" t="str">
        <f>IF(financial_fraud_data[[#This Row],[Risk_Score]]&gt;8,"High",IF(financial_fraud_data[[#This Row],[Risk_Score]]&gt;5,"Med","Low"))</f>
        <v>Med</v>
      </c>
      <c r="P416" t="str">
        <f>TEXT(financial_fraud_data[[#This Row],[Transaction_Date]],"MMM")</f>
        <v>Jan</v>
      </c>
      <c r="Q416" t="str">
        <f>IF(financial_fraud_data[[#This Row],[Is_Fraud]]=1,"Yes","No")</f>
        <v>Yes</v>
      </c>
    </row>
    <row r="417" spans="1:17" x14ac:dyDescent="0.2">
      <c r="A417" t="s">
        <v>740</v>
      </c>
      <c r="B417" t="s">
        <v>543</v>
      </c>
      <c r="C417" s="1">
        <v>45309.291666666664</v>
      </c>
      <c r="D417">
        <v>22449.85</v>
      </c>
      <c r="E417" t="s">
        <v>16</v>
      </c>
      <c r="F417" t="s">
        <v>50</v>
      </c>
      <c r="G417" t="s">
        <v>35</v>
      </c>
      <c r="H417" t="s">
        <v>24</v>
      </c>
      <c r="I417" t="s">
        <v>24</v>
      </c>
      <c r="J417" t="s">
        <v>51</v>
      </c>
      <c r="K417">
        <v>1</v>
      </c>
      <c r="L417">
        <v>0</v>
      </c>
      <c r="M417">
        <v>4.24</v>
      </c>
      <c r="N417">
        <v>0</v>
      </c>
      <c r="O417" t="str">
        <f>IF(financial_fraud_data[[#This Row],[Risk_Score]]&gt;8,"High",IF(financial_fraud_data[[#This Row],[Risk_Score]]&gt;5,"Med","Low"))</f>
        <v>Low</v>
      </c>
      <c r="P417" t="str">
        <f>TEXT(financial_fraud_data[[#This Row],[Transaction_Date]],"MMM")</f>
        <v>Jan</v>
      </c>
      <c r="Q417" t="str">
        <f>IF(financial_fraud_data[[#This Row],[Is_Fraud]]=1,"Yes","No")</f>
        <v>No</v>
      </c>
    </row>
    <row r="418" spans="1:17" x14ac:dyDescent="0.2">
      <c r="A418" t="s">
        <v>741</v>
      </c>
      <c r="B418" t="s">
        <v>742</v>
      </c>
      <c r="C418" s="1">
        <v>45309.333333333336</v>
      </c>
      <c r="D418">
        <v>14695.88</v>
      </c>
      <c r="E418" t="s">
        <v>34</v>
      </c>
      <c r="F418" t="s">
        <v>50</v>
      </c>
      <c r="G418" t="s">
        <v>18</v>
      </c>
      <c r="H418" t="s">
        <v>36</v>
      </c>
      <c r="I418" t="s">
        <v>23</v>
      </c>
      <c r="J418" t="s">
        <v>37</v>
      </c>
      <c r="K418">
        <v>0</v>
      </c>
      <c r="L418">
        <v>1</v>
      </c>
      <c r="M418">
        <v>3.97</v>
      </c>
      <c r="N418">
        <v>0</v>
      </c>
      <c r="O418" t="str">
        <f>IF(financial_fraud_data[[#This Row],[Risk_Score]]&gt;8,"High",IF(financial_fraud_data[[#This Row],[Risk_Score]]&gt;5,"Med","Low"))</f>
        <v>Low</v>
      </c>
      <c r="P418" t="str">
        <f>TEXT(financial_fraud_data[[#This Row],[Transaction_Date]],"MMM")</f>
        <v>Jan</v>
      </c>
      <c r="Q418" t="str">
        <f>IF(financial_fraud_data[[#This Row],[Is_Fraud]]=1,"Yes","No")</f>
        <v>No</v>
      </c>
    </row>
    <row r="419" spans="1:17" x14ac:dyDescent="0.2">
      <c r="A419" t="s">
        <v>743</v>
      </c>
      <c r="B419" t="s">
        <v>411</v>
      </c>
      <c r="C419" s="1">
        <v>45309.375</v>
      </c>
      <c r="D419">
        <v>16466.79</v>
      </c>
      <c r="E419" t="s">
        <v>34</v>
      </c>
      <c r="F419" t="s">
        <v>27</v>
      </c>
      <c r="G419" t="s">
        <v>65</v>
      </c>
      <c r="H419" t="s">
        <v>36</v>
      </c>
      <c r="I419" t="s">
        <v>19</v>
      </c>
      <c r="J419" t="s">
        <v>37</v>
      </c>
      <c r="K419">
        <v>1</v>
      </c>
      <c r="L419">
        <v>2</v>
      </c>
      <c r="M419">
        <v>7.65</v>
      </c>
      <c r="N419">
        <v>1</v>
      </c>
      <c r="O419" t="str">
        <f>IF(financial_fraud_data[[#This Row],[Risk_Score]]&gt;8,"High",IF(financial_fraud_data[[#This Row],[Risk_Score]]&gt;5,"Med","Low"))</f>
        <v>Med</v>
      </c>
      <c r="P419" t="str">
        <f>TEXT(financial_fraud_data[[#This Row],[Transaction_Date]],"MMM")</f>
        <v>Jan</v>
      </c>
      <c r="Q419" t="str">
        <f>IF(financial_fraud_data[[#This Row],[Is_Fraud]]=1,"Yes","No")</f>
        <v>Yes</v>
      </c>
    </row>
    <row r="420" spans="1:17" x14ac:dyDescent="0.2">
      <c r="A420" t="s">
        <v>744</v>
      </c>
      <c r="B420" t="s">
        <v>655</v>
      </c>
      <c r="C420" s="1">
        <v>45309.416666666664</v>
      </c>
      <c r="D420">
        <v>33642.300000000003</v>
      </c>
      <c r="E420" t="s">
        <v>42</v>
      </c>
      <c r="F420" t="s">
        <v>27</v>
      </c>
      <c r="G420" t="s">
        <v>18</v>
      </c>
      <c r="H420" t="s">
        <v>23</v>
      </c>
      <c r="I420" t="s">
        <v>23</v>
      </c>
      <c r="J420" t="s">
        <v>37</v>
      </c>
      <c r="K420">
        <v>0</v>
      </c>
      <c r="L420">
        <v>3</v>
      </c>
      <c r="M420">
        <v>7.86</v>
      </c>
      <c r="N420">
        <v>1</v>
      </c>
      <c r="O420" t="str">
        <f>IF(financial_fraud_data[[#This Row],[Risk_Score]]&gt;8,"High",IF(financial_fraud_data[[#This Row],[Risk_Score]]&gt;5,"Med","Low"))</f>
        <v>Med</v>
      </c>
      <c r="P420" t="str">
        <f>TEXT(financial_fraud_data[[#This Row],[Transaction_Date]],"MMM")</f>
        <v>Jan</v>
      </c>
      <c r="Q420" t="str">
        <f>IF(financial_fraud_data[[#This Row],[Is_Fraud]]=1,"Yes","No")</f>
        <v>Yes</v>
      </c>
    </row>
    <row r="421" spans="1:17" x14ac:dyDescent="0.2">
      <c r="A421" t="s">
        <v>745</v>
      </c>
      <c r="B421" t="s">
        <v>746</v>
      </c>
      <c r="C421" s="1">
        <v>45309.458333333336</v>
      </c>
      <c r="D421">
        <v>37631.11</v>
      </c>
      <c r="E421" t="s">
        <v>42</v>
      </c>
      <c r="F421" t="s">
        <v>17</v>
      </c>
      <c r="G421" t="s">
        <v>65</v>
      </c>
      <c r="H421" t="s">
        <v>24</v>
      </c>
      <c r="I421" t="s">
        <v>19</v>
      </c>
      <c r="J421" t="s">
        <v>51</v>
      </c>
      <c r="K421">
        <v>0</v>
      </c>
      <c r="L421">
        <v>3</v>
      </c>
      <c r="M421">
        <v>9.26</v>
      </c>
      <c r="N421">
        <v>1</v>
      </c>
      <c r="O421" t="str">
        <f>IF(financial_fraud_data[[#This Row],[Risk_Score]]&gt;8,"High",IF(financial_fraud_data[[#This Row],[Risk_Score]]&gt;5,"Med","Low"))</f>
        <v>High</v>
      </c>
      <c r="P421" t="str">
        <f>TEXT(financial_fraud_data[[#This Row],[Transaction_Date]],"MMM")</f>
        <v>Jan</v>
      </c>
      <c r="Q421" t="str">
        <f>IF(financial_fraud_data[[#This Row],[Is_Fraud]]=1,"Yes","No")</f>
        <v>Yes</v>
      </c>
    </row>
    <row r="422" spans="1:17" x14ac:dyDescent="0.2">
      <c r="A422" t="s">
        <v>747</v>
      </c>
      <c r="B422" t="s">
        <v>638</v>
      </c>
      <c r="C422" s="1">
        <v>45309.5</v>
      </c>
      <c r="D422">
        <v>39589.370000000003</v>
      </c>
      <c r="E422" t="s">
        <v>42</v>
      </c>
      <c r="F422" t="s">
        <v>47</v>
      </c>
      <c r="G422" t="s">
        <v>35</v>
      </c>
      <c r="H422" t="s">
        <v>29</v>
      </c>
      <c r="I422" t="s">
        <v>19</v>
      </c>
      <c r="J422" t="s">
        <v>51</v>
      </c>
      <c r="K422">
        <v>0</v>
      </c>
      <c r="L422">
        <v>3</v>
      </c>
      <c r="M422">
        <v>9.4600000000000009</v>
      </c>
      <c r="N422">
        <v>1</v>
      </c>
      <c r="O422" t="str">
        <f>IF(financial_fraud_data[[#This Row],[Risk_Score]]&gt;8,"High",IF(financial_fraud_data[[#This Row],[Risk_Score]]&gt;5,"Med","Low"))</f>
        <v>High</v>
      </c>
      <c r="P422" t="str">
        <f>TEXT(financial_fraud_data[[#This Row],[Transaction_Date]],"MMM")</f>
        <v>Jan</v>
      </c>
      <c r="Q422" t="str">
        <f>IF(financial_fraud_data[[#This Row],[Is_Fraud]]=1,"Yes","No")</f>
        <v>Yes</v>
      </c>
    </row>
    <row r="423" spans="1:17" x14ac:dyDescent="0.2">
      <c r="A423" t="s">
        <v>748</v>
      </c>
      <c r="B423" t="s">
        <v>749</v>
      </c>
      <c r="C423" s="1">
        <v>45309.541666666664</v>
      </c>
      <c r="D423">
        <v>39491.43</v>
      </c>
      <c r="E423" t="s">
        <v>16</v>
      </c>
      <c r="F423" t="s">
        <v>27</v>
      </c>
      <c r="G423" t="s">
        <v>35</v>
      </c>
      <c r="H423" t="s">
        <v>23</v>
      </c>
      <c r="I423" t="s">
        <v>36</v>
      </c>
      <c r="J423" t="s">
        <v>51</v>
      </c>
      <c r="K423">
        <v>0</v>
      </c>
      <c r="L423">
        <v>2</v>
      </c>
      <c r="M423">
        <v>7.95</v>
      </c>
      <c r="N423">
        <v>1</v>
      </c>
      <c r="O423" t="str">
        <f>IF(financial_fraud_data[[#This Row],[Risk_Score]]&gt;8,"High",IF(financial_fraud_data[[#This Row],[Risk_Score]]&gt;5,"Med","Low"))</f>
        <v>Med</v>
      </c>
      <c r="P423" t="str">
        <f>TEXT(financial_fraud_data[[#This Row],[Transaction_Date]],"MMM")</f>
        <v>Jan</v>
      </c>
      <c r="Q423" t="str">
        <f>IF(financial_fraud_data[[#This Row],[Is_Fraud]]=1,"Yes","No")</f>
        <v>Yes</v>
      </c>
    </row>
    <row r="424" spans="1:17" x14ac:dyDescent="0.2">
      <c r="A424" t="s">
        <v>750</v>
      </c>
      <c r="B424" t="s">
        <v>751</v>
      </c>
      <c r="C424" s="1">
        <v>45309.583333333336</v>
      </c>
      <c r="D424">
        <v>4605.74</v>
      </c>
      <c r="E424" t="s">
        <v>80</v>
      </c>
      <c r="F424" t="s">
        <v>50</v>
      </c>
      <c r="G424" t="s">
        <v>28</v>
      </c>
      <c r="H424" t="s">
        <v>24</v>
      </c>
      <c r="I424" t="s">
        <v>29</v>
      </c>
      <c r="J424" t="s">
        <v>20</v>
      </c>
      <c r="K424">
        <v>0</v>
      </c>
      <c r="L424">
        <v>4</v>
      </c>
      <c r="M424">
        <v>7.46</v>
      </c>
      <c r="N424">
        <v>1</v>
      </c>
      <c r="O424" t="str">
        <f>IF(financial_fraud_data[[#This Row],[Risk_Score]]&gt;8,"High",IF(financial_fraud_data[[#This Row],[Risk_Score]]&gt;5,"Med","Low"))</f>
        <v>Med</v>
      </c>
      <c r="P424" t="str">
        <f>TEXT(financial_fraud_data[[#This Row],[Transaction_Date]],"MMM")</f>
        <v>Jan</v>
      </c>
      <c r="Q424" t="str">
        <f>IF(financial_fraud_data[[#This Row],[Is_Fraud]]=1,"Yes","No")</f>
        <v>Yes</v>
      </c>
    </row>
    <row r="425" spans="1:17" x14ac:dyDescent="0.2">
      <c r="A425" t="s">
        <v>752</v>
      </c>
      <c r="B425" t="s">
        <v>753</v>
      </c>
      <c r="C425" s="1">
        <v>45309.625</v>
      </c>
      <c r="D425">
        <v>24746.29</v>
      </c>
      <c r="E425" t="s">
        <v>16</v>
      </c>
      <c r="F425" t="s">
        <v>27</v>
      </c>
      <c r="G425" t="s">
        <v>28</v>
      </c>
      <c r="H425" t="s">
        <v>19</v>
      </c>
      <c r="I425" t="s">
        <v>29</v>
      </c>
      <c r="J425" t="s">
        <v>37</v>
      </c>
      <c r="K425">
        <v>0</v>
      </c>
      <c r="L425">
        <v>0</v>
      </c>
      <c r="M425">
        <v>3.47</v>
      </c>
      <c r="N425">
        <v>0</v>
      </c>
      <c r="O425" t="str">
        <f>IF(financial_fraud_data[[#This Row],[Risk_Score]]&gt;8,"High",IF(financial_fraud_data[[#This Row],[Risk_Score]]&gt;5,"Med","Low"))</f>
        <v>Low</v>
      </c>
      <c r="P425" t="str">
        <f>TEXT(financial_fraud_data[[#This Row],[Transaction_Date]],"MMM")</f>
        <v>Jan</v>
      </c>
      <c r="Q425" t="str">
        <f>IF(financial_fraud_data[[#This Row],[Is_Fraud]]=1,"Yes","No")</f>
        <v>No</v>
      </c>
    </row>
    <row r="426" spans="1:17" x14ac:dyDescent="0.2">
      <c r="A426" t="s">
        <v>754</v>
      </c>
      <c r="B426" t="s">
        <v>755</v>
      </c>
      <c r="C426" s="1">
        <v>45309.666666666664</v>
      </c>
      <c r="D426">
        <v>2925.06</v>
      </c>
      <c r="E426" t="s">
        <v>34</v>
      </c>
      <c r="F426" t="s">
        <v>47</v>
      </c>
      <c r="G426" t="s">
        <v>28</v>
      </c>
      <c r="H426" t="s">
        <v>24</v>
      </c>
      <c r="I426" t="s">
        <v>23</v>
      </c>
      <c r="J426" t="s">
        <v>37</v>
      </c>
      <c r="K426">
        <v>0</v>
      </c>
      <c r="L426">
        <v>3</v>
      </c>
      <c r="M426">
        <v>5.79</v>
      </c>
      <c r="N426">
        <v>1</v>
      </c>
      <c r="O426" t="str">
        <f>IF(financial_fraud_data[[#This Row],[Risk_Score]]&gt;8,"High",IF(financial_fraud_data[[#This Row],[Risk_Score]]&gt;5,"Med","Low"))</f>
        <v>Med</v>
      </c>
      <c r="P426" t="str">
        <f>TEXT(financial_fraud_data[[#This Row],[Transaction_Date]],"MMM")</f>
        <v>Jan</v>
      </c>
      <c r="Q426" t="str">
        <f>IF(financial_fraud_data[[#This Row],[Is_Fraud]]=1,"Yes","No")</f>
        <v>Yes</v>
      </c>
    </row>
    <row r="427" spans="1:17" x14ac:dyDescent="0.2">
      <c r="A427" t="s">
        <v>756</v>
      </c>
      <c r="B427" t="s">
        <v>645</v>
      </c>
      <c r="C427" s="1">
        <v>45309.708333333336</v>
      </c>
      <c r="D427">
        <v>27498.97</v>
      </c>
      <c r="E427" t="s">
        <v>42</v>
      </c>
      <c r="F427" t="s">
        <v>27</v>
      </c>
      <c r="G427" t="s">
        <v>35</v>
      </c>
      <c r="H427" t="s">
        <v>23</v>
      </c>
      <c r="I427" t="s">
        <v>29</v>
      </c>
      <c r="J427" t="s">
        <v>37</v>
      </c>
      <c r="K427">
        <v>0</v>
      </c>
      <c r="L427">
        <v>1</v>
      </c>
      <c r="M427">
        <v>5.25</v>
      </c>
      <c r="N427">
        <v>1</v>
      </c>
      <c r="O427" t="str">
        <f>IF(financial_fraud_data[[#This Row],[Risk_Score]]&gt;8,"High",IF(financial_fraud_data[[#This Row],[Risk_Score]]&gt;5,"Med","Low"))</f>
        <v>Med</v>
      </c>
      <c r="P427" t="str">
        <f>TEXT(financial_fraud_data[[#This Row],[Transaction_Date]],"MMM")</f>
        <v>Jan</v>
      </c>
      <c r="Q427" t="str">
        <f>IF(financial_fraud_data[[#This Row],[Is_Fraud]]=1,"Yes","No")</f>
        <v>Yes</v>
      </c>
    </row>
    <row r="428" spans="1:17" x14ac:dyDescent="0.2">
      <c r="A428" t="s">
        <v>757</v>
      </c>
      <c r="B428" t="s">
        <v>293</v>
      </c>
      <c r="C428" s="1">
        <v>45309.75</v>
      </c>
      <c r="D428">
        <v>22104.45</v>
      </c>
      <c r="E428" t="s">
        <v>80</v>
      </c>
      <c r="F428" t="s">
        <v>50</v>
      </c>
      <c r="G428" t="s">
        <v>56</v>
      </c>
      <c r="H428" t="s">
        <v>36</v>
      </c>
      <c r="I428" t="s">
        <v>23</v>
      </c>
      <c r="J428" t="s">
        <v>51</v>
      </c>
      <c r="K428">
        <v>0</v>
      </c>
      <c r="L428">
        <v>0</v>
      </c>
      <c r="M428">
        <v>3.21</v>
      </c>
      <c r="N428">
        <v>0</v>
      </c>
      <c r="O428" t="str">
        <f>IF(financial_fraud_data[[#This Row],[Risk_Score]]&gt;8,"High",IF(financial_fraud_data[[#This Row],[Risk_Score]]&gt;5,"Med","Low"))</f>
        <v>Low</v>
      </c>
      <c r="P428" t="str">
        <f>TEXT(financial_fraud_data[[#This Row],[Transaction_Date]],"MMM")</f>
        <v>Jan</v>
      </c>
      <c r="Q428" t="str">
        <f>IF(financial_fraud_data[[#This Row],[Is_Fraud]]=1,"Yes","No")</f>
        <v>No</v>
      </c>
    </row>
    <row r="429" spans="1:17" x14ac:dyDescent="0.2">
      <c r="A429" t="s">
        <v>758</v>
      </c>
      <c r="B429" t="s">
        <v>759</v>
      </c>
      <c r="C429" s="1">
        <v>45309.791666666664</v>
      </c>
      <c r="D429">
        <v>44390.82</v>
      </c>
      <c r="E429" t="s">
        <v>34</v>
      </c>
      <c r="F429" t="s">
        <v>17</v>
      </c>
      <c r="G429" t="s">
        <v>35</v>
      </c>
      <c r="H429" t="s">
        <v>29</v>
      </c>
      <c r="I429" t="s">
        <v>19</v>
      </c>
      <c r="J429" t="s">
        <v>37</v>
      </c>
      <c r="K429">
        <v>0</v>
      </c>
      <c r="L429">
        <v>1</v>
      </c>
      <c r="M429">
        <v>6.94</v>
      </c>
      <c r="N429">
        <v>1</v>
      </c>
      <c r="O429" t="str">
        <f>IF(financial_fraud_data[[#This Row],[Risk_Score]]&gt;8,"High",IF(financial_fraud_data[[#This Row],[Risk_Score]]&gt;5,"Med","Low"))</f>
        <v>Med</v>
      </c>
      <c r="P429" t="str">
        <f>TEXT(financial_fraud_data[[#This Row],[Transaction_Date]],"MMM")</f>
        <v>Jan</v>
      </c>
      <c r="Q429" t="str">
        <f>IF(financial_fraud_data[[#This Row],[Is_Fraud]]=1,"Yes","No")</f>
        <v>Yes</v>
      </c>
    </row>
    <row r="430" spans="1:17" x14ac:dyDescent="0.2">
      <c r="A430" t="s">
        <v>760</v>
      </c>
      <c r="B430" t="s">
        <v>761</v>
      </c>
      <c r="C430" s="1">
        <v>45309.833333333336</v>
      </c>
      <c r="D430">
        <v>17578.2</v>
      </c>
      <c r="E430" t="s">
        <v>34</v>
      </c>
      <c r="F430" t="s">
        <v>50</v>
      </c>
      <c r="G430" t="s">
        <v>18</v>
      </c>
      <c r="H430" t="s">
        <v>19</v>
      </c>
      <c r="I430" t="s">
        <v>36</v>
      </c>
      <c r="J430" t="s">
        <v>37</v>
      </c>
      <c r="K430">
        <v>1</v>
      </c>
      <c r="L430">
        <v>0</v>
      </c>
      <c r="M430">
        <v>4.76</v>
      </c>
      <c r="N430">
        <v>0</v>
      </c>
      <c r="O430" t="str">
        <f>IF(financial_fraud_data[[#This Row],[Risk_Score]]&gt;8,"High",IF(financial_fraud_data[[#This Row],[Risk_Score]]&gt;5,"Med","Low"))</f>
        <v>Low</v>
      </c>
      <c r="P430" t="str">
        <f>TEXT(financial_fraud_data[[#This Row],[Transaction_Date]],"MMM")</f>
        <v>Jan</v>
      </c>
      <c r="Q430" t="str">
        <f>IF(financial_fraud_data[[#This Row],[Is_Fraud]]=1,"Yes","No")</f>
        <v>No</v>
      </c>
    </row>
    <row r="431" spans="1:17" x14ac:dyDescent="0.2">
      <c r="A431" t="s">
        <v>762</v>
      </c>
      <c r="B431" t="s">
        <v>300</v>
      </c>
      <c r="C431" s="1">
        <v>45309.875</v>
      </c>
      <c r="D431">
        <v>5897.5</v>
      </c>
      <c r="E431" t="s">
        <v>34</v>
      </c>
      <c r="F431" t="s">
        <v>47</v>
      </c>
      <c r="G431" t="s">
        <v>35</v>
      </c>
      <c r="H431" t="s">
        <v>24</v>
      </c>
      <c r="I431" t="s">
        <v>36</v>
      </c>
      <c r="J431" t="s">
        <v>20</v>
      </c>
      <c r="K431">
        <v>0</v>
      </c>
      <c r="L431">
        <v>0</v>
      </c>
      <c r="M431">
        <v>1.59</v>
      </c>
      <c r="N431">
        <v>0</v>
      </c>
      <c r="O431" t="str">
        <f>IF(financial_fraud_data[[#This Row],[Risk_Score]]&gt;8,"High",IF(financial_fraud_data[[#This Row],[Risk_Score]]&gt;5,"Med","Low"))</f>
        <v>Low</v>
      </c>
      <c r="P431" t="str">
        <f>TEXT(financial_fraud_data[[#This Row],[Transaction_Date]],"MMM")</f>
        <v>Jan</v>
      </c>
      <c r="Q431" t="str">
        <f>IF(financial_fraud_data[[#This Row],[Is_Fraud]]=1,"Yes","No")</f>
        <v>No</v>
      </c>
    </row>
    <row r="432" spans="1:17" x14ac:dyDescent="0.2">
      <c r="A432" t="s">
        <v>763</v>
      </c>
      <c r="B432" t="s">
        <v>291</v>
      </c>
      <c r="C432" s="1">
        <v>45309.916666666664</v>
      </c>
      <c r="D432">
        <v>7192.43</v>
      </c>
      <c r="E432" t="s">
        <v>16</v>
      </c>
      <c r="F432" t="s">
        <v>17</v>
      </c>
      <c r="G432" t="s">
        <v>35</v>
      </c>
      <c r="H432" t="s">
        <v>23</v>
      </c>
      <c r="I432" t="s">
        <v>19</v>
      </c>
      <c r="J432" t="s">
        <v>51</v>
      </c>
      <c r="K432">
        <v>0</v>
      </c>
      <c r="L432">
        <v>1</v>
      </c>
      <c r="M432">
        <v>3.22</v>
      </c>
      <c r="N432">
        <v>0</v>
      </c>
      <c r="O432" t="str">
        <f>IF(financial_fraud_data[[#This Row],[Risk_Score]]&gt;8,"High",IF(financial_fraud_data[[#This Row],[Risk_Score]]&gt;5,"Med","Low"))</f>
        <v>Low</v>
      </c>
      <c r="P432" t="str">
        <f>TEXT(financial_fraud_data[[#This Row],[Transaction_Date]],"MMM")</f>
        <v>Jan</v>
      </c>
      <c r="Q432" t="str">
        <f>IF(financial_fraud_data[[#This Row],[Is_Fraud]]=1,"Yes","No")</f>
        <v>No</v>
      </c>
    </row>
    <row r="433" spans="1:17" x14ac:dyDescent="0.2">
      <c r="A433" t="s">
        <v>764</v>
      </c>
      <c r="B433" t="s">
        <v>661</v>
      </c>
      <c r="C433" s="1">
        <v>45309.958333333336</v>
      </c>
      <c r="D433">
        <v>38087.46</v>
      </c>
      <c r="E433" t="s">
        <v>42</v>
      </c>
      <c r="F433" t="s">
        <v>27</v>
      </c>
      <c r="G433" t="s">
        <v>65</v>
      </c>
      <c r="H433" t="s">
        <v>23</v>
      </c>
      <c r="I433" t="s">
        <v>24</v>
      </c>
      <c r="J433" t="s">
        <v>37</v>
      </c>
      <c r="K433">
        <v>0</v>
      </c>
      <c r="L433">
        <v>1</v>
      </c>
      <c r="M433">
        <v>6.31</v>
      </c>
      <c r="N433">
        <v>1</v>
      </c>
      <c r="O433" t="str">
        <f>IF(financial_fraud_data[[#This Row],[Risk_Score]]&gt;8,"High",IF(financial_fraud_data[[#This Row],[Risk_Score]]&gt;5,"Med","Low"))</f>
        <v>Med</v>
      </c>
      <c r="P433" t="str">
        <f>TEXT(financial_fraud_data[[#This Row],[Transaction_Date]],"MMM")</f>
        <v>Jan</v>
      </c>
      <c r="Q433" t="str">
        <f>IF(financial_fraud_data[[#This Row],[Is_Fraud]]=1,"Yes","No")</f>
        <v>Yes</v>
      </c>
    </row>
    <row r="434" spans="1:17" x14ac:dyDescent="0.2">
      <c r="A434" t="s">
        <v>765</v>
      </c>
      <c r="B434" t="s">
        <v>606</v>
      </c>
      <c r="C434" s="1">
        <v>45310</v>
      </c>
      <c r="D434">
        <v>30929.99</v>
      </c>
      <c r="E434" t="s">
        <v>34</v>
      </c>
      <c r="F434" t="s">
        <v>27</v>
      </c>
      <c r="G434" t="s">
        <v>65</v>
      </c>
      <c r="H434" t="s">
        <v>29</v>
      </c>
      <c r="I434" t="s">
        <v>24</v>
      </c>
      <c r="J434" t="s">
        <v>51</v>
      </c>
      <c r="K434">
        <v>0</v>
      </c>
      <c r="L434">
        <v>0</v>
      </c>
      <c r="M434">
        <v>4.09</v>
      </c>
      <c r="N434">
        <v>0</v>
      </c>
      <c r="O434" t="str">
        <f>IF(financial_fraud_data[[#This Row],[Risk_Score]]&gt;8,"High",IF(financial_fraud_data[[#This Row],[Risk_Score]]&gt;5,"Med","Low"))</f>
        <v>Low</v>
      </c>
      <c r="P434" t="str">
        <f>TEXT(financial_fraud_data[[#This Row],[Transaction_Date]],"MMM")</f>
        <v>Jan</v>
      </c>
      <c r="Q434" t="str">
        <f>IF(financial_fraud_data[[#This Row],[Is_Fraud]]=1,"Yes","No")</f>
        <v>No</v>
      </c>
    </row>
    <row r="435" spans="1:17" x14ac:dyDescent="0.2">
      <c r="A435" t="s">
        <v>766</v>
      </c>
      <c r="B435" t="s">
        <v>767</v>
      </c>
      <c r="C435" s="1">
        <v>45310.041666666664</v>
      </c>
      <c r="D435">
        <v>5101.08</v>
      </c>
      <c r="E435" t="s">
        <v>42</v>
      </c>
      <c r="F435" t="s">
        <v>27</v>
      </c>
      <c r="G435" t="s">
        <v>65</v>
      </c>
      <c r="H435" t="s">
        <v>23</v>
      </c>
      <c r="I435" t="s">
        <v>29</v>
      </c>
      <c r="J435" t="s">
        <v>51</v>
      </c>
      <c r="K435">
        <v>1</v>
      </c>
      <c r="L435">
        <v>3</v>
      </c>
      <c r="M435">
        <v>8.01</v>
      </c>
      <c r="N435">
        <v>1</v>
      </c>
      <c r="O435" t="str">
        <f>IF(financial_fraud_data[[#This Row],[Risk_Score]]&gt;8,"High",IF(financial_fraud_data[[#This Row],[Risk_Score]]&gt;5,"Med","Low"))</f>
        <v>High</v>
      </c>
      <c r="P435" t="str">
        <f>TEXT(financial_fraud_data[[#This Row],[Transaction_Date]],"MMM")</f>
        <v>Jan</v>
      </c>
      <c r="Q435" t="str">
        <f>IF(financial_fraud_data[[#This Row],[Is_Fraud]]=1,"Yes","No")</f>
        <v>Yes</v>
      </c>
    </row>
    <row r="436" spans="1:17" x14ac:dyDescent="0.2">
      <c r="A436" t="s">
        <v>768</v>
      </c>
      <c r="B436" t="s">
        <v>247</v>
      </c>
      <c r="C436" s="1">
        <v>45310.083333333336</v>
      </c>
      <c r="D436">
        <v>4251.13</v>
      </c>
      <c r="E436" t="s">
        <v>16</v>
      </c>
      <c r="F436" t="s">
        <v>17</v>
      </c>
      <c r="G436" t="s">
        <v>35</v>
      </c>
      <c r="H436" t="s">
        <v>23</v>
      </c>
      <c r="I436" t="s">
        <v>23</v>
      </c>
      <c r="J436" t="s">
        <v>51</v>
      </c>
      <c r="K436">
        <v>0</v>
      </c>
      <c r="L436">
        <v>1</v>
      </c>
      <c r="M436">
        <v>1.93</v>
      </c>
      <c r="N436">
        <v>0</v>
      </c>
      <c r="O436" t="str">
        <f>IF(financial_fraud_data[[#This Row],[Risk_Score]]&gt;8,"High",IF(financial_fraud_data[[#This Row],[Risk_Score]]&gt;5,"Med","Low"))</f>
        <v>Low</v>
      </c>
      <c r="P436" t="str">
        <f>TEXT(financial_fraud_data[[#This Row],[Transaction_Date]],"MMM")</f>
        <v>Jan</v>
      </c>
      <c r="Q436" t="str">
        <f>IF(financial_fraud_data[[#This Row],[Is_Fraud]]=1,"Yes","No")</f>
        <v>No</v>
      </c>
    </row>
    <row r="437" spans="1:17" x14ac:dyDescent="0.2">
      <c r="A437" t="s">
        <v>769</v>
      </c>
      <c r="B437" t="s">
        <v>770</v>
      </c>
      <c r="C437" s="1">
        <v>45310.125</v>
      </c>
      <c r="D437">
        <v>35063.410000000003</v>
      </c>
      <c r="E437" t="s">
        <v>34</v>
      </c>
      <c r="F437" t="s">
        <v>50</v>
      </c>
      <c r="G437" t="s">
        <v>56</v>
      </c>
      <c r="H437" t="s">
        <v>29</v>
      </c>
      <c r="I437" t="s">
        <v>36</v>
      </c>
      <c r="J437" t="s">
        <v>20</v>
      </c>
      <c r="K437">
        <v>0</v>
      </c>
      <c r="L437">
        <v>2</v>
      </c>
      <c r="M437">
        <v>7.51</v>
      </c>
      <c r="N437">
        <v>1</v>
      </c>
      <c r="O437" t="str">
        <f>IF(financial_fraud_data[[#This Row],[Risk_Score]]&gt;8,"High",IF(financial_fraud_data[[#This Row],[Risk_Score]]&gt;5,"Med","Low"))</f>
        <v>Med</v>
      </c>
      <c r="P437" t="str">
        <f>TEXT(financial_fraud_data[[#This Row],[Transaction_Date]],"MMM")</f>
        <v>Jan</v>
      </c>
      <c r="Q437" t="str">
        <f>IF(financial_fraud_data[[#This Row],[Is_Fraud]]=1,"Yes","No")</f>
        <v>Yes</v>
      </c>
    </row>
    <row r="438" spans="1:17" x14ac:dyDescent="0.2">
      <c r="A438" t="s">
        <v>771</v>
      </c>
      <c r="B438" t="s">
        <v>772</v>
      </c>
      <c r="C438" s="1">
        <v>45310.166666666664</v>
      </c>
      <c r="D438">
        <v>3684.51</v>
      </c>
      <c r="E438" t="s">
        <v>16</v>
      </c>
      <c r="F438" t="s">
        <v>17</v>
      </c>
      <c r="G438" t="s">
        <v>18</v>
      </c>
      <c r="H438" t="s">
        <v>19</v>
      </c>
      <c r="I438" t="s">
        <v>29</v>
      </c>
      <c r="J438" t="s">
        <v>51</v>
      </c>
      <c r="K438">
        <v>1</v>
      </c>
      <c r="L438">
        <v>2</v>
      </c>
      <c r="M438">
        <v>6.37</v>
      </c>
      <c r="N438">
        <v>1</v>
      </c>
      <c r="O438" t="str">
        <f>IF(financial_fraud_data[[#This Row],[Risk_Score]]&gt;8,"High",IF(financial_fraud_data[[#This Row],[Risk_Score]]&gt;5,"Med","Low"))</f>
        <v>Med</v>
      </c>
      <c r="P438" t="str">
        <f>TEXT(financial_fraud_data[[#This Row],[Transaction_Date]],"MMM")</f>
        <v>Jan</v>
      </c>
      <c r="Q438" t="str">
        <f>IF(financial_fraud_data[[#This Row],[Is_Fraud]]=1,"Yes","No")</f>
        <v>Yes</v>
      </c>
    </row>
    <row r="439" spans="1:17" x14ac:dyDescent="0.2">
      <c r="A439" t="s">
        <v>773</v>
      </c>
      <c r="B439" t="s">
        <v>774</v>
      </c>
      <c r="C439" s="1">
        <v>45310.208333333336</v>
      </c>
      <c r="D439">
        <v>41101.910000000003</v>
      </c>
      <c r="E439" t="s">
        <v>16</v>
      </c>
      <c r="F439" t="s">
        <v>17</v>
      </c>
      <c r="G439" t="s">
        <v>18</v>
      </c>
      <c r="H439" t="s">
        <v>36</v>
      </c>
      <c r="I439" t="s">
        <v>19</v>
      </c>
      <c r="J439" t="s">
        <v>51</v>
      </c>
      <c r="K439">
        <v>0</v>
      </c>
      <c r="L439">
        <v>0</v>
      </c>
      <c r="M439">
        <v>5.1100000000000003</v>
      </c>
      <c r="N439">
        <v>1</v>
      </c>
      <c r="O439" t="str">
        <f>IF(financial_fraud_data[[#This Row],[Risk_Score]]&gt;8,"High",IF(financial_fraud_data[[#This Row],[Risk_Score]]&gt;5,"Med","Low"))</f>
        <v>Med</v>
      </c>
      <c r="P439" t="str">
        <f>TEXT(financial_fraud_data[[#This Row],[Transaction_Date]],"MMM")</f>
        <v>Jan</v>
      </c>
      <c r="Q439" t="str">
        <f>IF(financial_fraud_data[[#This Row],[Is_Fraud]]=1,"Yes","No")</f>
        <v>Yes</v>
      </c>
    </row>
    <row r="440" spans="1:17" x14ac:dyDescent="0.2">
      <c r="A440" t="s">
        <v>775</v>
      </c>
      <c r="B440" t="s">
        <v>459</v>
      </c>
      <c r="C440" s="1">
        <v>45310.25</v>
      </c>
      <c r="D440">
        <v>35326.800000000003</v>
      </c>
      <c r="E440" t="s">
        <v>42</v>
      </c>
      <c r="F440" t="s">
        <v>47</v>
      </c>
      <c r="G440" t="s">
        <v>56</v>
      </c>
      <c r="H440" t="s">
        <v>36</v>
      </c>
      <c r="I440" t="s">
        <v>36</v>
      </c>
      <c r="J440" t="s">
        <v>51</v>
      </c>
      <c r="K440">
        <v>0</v>
      </c>
      <c r="L440">
        <v>4</v>
      </c>
      <c r="M440">
        <v>9.5299999999999994</v>
      </c>
      <c r="N440">
        <v>1</v>
      </c>
      <c r="O440" t="str">
        <f>IF(financial_fraud_data[[#This Row],[Risk_Score]]&gt;8,"High",IF(financial_fraud_data[[#This Row],[Risk_Score]]&gt;5,"Med","Low"))</f>
        <v>High</v>
      </c>
      <c r="P440" t="str">
        <f>TEXT(financial_fraud_data[[#This Row],[Transaction_Date]],"MMM")</f>
        <v>Jan</v>
      </c>
      <c r="Q440" t="str">
        <f>IF(financial_fraud_data[[#This Row],[Is_Fraud]]=1,"Yes","No")</f>
        <v>Yes</v>
      </c>
    </row>
    <row r="441" spans="1:17" x14ac:dyDescent="0.2">
      <c r="A441" t="s">
        <v>776</v>
      </c>
      <c r="B441" t="s">
        <v>84</v>
      </c>
      <c r="C441" s="1">
        <v>45310.291666666664</v>
      </c>
      <c r="D441">
        <v>4113.37</v>
      </c>
      <c r="E441" t="s">
        <v>34</v>
      </c>
      <c r="F441" t="s">
        <v>17</v>
      </c>
      <c r="G441" t="s">
        <v>56</v>
      </c>
      <c r="H441" t="s">
        <v>24</v>
      </c>
      <c r="I441" t="s">
        <v>23</v>
      </c>
      <c r="J441" t="s">
        <v>37</v>
      </c>
      <c r="K441">
        <v>1</v>
      </c>
      <c r="L441">
        <v>0</v>
      </c>
      <c r="M441">
        <v>3.41</v>
      </c>
      <c r="N441">
        <v>0</v>
      </c>
      <c r="O441" t="str">
        <f>IF(financial_fraud_data[[#This Row],[Risk_Score]]&gt;8,"High",IF(financial_fraud_data[[#This Row],[Risk_Score]]&gt;5,"Med","Low"))</f>
        <v>Low</v>
      </c>
      <c r="P441" t="str">
        <f>TEXT(financial_fraud_data[[#This Row],[Transaction_Date]],"MMM")</f>
        <v>Jan</v>
      </c>
      <c r="Q441" t="str">
        <f>IF(financial_fraud_data[[#This Row],[Is_Fraud]]=1,"Yes","No")</f>
        <v>No</v>
      </c>
    </row>
    <row r="442" spans="1:17" x14ac:dyDescent="0.2">
      <c r="A442" t="s">
        <v>777</v>
      </c>
      <c r="B442" t="s">
        <v>778</v>
      </c>
      <c r="C442" s="1">
        <v>45310.333333333336</v>
      </c>
      <c r="D442">
        <v>4287.6400000000003</v>
      </c>
      <c r="E442" t="s">
        <v>16</v>
      </c>
      <c r="F442" t="s">
        <v>27</v>
      </c>
      <c r="G442" t="s">
        <v>18</v>
      </c>
      <c r="H442" t="s">
        <v>19</v>
      </c>
      <c r="I442" t="s">
        <v>23</v>
      </c>
      <c r="J442" t="s">
        <v>20</v>
      </c>
      <c r="K442">
        <v>0</v>
      </c>
      <c r="L442">
        <v>0</v>
      </c>
      <c r="M442">
        <v>1.43</v>
      </c>
      <c r="N442">
        <v>0</v>
      </c>
      <c r="O442" t="str">
        <f>IF(financial_fraud_data[[#This Row],[Risk_Score]]&gt;8,"High",IF(financial_fraud_data[[#This Row],[Risk_Score]]&gt;5,"Med","Low"))</f>
        <v>Low</v>
      </c>
      <c r="P442" t="str">
        <f>TEXT(financial_fraud_data[[#This Row],[Transaction_Date]],"MMM")</f>
        <v>Jan</v>
      </c>
      <c r="Q442" t="str">
        <f>IF(financial_fraud_data[[#This Row],[Is_Fraud]]=1,"Yes","No")</f>
        <v>No</v>
      </c>
    </row>
    <row r="443" spans="1:17" x14ac:dyDescent="0.2">
      <c r="A443" t="s">
        <v>779</v>
      </c>
      <c r="B443" t="s">
        <v>265</v>
      </c>
      <c r="C443" s="1">
        <v>45310.375</v>
      </c>
      <c r="D443">
        <v>49332.65</v>
      </c>
      <c r="E443" t="s">
        <v>34</v>
      </c>
      <c r="F443" t="s">
        <v>50</v>
      </c>
      <c r="G443" t="s">
        <v>28</v>
      </c>
      <c r="H443" t="s">
        <v>24</v>
      </c>
      <c r="I443" t="s">
        <v>24</v>
      </c>
      <c r="J443" t="s">
        <v>37</v>
      </c>
      <c r="K443">
        <v>0</v>
      </c>
      <c r="L443">
        <v>3</v>
      </c>
      <c r="M443">
        <v>9.43</v>
      </c>
      <c r="N443">
        <v>1</v>
      </c>
      <c r="O443" t="str">
        <f>IF(financial_fraud_data[[#This Row],[Risk_Score]]&gt;8,"High",IF(financial_fraud_data[[#This Row],[Risk_Score]]&gt;5,"Med","Low"))</f>
        <v>High</v>
      </c>
      <c r="P443" t="str">
        <f>TEXT(financial_fraud_data[[#This Row],[Transaction_Date]],"MMM")</f>
        <v>Jan</v>
      </c>
      <c r="Q443" t="str">
        <f>IF(financial_fraud_data[[#This Row],[Is_Fraud]]=1,"Yes","No")</f>
        <v>Yes</v>
      </c>
    </row>
    <row r="444" spans="1:17" x14ac:dyDescent="0.2">
      <c r="A444" t="s">
        <v>780</v>
      </c>
      <c r="B444" t="s">
        <v>331</v>
      </c>
      <c r="C444" s="1">
        <v>45310.416666666664</v>
      </c>
      <c r="D444">
        <v>18744.830000000002</v>
      </c>
      <c r="E444" t="s">
        <v>42</v>
      </c>
      <c r="F444" t="s">
        <v>50</v>
      </c>
      <c r="G444" t="s">
        <v>65</v>
      </c>
      <c r="H444" t="s">
        <v>36</v>
      </c>
      <c r="I444" t="s">
        <v>29</v>
      </c>
      <c r="J444" t="s">
        <v>20</v>
      </c>
      <c r="K444">
        <v>0</v>
      </c>
      <c r="L444">
        <v>3</v>
      </c>
      <c r="M444">
        <v>7.37</v>
      </c>
      <c r="N444">
        <v>1</v>
      </c>
      <c r="O444" t="str">
        <f>IF(financial_fraud_data[[#This Row],[Risk_Score]]&gt;8,"High",IF(financial_fraud_data[[#This Row],[Risk_Score]]&gt;5,"Med","Low"))</f>
        <v>Med</v>
      </c>
      <c r="P444" t="str">
        <f>TEXT(financial_fraud_data[[#This Row],[Transaction_Date]],"MMM")</f>
        <v>Jan</v>
      </c>
      <c r="Q444" t="str">
        <f>IF(financial_fraud_data[[#This Row],[Is_Fraud]]=1,"Yes","No")</f>
        <v>Yes</v>
      </c>
    </row>
    <row r="445" spans="1:17" x14ac:dyDescent="0.2">
      <c r="A445" t="s">
        <v>781</v>
      </c>
      <c r="B445" t="s">
        <v>782</v>
      </c>
      <c r="C445" s="1">
        <v>45310.458333333336</v>
      </c>
      <c r="D445">
        <v>18563.580000000002</v>
      </c>
      <c r="E445" t="s">
        <v>16</v>
      </c>
      <c r="F445" t="s">
        <v>50</v>
      </c>
      <c r="G445" t="s">
        <v>65</v>
      </c>
      <c r="H445" t="s">
        <v>29</v>
      </c>
      <c r="I445" t="s">
        <v>19</v>
      </c>
      <c r="J445" t="s">
        <v>20</v>
      </c>
      <c r="K445">
        <v>0</v>
      </c>
      <c r="L445">
        <v>4</v>
      </c>
      <c r="M445">
        <v>8.86</v>
      </c>
      <c r="N445">
        <v>1</v>
      </c>
      <c r="O445" t="str">
        <f>IF(financial_fraud_data[[#This Row],[Risk_Score]]&gt;8,"High",IF(financial_fraud_data[[#This Row],[Risk_Score]]&gt;5,"Med","Low"))</f>
        <v>High</v>
      </c>
      <c r="P445" t="str">
        <f>TEXT(financial_fraud_data[[#This Row],[Transaction_Date]],"MMM")</f>
        <v>Jan</v>
      </c>
      <c r="Q445" t="str">
        <f>IF(financial_fraud_data[[#This Row],[Is_Fraud]]=1,"Yes","No")</f>
        <v>Yes</v>
      </c>
    </row>
    <row r="446" spans="1:17" x14ac:dyDescent="0.2">
      <c r="A446" t="s">
        <v>783</v>
      </c>
      <c r="B446" t="s">
        <v>580</v>
      </c>
      <c r="C446" s="1">
        <v>45310.5</v>
      </c>
      <c r="D446">
        <v>40649.339999999997</v>
      </c>
      <c r="E446" t="s">
        <v>42</v>
      </c>
      <c r="F446" t="s">
        <v>27</v>
      </c>
      <c r="G446" t="s">
        <v>18</v>
      </c>
      <c r="H446" t="s">
        <v>23</v>
      </c>
      <c r="I446" t="s">
        <v>36</v>
      </c>
      <c r="J446" t="s">
        <v>51</v>
      </c>
      <c r="K446">
        <v>1</v>
      </c>
      <c r="L446">
        <v>4</v>
      </c>
      <c r="M446">
        <v>13.06</v>
      </c>
      <c r="N446">
        <v>1</v>
      </c>
      <c r="O446" t="str">
        <f>IF(financial_fraud_data[[#This Row],[Risk_Score]]&gt;8,"High",IF(financial_fraud_data[[#This Row],[Risk_Score]]&gt;5,"Med","Low"))</f>
        <v>High</v>
      </c>
      <c r="P446" t="str">
        <f>TEXT(financial_fraud_data[[#This Row],[Transaction_Date]],"MMM")</f>
        <v>Jan</v>
      </c>
      <c r="Q446" t="str">
        <f>IF(financial_fraud_data[[#This Row],[Is_Fraud]]=1,"Yes","No")</f>
        <v>Yes</v>
      </c>
    </row>
    <row r="447" spans="1:17" x14ac:dyDescent="0.2">
      <c r="A447" t="s">
        <v>784</v>
      </c>
      <c r="B447" t="s">
        <v>545</v>
      </c>
      <c r="C447" s="1">
        <v>45310.541666666664</v>
      </c>
      <c r="D447">
        <v>47365.07</v>
      </c>
      <c r="E447" t="s">
        <v>34</v>
      </c>
      <c r="F447" t="s">
        <v>27</v>
      </c>
      <c r="G447" t="s">
        <v>56</v>
      </c>
      <c r="H447" t="s">
        <v>36</v>
      </c>
      <c r="I447" t="s">
        <v>23</v>
      </c>
      <c r="J447" t="s">
        <v>51</v>
      </c>
      <c r="K447">
        <v>0</v>
      </c>
      <c r="L447">
        <v>4</v>
      </c>
      <c r="M447">
        <v>11.74</v>
      </c>
      <c r="N447">
        <v>1</v>
      </c>
      <c r="O447" t="str">
        <f>IF(financial_fraud_data[[#This Row],[Risk_Score]]&gt;8,"High",IF(financial_fraud_data[[#This Row],[Risk_Score]]&gt;5,"Med","Low"))</f>
        <v>High</v>
      </c>
      <c r="P447" t="str">
        <f>TEXT(financial_fraud_data[[#This Row],[Transaction_Date]],"MMM")</f>
        <v>Jan</v>
      </c>
      <c r="Q447" t="str">
        <f>IF(financial_fraud_data[[#This Row],[Is_Fraud]]=1,"Yes","No")</f>
        <v>Yes</v>
      </c>
    </row>
    <row r="448" spans="1:17" x14ac:dyDescent="0.2">
      <c r="A448" t="s">
        <v>785</v>
      </c>
      <c r="B448" t="s">
        <v>519</v>
      </c>
      <c r="C448" s="1">
        <v>45310.583333333336</v>
      </c>
      <c r="D448">
        <v>49300.75</v>
      </c>
      <c r="E448" t="s">
        <v>34</v>
      </c>
      <c r="F448" t="s">
        <v>27</v>
      </c>
      <c r="G448" t="s">
        <v>28</v>
      </c>
      <c r="H448" t="s">
        <v>19</v>
      </c>
      <c r="I448" t="s">
        <v>36</v>
      </c>
      <c r="J448" t="s">
        <v>37</v>
      </c>
      <c r="K448">
        <v>0</v>
      </c>
      <c r="L448">
        <v>4</v>
      </c>
      <c r="M448">
        <v>11.93</v>
      </c>
      <c r="N448">
        <v>1</v>
      </c>
      <c r="O448" t="str">
        <f>IF(financial_fraud_data[[#This Row],[Risk_Score]]&gt;8,"High",IF(financial_fraud_data[[#This Row],[Risk_Score]]&gt;5,"Med","Low"))</f>
        <v>High</v>
      </c>
      <c r="P448" t="str">
        <f>TEXT(financial_fraud_data[[#This Row],[Transaction_Date]],"MMM")</f>
        <v>Jan</v>
      </c>
      <c r="Q448" t="str">
        <f>IF(financial_fraud_data[[#This Row],[Is_Fraud]]=1,"Yes","No")</f>
        <v>Yes</v>
      </c>
    </row>
    <row r="449" spans="1:17" x14ac:dyDescent="0.2">
      <c r="A449" t="s">
        <v>786</v>
      </c>
      <c r="B449" t="s">
        <v>787</v>
      </c>
      <c r="C449" s="1">
        <v>45310.625</v>
      </c>
      <c r="D449">
        <v>37681.24</v>
      </c>
      <c r="E449" t="s">
        <v>42</v>
      </c>
      <c r="F449" t="s">
        <v>27</v>
      </c>
      <c r="G449" t="s">
        <v>18</v>
      </c>
      <c r="H449" t="s">
        <v>36</v>
      </c>
      <c r="I449" t="s">
        <v>19</v>
      </c>
      <c r="J449" t="s">
        <v>20</v>
      </c>
      <c r="K449">
        <v>0</v>
      </c>
      <c r="L449">
        <v>4</v>
      </c>
      <c r="M449">
        <v>10.77</v>
      </c>
      <c r="N449">
        <v>1</v>
      </c>
      <c r="O449" t="str">
        <f>IF(financial_fraud_data[[#This Row],[Risk_Score]]&gt;8,"High",IF(financial_fraud_data[[#This Row],[Risk_Score]]&gt;5,"Med","Low"))</f>
        <v>High</v>
      </c>
      <c r="P449" t="str">
        <f>TEXT(financial_fraud_data[[#This Row],[Transaction_Date]],"MMM")</f>
        <v>Jan</v>
      </c>
      <c r="Q449" t="str">
        <f>IF(financial_fraud_data[[#This Row],[Is_Fraud]]=1,"Yes","No")</f>
        <v>Yes</v>
      </c>
    </row>
    <row r="450" spans="1:17" x14ac:dyDescent="0.2">
      <c r="A450" t="s">
        <v>788</v>
      </c>
      <c r="B450" t="s">
        <v>270</v>
      </c>
      <c r="C450" s="1">
        <v>45310.666666666664</v>
      </c>
      <c r="D450">
        <v>18844.169999999998</v>
      </c>
      <c r="E450" t="s">
        <v>80</v>
      </c>
      <c r="F450" t="s">
        <v>27</v>
      </c>
      <c r="G450" t="s">
        <v>65</v>
      </c>
      <c r="H450" t="s">
        <v>19</v>
      </c>
      <c r="I450" t="s">
        <v>36</v>
      </c>
      <c r="J450" t="s">
        <v>51</v>
      </c>
      <c r="K450">
        <v>0</v>
      </c>
      <c r="L450">
        <v>0</v>
      </c>
      <c r="M450">
        <v>2.88</v>
      </c>
      <c r="N450">
        <v>0</v>
      </c>
      <c r="O450" t="str">
        <f>IF(financial_fraud_data[[#This Row],[Risk_Score]]&gt;8,"High",IF(financial_fraud_data[[#This Row],[Risk_Score]]&gt;5,"Med","Low"))</f>
        <v>Low</v>
      </c>
      <c r="P450" t="str">
        <f>TEXT(financial_fraud_data[[#This Row],[Transaction_Date]],"MMM")</f>
        <v>Jan</v>
      </c>
      <c r="Q450" t="str">
        <f>IF(financial_fraud_data[[#This Row],[Is_Fraud]]=1,"Yes","No")</f>
        <v>No</v>
      </c>
    </row>
    <row r="451" spans="1:17" x14ac:dyDescent="0.2">
      <c r="A451" t="s">
        <v>789</v>
      </c>
      <c r="B451" t="s">
        <v>623</v>
      </c>
      <c r="C451" s="1">
        <v>45310.708333333336</v>
      </c>
      <c r="D451">
        <v>4220.8599999999997</v>
      </c>
      <c r="E451" t="s">
        <v>16</v>
      </c>
      <c r="F451" t="s">
        <v>17</v>
      </c>
      <c r="G451" t="s">
        <v>35</v>
      </c>
      <c r="H451" t="s">
        <v>19</v>
      </c>
      <c r="I451" t="s">
        <v>29</v>
      </c>
      <c r="J451" t="s">
        <v>51</v>
      </c>
      <c r="K451">
        <v>0</v>
      </c>
      <c r="L451">
        <v>0</v>
      </c>
      <c r="M451">
        <v>1.42</v>
      </c>
      <c r="N451">
        <v>0</v>
      </c>
      <c r="O451" t="str">
        <f>IF(financial_fraud_data[[#This Row],[Risk_Score]]&gt;8,"High",IF(financial_fraud_data[[#This Row],[Risk_Score]]&gt;5,"Med","Low"))</f>
        <v>Low</v>
      </c>
      <c r="P451" t="str">
        <f>TEXT(financial_fraud_data[[#This Row],[Transaction_Date]],"MMM")</f>
        <v>Jan</v>
      </c>
      <c r="Q451" t="str">
        <f>IF(financial_fraud_data[[#This Row],[Is_Fraud]]=1,"Yes","No")</f>
        <v>No</v>
      </c>
    </row>
    <row r="452" spans="1:17" x14ac:dyDescent="0.2">
      <c r="A452" t="s">
        <v>790</v>
      </c>
      <c r="B452" t="s">
        <v>738</v>
      </c>
      <c r="C452" s="1">
        <v>45310.75</v>
      </c>
      <c r="D452">
        <v>38868.49</v>
      </c>
      <c r="E452" t="s">
        <v>34</v>
      </c>
      <c r="F452" t="s">
        <v>27</v>
      </c>
      <c r="G452" t="s">
        <v>56</v>
      </c>
      <c r="H452" t="s">
        <v>19</v>
      </c>
      <c r="I452" t="s">
        <v>24</v>
      </c>
      <c r="J452" t="s">
        <v>51</v>
      </c>
      <c r="K452">
        <v>0</v>
      </c>
      <c r="L452">
        <v>2</v>
      </c>
      <c r="M452">
        <v>7.89</v>
      </c>
      <c r="N452">
        <v>1</v>
      </c>
      <c r="O452" t="str">
        <f>IF(financial_fraud_data[[#This Row],[Risk_Score]]&gt;8,"High",IF(financial_fraud_data[[#This Row],[Risk_Score]]&gt;5,"Med","Low"))</f>
        <v>Med</v>
      </c>
      <c r="P452" t="str">
        <f>TEXT(financial_fraud_data[[#This Row],[Transaction_Date]],"MMM")</f>
        <v>Jan</v>
      </c>
      <c r="Q452" t="str">
        <f>IF(financial_fraud_data[[#This Row],[Is_Fraud]]=1,"Yes","No")</f>
        <v>Yes</v>
      </c>
    </row>
    <row r="453" spans="1:17" x14ac:dyDescent="0.2">
      <c r="A453" t="s">
        <v>791</v>
      </c>
      <c r="B453" t="s">
        <v>457</v>
      </c>
      <c r="C453" s="1">
        <v>45310.791666666664</v>
      </c>
      <c r="D453">
        <v>27942.29</v>
      </c>
      <c r="E453" t="s">
        <v>34</v>
      </c>
      <c r="F453" t="s">
        <v>27</v>
      </c>
      <c r="G453" t="s">
        <v>35</v>
      </c>
      <c r="H453" t="s">
        <v>24</v>
      </c>
      <c r="I453" t="s">
        <v>36</v>
      </c>
      <c r="J453" t="s">
        <v>51</v>
      </c>
      <c r="K453">
        <v>0</v>
      </c>
      <c r="L453">
        <v>2</v>
      </c>
      <c r="M453">
        <v>6.79</v>
      </c>
      <c r="N453">
        <v>1</v>
      </c>
      <c r="O453" t="str">
        <f>IF(financial_fraud_data[[#This Row],[Risk_Score]]&gt;8,"High",IF(financial_fraud_data[[#This Row],[Risk_Score]]&gt;5,"Med","Low"))</f>
        <v>Med</v>
      </c>
      <c r="P453" t="str">
        <f>TEXT(financial_fraud_data[[#This Row],[Transaction_Date]],"MMM")</f>
        <v>Jan</v>
      </c>
      <c r="Q453" t="str">
        <f>IF(financial_fraud_data[[#This Row],[Is_Fraud]]=1,"Yes","No")</f>
        <v>Yes</v>
      </c>
    </row>
    <row r="454" spans="1:17" x14ac:dyDescent="0.2">
      <c r="A454" t="s">
        <v>792</v>
      </c>
      <c r="B454" t="s">
        <v>276</v>
      </c>
      <c r="C454" s="1">
        <v>45310.833333333336</v>
      </c>
      <c r="D454">
        <v>21239.89</v>
      </c>
      <c r="E454" t="s">
        <v>16</v>
      </c>
      <c r="F454" t="s">
        <v>27</v>
      </c>
      <c r="G454" t="s">
        <v>18</v>
      </c>
      <c r="H454" t="s">
        <v>29</v>
      </c>
      <c r="I454" t="s">
        <v>24</v>
      </c>
      <c r="J454" t="s">
        <v>37</v>
      </c>
      <c r="K454">
        <v>1</v>
      </c>
      <c r="L454">
        <v>1</v>
      </c>
      <c r="M454">
        <v>6.62</v>
      </c>
      <c r="N454">
        <v>1</v>
      </c>
      <c r="O454" t="str">
        <f>IF(financial_fraud_data[[#This Row],[Risk_Score]]&gt;8,"High",IF(financial_fraud_data[[#This Row],[Risk_Score]]&gt;5,"Med","Low"))</f>
        <v>Med</v>
      </c>
      <c r="P454" t="str">
        <f>TEXT(financial_fraud_data[[#This Row],[Transaction_Date]],"MMM")</f>
        <v>Jan</v>
      </c>
      <c r="Q454" t="str">
        <f>IF(financial_fraud_data[[#This Row],[Is_Fraud]]=1,"Yes","No")</f>
        <v>Yes</v>
      </c>
    </row>
    <row r="455" spans="1:17" x14ac:dyDescent="0.2">
      <c r="A455" t="s">
        <v>793</v>
      </c>
      <c r="B455" t="s">
        <v>794</v>
      </c>
      <c r="C455" s="1">
        <v>45310.875</v>
      </c>
      <c r="D455">
        <v>45322.400000000001</v>
      </c>
      <c r="E455" t="s">
        <v>42</v>
      </c>
      <c r="F455" t="s">
        <v>27</v>
      </c>
      <c r="G455" t="s">
        <v>65</v>
      </c>
      <c r="H455" t="s">
        <v>36</v>
      </c>
      <c r="I455" t="s">
        <v>19</v>
      </c>
      <c r="J455" t="s">
        <v>37</v>
      </c>
      <c r="K455">
        <v>0</v>
      </c>
      <c r="L455">
        <v>0</v>
      </c>
      <c r="M455">
        <v>5.53</v>
      </c>
      <c r="N455">
        <v>1</v>
      </c>
      <c r="O455" t="str">
        <f>IF(financial_fraud_data[[#This Row],[Risk_Score]]&gt;8,"High",IF(financial_fraud_data[[#This Row],[Risk_Score]]&gt;5,"Med","Low"))</f>
        <v>Med</v>
      </c>
      <c r="P455" t="str">
        <f>TEXT(financial_fraud_data[[#This Row],[Transaction_Date]],"MMM")</f>
        <v>Jan</v>
      </c>
      <c r="Q455" t="str">
        <f>IF(financial_fraud_data[[#This Row],[Is_Fraud]]=1,"Yes","No")</f>
        <v>Yes</v>
      </c>
    </row>
    <row r="456" spans="1:17" x14ac:dyDescent="0.2">
      <c r="A456" t="s">
        <v>795</v>
      </c>
      <c r="B456" t="s">
        <v>237</v>
      </c>
      <c r="C456" s="1">
        <v>45310.916666666664</v>
      </c>
      <c r="D456">
        <v>5604.31</v>
      </c>
      <c r="E456" t="s">
        <v>42</v>
      </c>
      <c r="F456" t="s">
        <v>50</v>
      </c>
      <c r="G456" t="s">
        <v>28</v>
      </c>
      <c r="H456" t="s">
        <v>29</v>
      </c>
      <c r="I456" t="s">
        <v>24</v>
      </c>
      <c r="J456" t="s">
        <v>51</v>
      </c>
      <c r="K456">
        <v>0</v>
      </c>
      <c r="L456">
        <v>4</v>
      </c>
      <c r="M456">
        <v>7.56</v>
      </c>
      <c r="N456">
        <v>1</v>
      </c>
      <c r="O456" t="str">
        <f>IF(financial_fraud_data[[#This Row],[Risk_Score]]&gt;8,"High",IF(financial_fraud_data[[#This Row],[Risk_Score]]&gt;5,"Med","Low"))</f>
        <v>Med</v>
      </c>
      <c r="P456" t="str">
        <f>TEXT(financial_fraud_data[[#This Row],[Transaction_Date]],"MMM")</f>
        <v>Jan</v>
      </c>
      <c r="Q456" t="str">
        <f>IF(financial_fraud_data[[#This Row],[Is_Fraud]]=1,"Yes","No")</f>
        <v>Yes</v>
      </c>
    </row>
    <row r="457" spans="1:17" x14ac:dyDescent="0.2">
      <c r="A457" t="s">
        <v>796</v>
      </c>
      <c r="B457" t="s">
        <v>304</v>
      </c>
      <c r="C457" s="1">
        <v>45310.958333333336</v>
      </c>
      <c r="D457">
        <v>24656.62</v>
      </c>
      <c r="E457" t="s">
        <v>42</v>
      </c>
      <c r="F457" t="s">
        <v>27</v>
      </c>
      <c r="G457" t="s">
        <v>35</v>
      </c>
      <c r="H457" t="s">
        <v>23</v>
      </c>
      <c r="I457" t="s">
        <v>36</v>
      </c>
      <c r="J457" t="s">
        <v>51</v>
      </c>
      <c r="K457">
        <v>0</v>
      </c>
      <c r="L457">
        <v>1</v>
      </c>
      <c r="M457">
        <v>4.97</v>
      </c>
      <c r="N457">
        <v>0</v>
      </c>
      <c r="O457" t="str">
        <f>IF(financial_fraud_data[[#This Row],[Risk_Score]]&gt;8,"High",IF(financial_fraud_data[[#This Row],[Risk_Score]]&gt;5,"Med","Low"))</f>
        <v>Low</v>
      </c>
      <c r="P457" t="str">
        <f>TEXT(financial_fraud_data[[#This Row],[Transaction_Date]],"MMM")</f>
        <v>Jan</v>
      </c>
      <c r="Q457" t="str">
        <f>IF(financial_fraud_data[[#This Row],[Is_Fraud]]=1,"Yes","No")</f>
        <v>No</v>
      </c>
    </row>
    <row r="458" spans="1:17" x14ac:dyDescent="0.2">
      <c r="A458" t="s">
        <v>797</v>
      </c>
      <c r="B458" t="s">
        <v>493</v>
      </c>
      <c r="C458" s="1">
        <v>45311</v>
      </c>
      <c r="D458">
        <v>617.11</v>
      </c>
      <c r="E458" t="s">
        <v>80</v>
      </c>
      <c r="F458" t="s">
        <v>17</v>
      </c>
      <c r="G458" t="s">
        <v>28</v>
      </c>
      <c r="H458" t="s">
        <v>36</v>
      </c>
      <c r="I458" t="s">
        <v>36</v>
      </c>
      <c r="J458" t="s">
        <v>51</v>
      </c>
      <c r="K458">
        <v>0</v>
      </c>
      <c r="L458">
        <v>3</v>
      </c>
      <c r="M458">
        <v>4.5599999999999996</v>
      </c>
      <c r="N458">
        <v>0</v>
      </c>
      <c r="O458" t="str">
        <f>IF(financial_fraud_data[[#This Row],[Risk_Score]]&gt;8,"High",IF(financial_fraud_data[[#This Row],[Risk_Score]]&gt;5,"Med","Low"))</f>
        <v>Low</v>
      </c>
      <c r="P458" t="str">
        <f>TEXT(financial_fraud_data[[#This Row],[Transaction_Date]],"MMM")</f>
        <v>Jan</v>
      </c>
      <c r="Q458" t="str">
        <f>IF(financial_fraud_data[[#This Row],[Is_Fraud]]=1,"Yes","No")</f>
        <v>No</v>
      </c>
    </row>
    <row r="459" spans="1:17" x14ac:dyDescent="0.2">
      <c r="A459" t="s">
        <v>798</v>
      </c>
      <c r="B459" t="s">
        <v>616</v>
      </c>
      <c r="C459" s="1">
        <v>45311.041666666664</v>
      </c>
      <c r="D459">
        <v>23459.599999999999</v>
      </c>
      <c r="E459" t="s">
        <v>80</v>
      </c>
      <c r="F459" t="s">
        <v>17</v>
      </c>
      <c r="G459" t="s">
        <v>65</v>
      </c>
      <c r="H459" t="s">
        <v>29</v>
      </c>
      <c r="I459" t="s">
        <v>23</v>
      </c>
      <c r="J459" t="s">
        <v>51</v>
      </c>
      <c r="K459">
        <v>0</v>
      </c>
      <c r="L459">
        <v>0</v>
      </c>
      <c r="M459">
        <v>3.35</v>
      </c>
      <c r="N459">
        <v>0</v>
      </c>
      <c r="O459" t="str">
        <f>IF(financial_fraud_data[[#This Row],[Risk_Score]]&gt;8,"High",IF(financial_fraud_data[[#This Row],[Risk_Score]]&gt;5,"Med","Low"))</f>
        <v>Low</v>
      </c>
      <c r="P459" t="str">
        <f>TEXT(financial_fraud_data[[#This Row],[Transaction_Date]],"MMM")</f>
        <v>Jan</v>
      </c>
      <c r="Q459" t="str">
        <f>IF(financial_fraud_data[[#This Row],[Is_Fraud]]=1,"Yes","No")</f>
        <v>No</v>
      </c>
    </row>
    <row r="460" spans="1:17" x14ac:dyDescent="0.2">
      <c r="A460" t="s">
        <v>799</v>
      </c>
      <c r="B460" t="s">
        <v>570</v>
      </c>
      <c r="C460" s="1">
        <v>45311.083333333336</v>
      </c>
      <c r="D460">
        <v>2862.35</v>
      </c>
      <c r="E460" t="s">
        <v>34</v>
      </c>
      <c r="F460" t="s">
        <v>17</v>
      </c>
      <c r="G460" t="s">
        <v>35</v>
      </c>
      <c r="H460" t="s">
        <v>29</v>
      </c>
      <c r="I460" t="s">
        <v>36</v>
      </c>
      <c r="J460" t="s">
        <v>51</v>
      </c>
      <c r="K460">
        <v>0</v>
      </c>
      <c r="L460">
        <v>2</v>
      </c>
      <c r="M460">
        <v>4.29</v>
      </c>
      <c r="N460">
        <v>0</v>
      </c>
      <c r="O460" t="str">
        <f>IF(financial_fraud_data[[#This Row],[Risk_Score]]&gt;8,"High",IF(financial_fraud_data[[#This Row],[Risk_Score]]&gt;5,"Med","Low"))</f>
        <v>Low</v>
      </c>
      <c r="P460" t="str">
        <f>TEXT(financial_fraud_data[[#This Row],[Transaction_Date]],"MMM")</f>
        <v>Jan</v>
      </c>
      <c r="Q460" t="str">
        <f>IF(financial_fraud_data[[#This Row],[Is_Fraud]]=1,"Yes","No")</f>
        <v>No</v>
      </c>
    </row>
    <row r="461" spans="1:17" x14ac:dyDescent="0.2">
      <c r="A461" t="s">
        <v>800</v>
      </c>
      <c r="B461" t="s">
        <v>49</v>
      </c>
      <c r="C461" s="1">
        <v>45311.125</v>
      </c>
      <c r="D461">
        <v>5984.95</v>
      </c>
      <c r="E461" t="s">
        <v>42</v>
      </c>
      <c r="F461" t="s">
        <v>47</v>
      </c>
      <c r="G461" t="s">
        <v>28</v>
      </c>
      <c r="H461" t="s">
        <v>23</v>
      </c>
      <c r="I461" t="s">
        <v>24</v>
      </c>
      <c r="J461" t="s">
        <v>20</v>
      </c>
      <c r="K461">
        <v>1</v>
      </c>
      <c r="L461">
        <v>0</v>
      </c>
      <c r="M461">
        <v>3.6</v>
      </c>
      <c r="N461">
        <v>0</v>
      </c>
      <c r="O461" t="str">
        <f>IF(financial_fraud_data[[#This Row],[Risk_Score]]&gt;8,"High",IF(financial_fraud_data[[#This Row],[Risk_Score]]&gt;5,"Med","Low"))</f>
        <v>Low</v>
      </c>
      <c r="P461" t="str">
        <f>TEXT(financial_fraud_data[[#This Row],[Transaction_Date]],"MMM")</f>
        <v>Jan</v>
      </c>
      <c r="Q461" t="str">
        <f>IF(financial_fraud_data[[#This Row],[Is_Fraud]]=1,"Yes","No")</f>
        <v>No</v>
      </c>
    </row>
    <row r="462" spans="1:17" x14ac:dyDescent="0.2">
      <c r="A462" t="s">
        <v>801</v>
      </c>
      <c r="B462" t="s">
        <v>178</v>
      </c>
      <c r="C462" s="1">
        <v>45311.166666666664</v>
      </c>
      <c r="D462">
        <v>5920.44</v>
      </c>
      <c r="E462" t="s">
        <v>16</v>
      </c>
      <c r="F462" t="s">
        <v>50</v>
      </c>
      <c r="G462" t="s">
        <v>28</v>
      </c>
      <c r="H462" t="s">
        <v>19</v>
      </c>
      <c r="I462" t="s">
        <v>23</v>
      </c>
      <c r="J462" t="s">
        <v>20</v>
      </c>
      <c r="K462">
        <v>1</v>
      </c>
      <c r="L462">
        <v>0</v>
      </c>
      <c r="M462">
        <v>3.59</v>
      </c>
      <c r="N462">
        <v>0</v>
      </c>
      <c r="O462" t="str">
        <f>IF(financial_fraud_data[[#This Row],[Risk_Score]]&gt;8,"High",IF(financial_fraud_data[[#This Row],[Risk_Score]]&gt;5,"Med","Low"))</f>
        <v>Low</v>
      </c>
      <c r="P462" t="str">
        <f>TEXT(financial_fraud_data[[#This Row],[Transaction_Date]],"MMM")</f>
        <v>Jan</v>
      </c>
      <c r="Q462" t="str">
        <f>IF(financial_fraud_data[[#This Row],[Is_Fraud]]=1,"Yes","No")</f>
        <v>No</v>
      </c>
    </row>
    <row r="463" spans="1:17" x14ac:dyDescent="0.2">
      <c r="A463" t="s">
        <v>802</v>
      </c>
      <c r="B463" t="s">
        <v>616</v>
      </c>
      <c r="C463" s="1">
        <v>45311.208333333336</v>
      </c>
      <c r="D463">
        <v>32478.05</v>
      </c>
      <c r="E463" t="s">
        <v>34</v>
      </c>
      <c r="F463" t="s">
        <v>27</v>
      </c>
      <c r="G463" t="s">
        <v>35</v>
      </c>
      <c r="H463" t="s">
        <v>36</v>
      </c>
      <c r="I463" t="s">
        <v>36</v>
      </c>
      <c r="J463" t="s">
        <v>20</v>
      </c>
      <c r="K463">
        <v>0</v>
      </c>
      <c r="L463">
        <v>0</v>
      </c>
      <c r="M463">
        <v>3.25</v>
      </c>
      <c r="N463">
        <v>0</v>
      </c>
      <c r="O463" t="str">
        <f>IF(financial_fraud_data[[#This Row],[Risk_Score]]&gt;8,"High",IF(financial_fraud_data[[#This Row],[Risk_Score]]&gt;5,"Med","Low"))</f>
        <v>Low</v>
      </c>
      <c r="P463" t="str">
        <f>TEXT(financial_fraud_data[[#This Row],[Transaction_Date]],"MMM")</f>
        <v>Jan</v>
      </c>
      <c r="Q463" t="str">
        <f>IF(financial_fraud_data[[#This Row],[Is_Fraud]]=1,"Yes","No")</f>
        <v>No</v>
      </c>
    </row>
    <row r="464" spans="1:17" x14ac:dyDescent="0.2">
      <c r="A464" t="s">
        <v>803</v>
      </c>
      <c r="B464" t="s">
        <v>457</v>
      </c>
      <c r="C464" s="1">
        <v>45311.25</v>
      </c>
      <c r="D464">
        <v>37314.94</v>
      </c>
      <c r="E464" t="s">
        <v>16</v>
      </c>
      <c r="F464" t="s">
        <v>47</v>
      </c>
      <c r="G464" t="s">
        <v>65</v>
      </c>
      <c r="H464" t="s">
        <v>36</v>
      </c>
      <c r="I464" t="s">
        <v>36</v>
      </c>
      <c r="J464" t="s">
        <v>20</v>
      </c>
      <c r="K464">
        <v>0</v>
      </c>
      <c r="L464">
        <v>0</v>
      </c>
      <c r="M464">
        <v>3.73</v>
      </c>
      <c r="N464">
        <v>0</v>
      </c>
      <c r="O464" t="str">
        <f>IF(financial_fraud_data[[#This Row],[Risk_Score]]&gt;8,"High",IF(financial_fraud_data[[#This Row],[Risk_Score]]&gt;5,"Med","Low"))</f>
        <v>Low</v>
      </c>
      <c r="P464" t="str">
        <f>TEXT(financial_fraud_data[[#This Row],[Transaction_Date]],"MMM")</f>
        <v>Jan</v>
      </c>
      <c r="Q464" t="str">
        <f>IF(financial_fraud_data[[#This Row],[Is_Fraud]]=1,"Yes","No")</f>
        <v>No</v>
      </c>
    </row>
    <row r="465" spans="1:17" x14ac:dyDescent="0.2">
      <c r="A465" t="s">
        <v>804</v>
      </c>
      <c r="B465" t="s">
        <v>805</v>
      </c>
      <c r="C465" s="1">
        <v>45311.291666666664</v>
      </c>
      <c r="D465">
        <v>29189.27</v>
      </c>
      <c r="E465" t="s">
        <v>34</v>
      </c>
      <c r="F465" t="s">
        <v>27</v>
      </c>
      <c r="G465" t="s">
        <v>28</v>
      </c>
      <c r="H465" t="s">
        <v>23</v>
      </c>
      <c r="I465" t="s">
        <v>19</v>
      </c>
      <c r="J465" t="s">
        <v>51</v>
      </c>
      <c r="K465">
        <v>0</v>
      </c>
      <c r="L465">
        <v>3</v>
      </c>
      <c r="M465">
        <v>8.42</v>
      </c>
      <c r="N465">
        <v>1</v>
      </c>
      <c r="O465" t="str">
        <f>IF(financial_fraud_data[[#This Row],[Risk_Score]]&gt;8,"High",IF(financial_fraud_data[[#This Row],[Risk_Score]]&gt;5,"Med","Low"))</f>
        <v>High</v>
      </c>
      <c r="P465" t="str">
        <f>TEXT(financial_fraud_data[[#This Row],[Transaction_Date]],"MMM")</f>
        <v>Jan</v>
      </c>
      <c r="Q465" t="str">
        <f>IF(financial_fraud_data[[#This Row],[Is_Fraud]]=1,"Yes","No")</f>
        <v>Yes</v>
      </c>
    </row>
    <row r="466" spans="1:17" x14ac:dyDescent="0.2">
      <c r="A466" t="s">
        <v>806</v>
      </c>
      <c r="B466" t="s">
        <v>807</v>
      </c>
      <c r="C466" s="1">
        <v>45311.333333333336</v>
      </c>
      <c r="D466">
        <v>48110.52</v>
      </c>
      <c r="E466" t="s">
        <v>80</v>
      </c>
      <c r="F466" t="s">
        <v>47</v>
      </c>
      <c r="G466" t="s">
        <v>18</v>
      </c>
      <c r="H466" t="s">
        <v>19</v>
      </c>
      <c r="I466" t="s">
        <v>23</v>
      </c>
      <c r="J466" t="s">
        <v>20</v>
      </c>
      <c r="K466">
        <v>0</v>
      </c>
      <c r="L466">
        <v>2</v>
      </c>
      <c r="M466">
        <v>8.81</v>
      </c>
      <c r="N466">
        <v>1</v>
      </c>
      <c r="O466" t="str">
        <f>IF(financial_fraud_data[[#This Row],[Risk_Score]]&gt;8,"High",IF(financial_fraud_data[[#This Row],[Risk_Score]]&gt;5,"Med","Low"))</f>
        <v>High</v>
      </c>
      <c r="P466" t="str">
        <f>TEXT(financial_fraud_data[[#This Row],[Transaction_Date]],"MMM")</f>
        <v>Jan</v>
      </c>
      <c r="Q466" t="str">
        <f>IF(financial_fraud_data[[#This Row],[Is_Fraud]]=1,"Yes","No")</f>
        <v>Yes</v>
      </c>
    </row>
    <row r="467" spans="1:17" x14ac:dyDescent="0.2">
      <c r="A467" t="s">
        <v>808</v>
      </c>
      <c r="B467" t="s">
        <v>809</v>
      </c>
      <c r="C467" s="1">
        <v>45311.375</v>
      </c>
      <c r="D467">
        <v>18774.79</v>
      </c>
      <c r="E467" t="s">
        <v>34</v>
      </c>
      <c r="F467" t="s">
        <v>47</v>
      </c>
      <c r="G467" t="s">
        <v>35</v>
      </c>
      <c r="H467" t="s">
        <v>36</v>
      </c>
      <c r="I467" t="s">
        <v>19</v>
      </c>
      <c r="J467" t="s">
        <v>20</v>
      </c>
      <c r="K467">
        <v>0</v>
      </c>
      <c r="L467">
        <v>0</v>
      </c>
      <c r="M467">
        <v>2.88</v>
      </c>
      <c r="N467">
        <v>0</v>
      </c>
      <c r="O467" t="str">
        <f>IF(financial_fraud_data[[#This Row],[Risk_Score]]&gt;8,"High",IF(financial_fraud_data[[#This Row],[Risk_Score]]&gt;5,"Med","Low"))</f>
        <v>Low</v>
      </c>
      <c r="P467" t="str">
        <f>TEXT(financial_fraud_data[[#This Row],[Transaction_Date]],"MMM")</f>
        <v>Jan</v>
      </c>
      <c r="Q467" t="str">
        <f>IF(financial_fraud_data[[#This Row],[Is_Fraud]]=1,"Yes","No")</f>
        <v>No</v>
      </c>
    </row>
    <row r="468" spans="1:17" x14ac:dyDescent="0.2">
      <c r="A468" t="s">
        <v>810</v>
      </c>
      <c r="B468" t="s">
        <v>341</v>
      </c>
      <c r="C468" s="1">
        <v>45311.416666666664</v>
      </c>
      <c r="D468">
        <v>14321.32</v>
      </c>
      <c r="E468" t="s">
        <v>80</v>
      </c>
      <c r="F468" t="s">
        <v>17</v>
      </c>
      <c r="G468" t="s">
        <v>56</v>
      </c>
      <c r="H468" t="s">
        <v>36</v>
      </c>
      <c r="I468" t="s">
        <v>19</v>
      </c>
      <c r="J468" t="s">
        <v>37</v>
      </c>
      <c r="K468">
        <v>0</v>
      </c>
      <c r="L468">
        <v>3</v>
      </c>
      <c r="M468">
        <v>6.93</v>
      </c>
      <c r="N468">
        <v>1</v>
      </c>
      <c r="O468" t="str">
        <f>IF(financial_fraud_data[[#This Row],[Risk_Score]]&gt;8,"High",IF(financial_fraud_data[[#This Row],[Risk_Score]]&gt;5,"Med","Low"))</f>
        <v>Med</v>
      </c>
      <c r="P468" t="str">
        <f>TEXT(financial_fraud_data[[#This Row],[Transaction_Date]],"MMM")</f>
        <v>Jan</v>
      </c>
      <c r="Q468" t="str">
        <f>IF(financial_fraud_data[[#This Row],[Is_Fraud]]=1,"Yes","No")</f>
        <v>Yes</v>
      </c>
    </row>
    <row r="469" spans="1:17" x14ac:dyDescent="0.2">
      <c r="A469" t="s">
        <v>811</v>
      </c>
      <c r="B469" t="s">
        <v>812</v>
      </c>
      <c r="C469" s="1">
        <v>45311.458333333336</v>
      </c>
      <c r="D469">
        <v>43436.53</v>
      </c>
      <c r="E469" t="s">
        <v>34</v>
      </c>
      <c r="F469" t="s">
        <v>17</v>
      </c>
      <c r="G469" t="s">
        <v>56</v>
      </c>
      <c r="H469" t="s">
        <v>36</v>
      </c>
      <c r="I469" t="s">
        <v>19</v>
      </c>
      <c r="J469" t="s">
        <v>20</v>
      </c>
      <c r="K469">
        <v>0</v>
      </c>
      <c r="L469">
        <v>1</v>
      </c>
      <c r="M469">
        <v>6.84</v>
      </c>
      <c r="N469">
        <v>1</v>
      </c>
      <c r="O469" t="str">
        <f>IF(financial_fraud_data[[#This Row],[Risk_Score]]&gt;8,"High",IF(financial_fraud_data[[#This Row],[Risk_Score]]&gt;5,"Med","Low"))</f>
        <v>Med</v>
      </c>
      <c r="P469" t="str">
        <f>TEXT(financial_fraud_data[[#This Row],[Transaction_Date]],"MMM")</f>
        <v>Jan</v>
      </c>
      <c r="Q469" t="str">
        <f>IF(financial_fraud_data[[#This Row],[Is_Fraud]]=1,"Yes","No")</f>
        <v>Yes</v>
      </c>
    </row>
    <row r="470" spans="1:17" x14ac:dyDescent="0.2">
      <c r="A470" t="s">
        <v>813</v>
      </c>
      <c r="B470" t="s">
        <v>814</v>
      </c>
      <c r="C470" s="1">
        <v>45311.5</v>
      </c>
      <c r="D470">
        <v>11218.61</v>
      </c>
      <c r="E470" t="s">
        <v>42</v>
      </c>
      <c r="F470" t="s">
        <v>47</v>
      </c>
      <c r="G470" t="s">
        <v>65</v>
      </c>
      <c r="H470" t="s">
        <v>19</v>
      </c>
      <c r="I470" t="s">
        <v>29</v>
      </c>
      <c r="J470" t="s">
        <v>20</v>
      </c>
      <c r="K470">
        <v>0</v>
      </c>
      <c r="L470">
        <v>0</v>
      </c>
      <c r="M470">
        <v>2.12</v>
      </c>
      <c r="N470">
        <v>0</v>
      </c>
      <c r="O470" t="str">
        <f>IF(financial_fraud_data[[#This Row],[Risk_Score]]&gt;8,"High",IF(financial_fraud_data[[#This Row],[Risk_Score]]&gt;5,"Med","Low"))</f>
        <v>Low</v>
      </c>
      <c r="P470" t="str">
        <f>TEXT(financial_fraud_data[[#This Row],[Transaction_Date]],"MMM")</f>
        <v>Jan</v>
      </c>
      <c r="Q470" t="str">
        <f>IF(financial_fraud_data[[#This Row],[Is_Fraud]]=1,"Yes","No")</f>
        <v>No</v>
      </c>
    </row>
    <row r="471" spans="1:17" x14ac:dyDescent="0.2">
      <c r="A471" t="s">
        <v>815</v>
      </c>
      <c r="B471" t="s">
        <v>816</v>
      </c>
      <c r="C471" s="1">
        <v>45311.541666666664</v>
      </c>
      <c r="D471">
        <v>48162.97</v>
      </c>
      <c r="E471" t="s">
        <v>16</v>
      </c>
      <c r="F471" t="s">
        <v>17</v>
      </c>
      <c r="G471" t="s">
        <v>18</v>
      </c>
      <c r="H471" t="s">
        <v>23</v>
      </c>
      <c r="I471" t="s">
        <v>19</v>
      </c>
      <c r="J471" t="s">
        <v>51</v>
      </c>
      <c r="K471">
        <v>0</v>
      </c>
      <c r="L471">
        <v>3</v>
      </c>
      <c r="M471">
        <v>10.32</v>
      </c>
      <c r="N471">
        <v>1</v>
      </c>
      <c r="O471" t="str">
        <f>IF(financial_fraud_data[[#This Row],[Risk_Score]]&gt;8,"High",IF(financial_fraud_data[[#This Row],[Risk_Score]]&gt;5,"Med","Low"))</f>
        <v>High</v>
      </c>
      <c r="P471" t="str">
        <f>TEXT(financial_fraud_data[[#This Row],[Transaction_Date]],"MMM")</f>
        <v>Jan</v>
      </c>
      <c r="Q471" t="str">
        <f>IF(financial_fraud_data[[#This Row],[Is_Fraud]]=1,"Yes","No")</f>
        <v>Yes</v>
      </c>
    </row>
    <row r="472" spans="1:17" x14ac:dyDescent="0.2">
      <c r="A472" t="s">
        <v>817</v>
      </c>
      <c r="B472" t="s">
        <v>402</v>
      </c>
      <c r="C472" s="1">
        <v>45311.583333333336</v>
      </c>
      <c r="D472">
        <v>657.12</v>
      </c>
      <c r="E472" t="s">
        <v>42</v>
      </c>
      <c r="F472" t="s">
        <v>47</v>
      </c>
      <c r="G472" t="s">
        <v>28</v>
      </c>
      <c r="H472" t="s">
        <v>36</v>
      </c>
      <c r="I472" t="s">
        <v>24</v>
      </c>
      <c r="J472" t="s">
        <v>20</v>
      </c>
      <c r="K472">
        <v>0</v>
      </c>
      <c r="L472">
        <v>4</v>
      </c>
      <c r="M472">
        <v>7.07</v>
      </c>
      <c r="N472">
        <v>1</v>
      </c>
      <c r="O472" t="str">
        <f>IF(financial_fraud_data[[#This Row],[Risk_Score]]&gt;8,"High",IF(financial_fraud_data[[#This Row],[Risk_Score]]&gt;5,"Med","Low"))</f>
        <v>Med</v>
      </c>
      <c r="P472" t="str">
        <f>TEXT(financial_fraud_data[[#This Row],[Transaction_Date]],"MMM")</f>
        <v>Jan</v>
      </c>
      <c r="Q472" t="str">
        <f>IF(financial_fraud_data[[#This Row],[Is_Fraud]]=1,"Yes","No")</f>
        <v>Yes</v>
      </c>
    </row>
    <row r="473" spans="1:17" x14ac:dyDescent="0.2">
      <c r="A473" t="s">
        <v>818</v>
      </c>
      <c r="B473" t="s">
        <v>819</v>
      </c>
      <c r="C473" s="1">
        <v>45311.625</v>
      </c>
      <c r="D473">
        <v>48495.45</v>
      </c>
      <c r="E473" t="s">
        <v>34</v>
      </c>
      <c r="F473" t="s">
        <v>50</v>
      </c>
      <c r="G473" t="s">
        <v>56</v>
      </c>
      <c r="H473" t="s">
        <v>29</v>
      </c>
      <c r="I473" t="s">
        <v>36</v>
      </c>
      <c r="J473" t="s">
        <v>20</v>
      </c>
      <c r="K473">
        <v>0</v>
      </c>
      <c r="L473">
        <v>1</v>
      </c>
      <c r="M473">
        <v>7.35</v>
      </c>
      <c r="N473">
        <v>1</v>
      </c>
      <c r="O473" t="str">
        <f>IF(financial_fraud_data[[#This Row],[Risk_Score]]&gt;8,"High",IF(financial_fraud_data[[#This Row],[Risk_Score]]&gt;5,"Med","Low"))</f>
        <v>Med</v>
      </c>
      <c r="P473" t="str">
        <f>TEXT(financial_fraud_data[[#This Row],[Transaction_Date]],"MMM")</f>
        <v>Jan</v>
      </c>
      <c r="Q473" t="str">
        <f>IF(financial_fraud_data[[#This Row],[Is_Fraud]]=1,"Yes","No")</f>
        <v>Yes</v>
      </c>
    </row>
    <row r="474" spans="1:17" x14ac:dyDescent="0.2">
      <c r="A474" t="s">
        <v>820</v>
      </c>
      <c r="B474" t="s">
        <v>787</v>
      </c>
      <c r="C474" s="1">
        <v>45311.666666666664</v>
      </c>
      <c r="D474">
        <v>2205.84</v>
      </c>
      <c r="E474" t="s">
        <v>34</v>
      </c>
      <c r="F474" t="s">
        <v>17</v>
      </c>
      <c r="G474" t="s">
        <v>65</v>
      </c>
      <c r="H474" t="s">
        <v>19</v>
      </c>
      <c r="I474" t="s">
        <v>29</v>
      </c>
      <c r="J474" t="s">
        <v>51</v>
      </c>
      <c r="K474">
        <v>1</v>
      </c>
      <c r="L474">
        <v>2</v>
      </c>
      <c r="M474">
        <v>6.22</v>
      </c>
      <c r="N474">
        <v>1</v>
      </c>
      <c r="O474" t="str">
        <f>IF(financial_fraud_data[[#This Row],[Risk_Score]]&gt;8,"High",IF(financial_fraud_data[[#This Row],[Risk_Score]]&gt;5,"Med","Low"))</f>
        <v>Med</v>
      </c>
      <c r="P474" t="str">
        <f>TEXT(financial_fraud_data[[#This Row],[Transaction_Date]],"MMM")</f>
        <v>Jan</v>
      </c>
      <c r="Q474" t="str">
        <f>IF(financial_fraud_data[[#This Row],[Is_Fraud]]=1,"Yes","No")</f>
        <v>Yes</v>
      </c>
    </row>
    <row r="475" spans="1:17" x14ac:dyDescent="0.2">
      <c r="A475" t="s">
        <v>821</v>
      </c>
      <c r="B475" t="s">
        <v>369</v>
      </c>
      <c r="C475" s="1">
        <v>45311.708333333336</v>
      </c>
      <c r="D475">
        <v>44562.6</v>
      </c>
      <c r="E475" t="s">
        <v>34</v>
      </c>
      <c r="F475" t="s">
        <v>17</v>
      </c>
      <c r="G475" t="s">
        <v>18</v>
      </c>
      <c r="H475" t="s">
        <v>24</v>
      </c>
      <c r="I475" t="s">
        <v>19</v>
      </c>
      <c r="J475" t="s">
        <v>20</v>
      </c>
      <c r="K475">
        <v>1</v>
      </c>
      <c r="L475">
        <v>0</v>
      </c>
      <c r="M475">
        <v>7.46</v>
      </c>
      <c r="N475">
        <v>1</v>
      </c>
      <c r="O475" t="str">
        <f>IF(financial_fraud_data[[#This Row],[Risk_Score]]&gt;8,"High",IF(financial_fraud_data[[#This Row],[Risk_Score]]&gt;5,"Med","Low"))</f>
        <v>Med</v>
      </c>
      <c r="P475" t="str">
        <f>TEXT(financial_fraud_data[[#This Row],[Transaction_Date]],"MMM")</f>
        <v>Jan</v>
      </c>
      <c r="Q475" t="str">
        <f>IF(financial_fraud_data[[#This Row],[Is_Fraud]]=1,"Yes","No")</f>
        <v>Yes</v>
      </c>
    </row>
    <row r="476" spans="1:17" x14ac:dyDescent="0.2">
      <c r="A476" t="s">
        <v>822</v>
      </c>
      <c r="B476" t="s">
        <v>823</v>
      </c>
      <c r="C476" s="1">
        <v>45311.75</v>
      </c>
      <c r="D476">
        <v>26408.67</v>
      </c>
      <c r="E476" t="s">
        <v>80</v>
      </c>
      <c r="F476" t="s">
        <v>17</v>
      </c>
      <c r="G476" t="s">
        <v>18</v>
      </c>
      <c r="H476" t="s">
        <v>23</v>
      </c>
      <c r="I476" t="s">
        <v>36</v>
      </c>
      <c r="J476" t="s">
        <v>51</v>
      </c>
      <c r="K476">
        <v>0</v>
      </c>
      <c r="L476">
        <v>0</v>
      </c>
      <c r="M476">
        <v>3.64</v>
      </c>
      <c r="N476">
        <v>0</v>
      </c>
      <c r="O476" t="str">
        <f>IF(financial_fraud_data[[#This Row],[Risk_Score]]&gt;8,"High",IF(financial_fraud_data[[#This Row],[Risk_Score]]&gt;5,"Med","Low"))</f>
        <v>Low</v>
      </c>
      <c r="P476" t="str">
        <f>TEXT(financial_fraud_data[[#This Row],[Transaction_Date]],"MMM")</f>
        <v>Jan</v>
      </c>
      <c r="Q476" t="str">
        <f>IF(financial_fraud_data[[#This Row],[Is_Fraud]]=1,"Yes","No")</f>
        <v>No</v>
      </c>
    </row>
    <row r="477" spans="1:17" x14ac:dyDescent="0.2">
      <c r="A477" t="s">
        <v>824</v>
      </c>
      <c r="B477" t="s">
        <v>481</v>
      </c>
      <c r="C477" s="1">
        <v>45311.791666666664</v>
      </c>
      <c r="D477">
        <v>49648.59</v>
      </c>
      <c r="E477" t="s">
        <v>16</v>
      </c>
      <c r="F477" t="s">
        <v>50</v>
      </c>
      <c r="G477" t="s">
        <v>65</v>
      </c>
      <c r="H477" t="s">
        <v>29</v>
      </c>
      <c r="I477" t="s">
        <v>23</v>
      </c>
      <c r="J477" t="s">
        <v>20</v>
      </c>
      <c r="K477">
        <v>0</v>
      </c>
      <c r="L477">
        <v>3</v>
      </c>
      <c r="M477">
        <v>10.46</v>
      </c>
      <c r="N477">
        <v>1</v>
      </c>
      <c r="O477" t="str">
        <f>IF(financial_fraud_data[[#This Row],[Risk_Score]]&gt;8,"High",IF(financial_fraud_data[[#This Row],[Risk_Score]]&gt;5,"Med","Low"))</f>
        <v>High</v>
      </c>
      <c r="P477" t="str">
        <f>TEXT(financial_fraud_data[[#This Row],[Transaction_Date]],"MMM")</f>
        <v>Jan</v>
      </c>
      <c r="Q477" t="str">
        <f>IF(financial_fraud_data[[#This Row],[Is_Fraud]]=1,"Yes","No")</f>
        <v>Yes</v>
      </c>
    </row>
    <row r="478" spans="1:17" x14ac:dyDescent="0.2">
      <c r="A478" t="s">
        <v>825</v>
      </c>
      <c r="B478" t="s">
        <v>229</v>
      </c>
      <c r="C478" s="1">
        <v>45311.833333333336</v>
      </c>
      <c r="D478">
        <v>3736.14</v>
      </c>
      <c r="E478" t="s">
        <v>16</v>
      </c>
      <c r="F478" t="s">
        <v>47</v>
      </c>
      <c r="G478" t="s">
        <v>65</v>
      </c>
      <c r="H478" t="s">
        <v>36</v>
      </c>
      <c r="I478" t="s">
        <v>23</v>
      </c>
      <c r="J478" t="s">
        <v>37</v>
      </c>
      <c r="K478">
        <v>0</v>
      </c>
      <c r="L478">
        <v>2</v>
      </c>
      <c r="M478">
        <v>4.37</v>
      </c>
      <c r="N478">
        <v>0</v>
      </c>
      <c r="O478" t="str">
        <f>IF(financial_fraud_data[[#This Row],[Risk_Score]]&gt;8,"High",IF(financial_fraud_data[[#This Row],[Risk_Score]]&gt;5,"Med","Low"))</f>
        <v>Low</v>
      </c>
      <c r="P478" t="str">
        <f>TEXT(financial_fraud_data[[#This Row],[Transaction_Date]],"MMM")</f>
        <v>Jan</v>
      </c>
      <c r="Q478" t="str">
        <f>IF(financial_fraud_data[[#This Row],[Is_Fraud]]=1,"Yes","No")</f>
        <v>No</v>
      </c>
    </row>
    <row r="479" spans="1:17" x14ac:dyDescent="0.2">
      <c r="A479" t="s">
        <v>826</v>
      </c>
      <c r="B479" t="s">
        <v>574</v>
      </c>
      <c r="C479" s="1">
        <v>45311.875</v>
      </c>
      <c r="D479">
        <v>27715.02</v>
      </c>
      <c r="E479" t="s">
        <v>34</v>
      </c>
      <c r="F479" t="s">
        <v>27</v>
      </c>
      <c r="G479" t="s">
        <v>28</v>
      </c>
      <c r="H479" t="s">
        <v>24</v>
      </c>
      <c r="I479" t="s">
        <v>36</v>
      </c>
      <c r="J479" t="s">
        <v>37</v>
      </c>
      <c r="K479">
        <v>0</v>
      </c>
      <c r="L479">
        <v>4</v>
      </c>
      <c r="M479">
        <v>9.77</v>
      </c>
      <c r="N479">
        <v>1</v>
      </c>
      <c r="O479" t="str">
        <f>IF(financial_fraud_data[[#This Row],[Risk_Score]]&gt;8,"High",IF(financial_fraud_data[[#This Row],[Risk_Score]]&gt;5,"Med","Low"))</f>
        <v>High</v>
      </c>
      <c r="P479" t="str">
        <f>TEXT(financial_fraud_data[[#This Row],[Transaction_Date]],"MMM")</f>
        <v>Jan</v>
      </c>
      <c r="Q479" t="str">
        <f>IF(financial_fraud_data[[#This Row],[Is_Fraud]]=1,"Yes","No")</f>
        <v>Yes</v>
      </c>
    </row>
    <row r="480" spans="1:17" x14ac:dyDescent="0.2">
      <c r="A480" t="s">
        <v>827</v>
      </c>
      <c r="B480" t="s">
        <v>828</v>
      </c>
      <c r="C480" s="1">
        <v>45311.916666666664</v>
      </c>
      <c r="D480">
        <v>48466.66</v>
      </c>
      <c r="E480" t="s">
        <v>34</v>
      </c>
      <c r="F480" t="s">
        <v>17</v>
      </c>
      <c r="G480" t="s">
        <v>65</v>
      </c>
      <c r="H480" t="s">
        <v>23</v>
      </c>
      <c r="I480" t="s">
        <v>24</v>
      </c>
      <c r="J480" t="s">
        <v>20</v>
      </c>
      <c r="K480">
        <v>0</v>
      </c>
      <c r="L480">
        <v>1</v>
      </c>
      <c r="M480">
        <v>7.35</v>
      </c>
      <c r="N480">
        <v>1</v>
      </c>
      <c r="O480" t="str">
        <f>IF(financial_fraud_data[[#This Row],[Risk_Score]]&gt;8,"High",IF(financial_fraud_data[[#This Row],[Risk_Score]]&gt;5,"Med","Low"))</f>
        <v>Med</v>
      </c>
      <c r="P480" t="str">
        <f>TEXT(financial_fraud_data[[#This Row],[Transaction_Date]],"MMM")</f>
        <v>Jan</v>
      </c>
      <c r="Q480" t="str">
        <f>IF(financial_fraud_data[[#This Row],[Is_Fraud]]=1,"Yes","No")</f>
        <v>Yes</v>
      </c>
    </row>
    <row r="481" spans="1:17" x14ac:dyDescent="0.2">
      <c r="A481" t="s">
        <v>829</v>
      </c>
      <c r="B481" t="s">
        <v>102</v>
      </c>
      <c r="C481" s="1">
        <v>45311.958333333336</v>
      </c>
      <c r="D481">
        <v>26178.74</v>
      </c>
      <c r="E481" t="s">
        <v>80</v>
      </c>
      <c r="F481" t="s">
        <v>47</v>
      </c>
      <c r="G481" t="s">
        <v>28</v>
      </c>
      <c r="H481" t="s">
        <v>19</v>
      </c>
      <c r="I481" t="s">
        <v>36</v>
      </c>
      <c r="J481" t="s">
        <v>37</v>
      </c>
      <c r="K481">
        <v>0</v>
      </c>
      <c r="L481">
        <v>2</v>
      </c>
      <c r="M481">
        <v>6.62</v>
      </c>
      <c r="N481">
        <v>1</v>
      </c>
      <c r="O481" t="str">
        <f>IF(financial_fraud_data[[#This Row],[Risk_Score]]&gt;8,"High",IF(financial_fraud_data[[#This Row],[Risk_Score]]&gt;5,"Med","Low"))</f>
        <v>Med</v>
      </c>
      <c r="P481" t="str">
        <f>TEXT(financial_fraud_data[[#This Row],[Transaction_Date]],"MMM")</f>
        <v>Jan</v>
      </c>
      <c r="Q481" t="str">
        <f>IF(financial_fraud_data[[#This Row],[Is_Fraud]]=1,"Yes","No")</f>
        <v>Yes</v>
      </c>
    </row>
    <row r="482" spans="1:17" x14ac:dyDescent="0.2">
      <c r="A482" t="s">
        <v>830</v>
      </c>
      <c r="B482" t="s">
        <v>724</v>
      </c>
      <c r="C482" s="1">
        <v>45312</v>
      </c>
      <c r="D482">
        <v>31488.46</v>
      </c>
      <c r="E482" t="s">
        <v>42</v>
      </c>
      <c r="F482" t="s">
        <v>50</v>
      </c>
      <c r="G482" t="s">
        <v>28</v>
      </c>
      <c r="H482" t="s">
        <v>24</v>
      </c>
      <c r="I482" t="s">
        <v>36</v>
      </c>
      <c r="J482" t="s">
        <v>51</v>
      </c>
      <c r="K482">
        <v>0</v>
      </c>
      <c r="L482">
        <v>0</v>
      </c>
      <c r="M482">
        <v>4.1500000000000004</v>
      </c>
      <c r="N482">
        <v>0</v>
      </c>
      <c r="O482" t="str">
        <f>IF(financial_fraud_data[[#This Row],[Risk_Score]]&gt;8,"High",IF(financial_fraud_data[[#This Row],[Risk_Score]]&gt;5,"Med","Low"))</f>
        <v>Low</v>
      </c>
      <c r="P482" t="str">
        <f>TEXT(financial_fraud_data[[#This Row],[Transaction_Date]],"MMM")</f>
        <v>Jan</v>
      </c>
      <c r="Q482" t="str">
        <f>IF(financial_fraud_data[[#This Row],[Is_Fraud]]=1,"Yes","No")</f>
        <v>No</v>
      </c>
    </row>
    <row r="483" spans="1:17" x14ac:dyDescent="0.2">
      <c r="A483" t="s">
        <v>831</v>
      </c>
      <c r="B483" t="s">
        <v>814</v>
      </c>
      <c r="C483" s="1">
        <v>45312.041666666664</v>
      </c>
      <c r="D483">
        <v>34802.65</v>
      </c>
      <c r="E483" t="s">
        <v>42</v>
      </c>
      <c r="F483" t="s">
        <v>27</v>
      </c>
      <c r="G483" t="s">
        <v>35</v>
      </c>
      <c r="H483" t="s">
        <v>24</v>
      </c>
      <c r="I483" t="s">
        <v>29</v>
      </c>
      <c r="J483" t="s">
        <v>20</v>
      </c>
      <c r="K483">
        <v>0</v>
      </c>
      <c r="L483">
        <v>3</v>
      </c>
      <c r="M483">
        <v>8.98</v>
      </c>
      <c r="N483">
        <v>1</v>
      </c>
      <c r="O483" t="str">
        <f>IF(financial_fraud_data[[#This Row],[Risk_Score]]&gt;8,"High",IF(financial_fraud_data[[#This Row],[Risk_Score]]&gt;5,"Med","Low"))</f>
        <v>High</v>
      </c>
      <c r="P483" t="str">
        <f>TEXT(financial_fraud_data[[#This Row],[Transaction_Date]],"MMM")</f>
        <v>Jan</v>
      </c>
      <c r="Q483" t="str">
        <f>IF(financial_fraud_data[[#This Row],[Is_Fraud]]=1,"Yes","No")</f>
        <v>Yes</v>
      </c>
    </row>
    <row r="484" spans="1:17" x14ac:dyDescent="0.2">
      <c r="A484" t="s">
        <v>832</v>
      </c>
      <c r="B484" t="s">
        <v>146</v>
      </c>
      <c r="C484" s="1">
        <v>45312.083333333336</v>
      </c>
      <c r="D484">
        <v>22754.33</v>
      </c>
      <c r="E484" t="s">
        <v>16</v>
      </c>
      <c r="F484" t="s">
        <v>17</v>
      </c>
      <c r="G484" t="s">
        <v>18</v>
      </c>
      <c r="H484" t="s">
        <v>29</v>
      </c>
      <c r="I484" t="s">
        <v>23</v>
      </c>
      <c r="J484" t="s">
        <v>51</v>
      </c>
      <c r="K484">
        <v>0</v>
      </c>
      <c r="L484">
        <v>4</v>
      </c>
      <c r="M484">
        <v>9.2799999999999994</v>
      </c>
      <c r="N484">
        <v>1</v>
      </c>
      <c r="O484" t="str">
        <f>IF(financial_fraud_data[[#This Row],[Risk_Score]]&gt;8,"High",IF(financial_fraud_data[[#This Row],[Risk_Score]]&gt;5,"Med","Low"))</f>
        <v>High</v>
      </c>
      <c r="P484" t="str">
        <f>TEXT(financial_fraud_data[[#This Row],[Transaction_Date]],"MMM")</f>
        <v>Jan</v>
      </c>
      <c r="Q484" t="str">
        <f>IF(financial_fraud_data[[#This Row],[Is_Fraud]]=1,"Yes","No")</f>
        <v>Yes</v>
      </c>
    </row>
    <row r="485" spans="1:17" x14ac:dyDescent="0.2">
      <c r="A485" t="s">
        <v>833</v>
      </c>
      <c r="B485" t="s">
        <v>649</v>
      </c>
      <c r="C485" s="1">
        <v>45312.125</v>
      </c>
      <c r="D485">
        <v>31396.53</v>
      </c>
      <c r="E485" t="s">
        <v>80</v>
      </c>
      <c r="F485" t="s">
        <v>50</v>
      </c>
      <c r="G485" t="s">
        <v>18</v>
      </c>
      <c r="H485" t="s">
        <v>23</v>
      </c>
      <c r="I485" t="s">
        <v>23</v>
      </c>
      <c r="J485" t="s">
        <v>37</v>
      </c>
      <c r="K485">
        <v>1</v>
      </c>
      <c r="L485">
        <v>3</v>
      </c>
      <c r="M485">
        <v>9.64</v>
      </c>
      <c r="N485">
        <v>1</v>
      </c>
      <c r="O485" t="str">
        <f>IF(financial_fraud_data[[#This Row],[Risk_Score]]&gt;8,"High",IF(financial_fraud_data[[#This Row],[Risk_Score]]&gt;5,"Med","Low"))</f>
        <v>High</v>
      </c>
      <c r="P485" t="str">
        <f>TEXT(financial_fraud_data[[#This Row],[Transaction_Date]],"MMM")</f>
        <v>Jan</v>
      </c>
      <c r="Q485" t="str">
        <f>IF(financial_fraud_data[[#This Row],[Is_Fraud]]=1,"Yes","No")</f>
        <v>Yes</v>
      </c>
    </row>
    <row r="486" spans="1:17" x14ac:dyDescent="0.2">
      <c r="A486" t="s">
        <v>834</v>
      </c>
      <c r="B486" t="s">
        <v>835</v>
      </c>
      <c r="C486" s="1">
        <v>45312.166666666664</v>
      </c>
      <c r="D486">
        <v>29236.5</v>
      </c>
      <c r="E486" t="s">
        <v>34</v>
      </c>
      <c r="F486" t="s">
        <v>50</v>
      </c>
      <c r="G486" t="s">
        <v>18</v>
      </c>
      <c r="H486" t="s">
        <v>29</v>
      </c>
      <c r="I486" t="s">
        <v>19</v>
      </c>
      <c r="J486" t="s">
        <v>51</v>
      </c>
      <c r="K486">
        <v>0</v>
      </c>
      <c r="L486">
        <v>1</v>
      </c>
      <c r="M486">
        <v>5.42</v>
      </c>
      <c r="N486">
        <v>1</v>
      </c>
      <c r="O486" t="str">
        <f>IF(financial_fraud_data[[#This Row],[Risk_Score]]&gt;8,"High",IF(financial_fraud_data[[#This Row],[Risk_Score]]&gt;5,"Med","Low"))</f>
        <v>Med</v>
      </c>
      <c r="P486" t="str">
        <f>TEXT(financial_fraud_data[[#This Row],[Transaction_Date]],"MMM")</f>
        <v>Jan</v>
      </c>
      <c r="Q486" t="str">
        <f>IF(financial_fraud_data[[#This Row],[Is_Fraud]]=1,"Yes","No")</f>
        <v>Yes</v>
      </c>
    </row>
    <row r="487" spans="1:17" x14ac:dyDescent="0.2">
      <c r="A487" t="s">
        <v>836</v>
      </c>
      <c r="B487" t="s">
        <v>837</v>
      </c>
      <c r="C487" s="1">
        <v>45312.208333333336</v>
      </c>
      <c r="D487">
        <v>45062.84</v>
      </c>
      <c r="E487" t="s">
        <v>16</v>
      </c>
      <c r="F487" t="s">
        <v>27</v>
      </c>
      <c r="G487" t="s">
        <v>35</v>
      </c>
      <c r="H487" t="s">
        <v>29</v>
      </c>
      <c r="I487" t="s">
        <v>36</v>
      </c>
      <c r="J487" t="s">
        <v>37</v>
      </c>
      <c r="K487">
        <v>0</v>
      </c>
      <c r="L487">
        <v>2</v>
      </c>
      <c r="M487">
        <v>8.51</v>
      </c>
      <c r="N487">
        <v>1</v>
      </c>
      <c r="O487" t="str">
        <f>IF(financial_fraud_data[[#This Row],[Risk_Score]]&gt;8,"High",IF(financial_fraud_data[[#This Row],[Risk_Score]]&gt;5,"Med","Low"))</f>
        <v>High</v>
      </c>
      <c r="P487" t="str">
        <f>TEXT(financial_fraud_data[[#This Row],[Transaction_Date]],"MMM")</f>
        <v>Jan</v>
      </c>
      <c r="Q487" t="str">
        <f>IF(financial_fraud_data[[#This Row],[Is_Fraud]]=1,"Yes","No")</f>
        <v>Yes</v>
      </c>
    </row>
    <row r="488" spans="1:17" x14ac:dyDescent="0.2">
      <c r="A488" t="s">
        <v>838</v>
      </c>
      <c r="B488" t="s">
        <v>678</v>
      </c>
      <c r="C488" s="1">
        <v>45312.25</v>
      </c>
      <c r="D488">
        <v>2320.0500000000002</v>
      </c>
      <c r="E488" t="s">
        <v>80</v>
      </c>
      <c r="F488" t="s">
        <v>47</v>
      </c>
      <c r="G488" t="s">
        <v>28</v>
      </c>
      <c r="H488" t="s">
        <v>36</v>
      </c>
      <c r="I488" t="s">
        <v>36</v>
      </c>
      <c r="J488" t="s">
        <v>37</v>
      </c>
      <c r="K488">
        <v>0</v>
      </c>
      <c r="L488">
        <v>3</v>
      </c>
      <c r="M488">
        <v>4.7300000000000004</v>
      </c>
      <c r="N488">
        <v>0</v>
      </c>
      <c r="O488" t="str">
        <f>IF(financial_fraud_data[[#This Row],[Risk_Score]]&gt;8,"High",IF(financial_fraud_data[[#This Row],[Risk_Score]]&gt;5,"Med","Low"))</f>
        <v>Low</v>
      </c>
      <c r="P488" t="str">
        <f>TEXT(financial_fraud_data[[#This Row],[Transaction_Date]],"MMM")</f>
        <v>Jan</v>
      </c>
      <c r="Q488" t="str">
        <f>IF(financial_fraud_data[[#This Row],[Is_Fraud]]=1,"Yes","No")</f>
        <v>No</v>
      </c>
    </row>
    <row r="489" spans="1:17" x14ac:dyDescent="0.2">
      <c r="A489" t="s">
        <v>839</v>
      </c>
      <c r="B489" t="s">
        <v>310</v>
      </c>
      <c r="C489" s="1">
        <v>45312.291666666664</v>
      </c>
      <c r="D489">
        <v>14084.11</v>
      </c>
      <c r="E489" t="s">
        <v>42</v>
      </c>
      <c r="F489" t="s">
        <v>17</v>
      </c>
      <c r="G489" t="s">
        <v>28</v>
      </c>
      <c r="H489" t="s">
        <v>19</v>
      </c>
      <c r="I489" t="s">
        <v>24</v>
      </c>
      <c r="J489" t="s">
        <v>37</v>
      </c>
      <c r="K489">
        <v>0</v>
      </c>
      <c r="L489">
        <v>3</v>
      </c>
      <c r="M489">
        <v>6.91</v>
      </c>
      <c r="N489">
        <v>1</v>
      </c>
      <c r="O489" t="str">
        <f>IF(financial_fraud_data[[#This Row],[Risk_Score]]&gt;8,"High",IF(financial_fraud_data[[#This Row],[Risk_Score]]&gt;5,"Med","Low"))</f>
        <v>Med</v>
      </c>
      <c r="P489" t="str">
        <f>TEXT(financial_fraud_data[[#This Row],[Transaction_Date]],"MMM")</f>
        <v>Jan</v>
      </c>
      <c r="Q489" t="str">
        <f>IF(financial_fraud_data[[#This Row],[Is_Fraud]]=1,"Yes","No")</f>
        <v>Yes</v>
      </c>
    </row>
    <row r="490" spans="1:17" x14ac:dyDescent="0.2">
      <c r="A490" t="s">
        <v>840</v>
      </c>
      <c r="B490" t="s">
        <v>394</v>
      </c>
      <c r="C490" s="1">
        <v>45312.333333333336</v>
      </c>
      <c r="D490">
        <v>47523.05</v>
      </c>
      <c r="E490" t="s">
        <v>80</v>
      </c>
      <c r="F490" t="s">
        <v>17</v>
      </c>
      <c r="G490" t="s">
        <v>65</v>
      </c>
      <c r="H490" t="s">
        <v>24</v>
      </c>
      <c r="I490" t="s">
        <v>23</v>
      </c>
      <c r="J490" t="s">
        <v>51</v>
      </c>
      <c r="K490">
        <v>0</v>
      </c>
      <c r="L490">
        <v>0</v>
      </c>
      <c r="M490">
        <v>5.75</v>
      </c>
      <c r="N490">
        <v>1</v>
      </c>
      <c r="O490" t="str">
        <f>IF(financial_fraud_data[[#This Row],[Risk_Score]]&gt;8,"High",IF(financial_fraud_data[[#This Row],[Risk_Score]]&gt;5,"Med","Low"))</f>
        <v>Med</v>
      </c>
      <c r="P490" t="str">
        <f>TEXT(financial_fraud_data[[#This Row],[Transaction_Date]],"MMM")</f>
        <v>Jan</v>
      </c>
      <c r="Q490" t="str">
        <f>IF(financial_fraud_data[[#This Row],[Is_Fraud]]=1,"Yes","No")</f>
        <v>Yes</v>
      </c>
    </row>
    <row r="491" spans="1:17" x14ac:dyDescent="0.2">
      <c r="A491" t="s">
        <v>841</v>
      </c>
      <c r="B491" t="s">
        <v>842</v>
      </c>
      <c r="C491" s="1">
        <v>45312.375</v>
      </c>
      <c r="D491">
        <v>44518.68</v>
      </c>
      <c r="E491" t="s">
        <v>42</v>
      </c>
      <c r="F491" t="s">
        <v>47</v>
      </c>
      <c r="G491" t="s">
        <v>35</v>
      </c>
      <c r="H491" t="s">
        <v>23</v>
      </c>
      <c r="I491" t="s">
        <v>24</v>
      </c>
      <c r="J491" t="s">
        <v>37</v>
      </c>
      <c r="K491">
        <v>0</v>
      </c>
      <c r="L491">
        <v>3</v>
      </c>
      <c r="M491">
        <v>9.9499999999999993</v>
      </c>
      <c r="N491">
        <v>1</v>
      </c>
      <c r="O491" t="str">
        <f>IF(financial_fraud_data[[#This Row],[Risk_Score]]&gt;8,"High",IF(financial_fraud_data[[#This Row],[Risk_Score]]&gt;5,"Med","Low"))</f>
        <v>High</v>
      </c>
      <c r="P491" t="str">
        <f>TEXT(financial_fraud_data[[#This Row],[Transaction_Date]],"MMM")</f>
        <v>Jan</v>
      </c>
      <c r="Q491" t="str">
        <f>IF(financial_fraud_data[[#This Row],[Is_Fraud]]=1,"Yes","No")</f>
        <v>Yes</v>
      </c>
    </row>
    <row r="492" spans="1:17" x14ac:dyDescent="0.2">
      <c r="A492" t="s">
        <v>843</v>
      </c>
      <c r="B492" t="s">
        <v>844</v>
      </c>
      <c r="C492" s="1">
        <v>45312.416666666664</v>
      </c>
      <c r="D492">
        <v>22810.05</v>
      </c>
      <c r="E492" t="s">
        <v>80</v>
      </c>
      <c r="F492" t="s">
        <v>47</v>
      </c>
      <c r="G492" t="s">
        <v>65</v>
      </c>
      <c r="H492" t="s">
        <v>19</v>
      </c>
      <c r="I492" t="s">
        <v>29</v>
      </c>
      <c r="J492" t="s">
        <v>20</v>
      </c>
      <c r="K492">
        <v>0</v>
      </c>
      <c r="L492">
        <v>4</v>
      </c>
      <c r="M492">
        <v>9.2799999999999994</v>
      </c>
      <c r="N492">
        <v>1</v>
      </c>
      <c r="O492" t="str">
        <f>IF(financial_fraud_data[[#This Row],[Risk_Score]]&gt;8,"High",IF(financial_fraud_data[[#This Row],[Risk_Score]]&gt;5,"Med","Low"))</f>
        <v>High</v>
      </c>
      <c r="P492" t="str">
        <f>TEXT(financial_fraud_data[[#This Row],[Transaction_Date]],"MMM")</f>
        <v>Jan</v>
      </c>
      <c r="Q492" t="str">
        <f>IF(financial_fraud_data[[#This Row],[Is_Fraud]]=1,"Yes","No")</f>
        <v>Yes</v>
      </c>
    </row>
    <row r="493" spans="1:17" x14ac:dyDescent="0.2">
      <c r="A493" t="s">
        <v>845</v>
      </c>
      <c r="B493" t="s">
        <v>127</v>
      </c>
      <c r="C493" s="1">
        <v>45312.458333333336</v>
      </c>
      <c r="D493">
        <v>31025.62</v>
      </c>
      <c r="E493" t="s">
        <v>16</v>
      </c>
      <c r="F493" t="s">
        <v>47</v>
      </c>
      <c r="G493" t="s">
        <v>35</v>
      </c>
      <c r="H493" t="s">
        <v>19</v>
      </c>
      <c r="I493" t="s">
        <v>19</v>
      </c>
      <c r="J493" t="s">
        <v>37</v>
      </c>
      <c r="K493">
        <v>0</v>
      </c>
      <c r="L493">
        <v>2</v>
      </c>
      <c r="M493">
        <v>6.1</v>
      </c>
      <c r="N493">
        <v>1</v>
      </c>
      <c r="O493" t="str">
        <f>IF(financial_fraud_data[[#This Row],[Risk_Score]]&gt;8,"High",IF(financial_fraud_data[[#This Row],[Risk_Score]]&gt;5,"Med","Low"))</f>
        <v>Med</v>
      </c>
      <c r="P493" t="str">
        <f>TEXT(financial_fraud_data[[#This Row],[Transaction_Date]],"MMM")</f>
        <v>Jan</v>
      </c>
      <c r="Q493" t="str">
        <f>IF(financial_fraud_data[[#This Row],[Is_Fraud]]=1,"Yes","No")</f>
        <v>Yes</v>
      </c>
    </row>
    <row r="494" spans="1:17" x14ac:dyDescent="0.2">
      <c r="A494" t="s">
        <v>846</v>
      </c>
      <c r="B494" t="s">
        <v>90</v>
      </c>
      <c r="C494" s="1">
        <v>45312.5</v>
      </c>
      <c r="D494">
        <v>13905.19</v>
      </c>
      <c r="E494" t="s">
        <v>42</v>
      </c>
      <c r="F494" t="s">
        <v>27</v>
      </c>
      <c r="G494" t="s">
        <v>65</v>
      </c>
      <c r="H494" t="s">
        <v>23</v>
      </c>
      <c r="I494" t="s">
        <v>24</v>
      </c>
      <c r="J494" t="s">
        <v>20</v>
      </c>
      <c r="K494">
        <v>0</v>
      </c>
      <c r="L494">
        <v>1</v>
      </c>
      <c r="M494">
        <v>3.89</v>
      </c>
      <c r="N494">
        <v>0</v>
      </c>
      <c r="O494" t="str">
        <f>IF(financial_fraud_data[[#This Row],[Risk_Score]]&gt;8,"High",IF(financial_fraud_data[[#This Row],[Risk_Score]]&gt;5,"Med","Low"))</f>
        <v>Low</v>
      </c>
      <c r="P494" t="str">
        <f>TEXT(financial_fraud_data[[#This Row],[Transaction_Date]],"MMM")</f>
        <v>Jan</v>
      </c>
      <c r="Q494" t="str">
        <f>IF(financial_fraud_data[[#This Row],[Is_Fraud]]=1,"Yes","No")</f>
        <v>No</v>
      </c>
    </row>
    <row r="495" spans="1:17" x14ac:dyDescent="0.2">
      <c r="A495" t="s">
        <v>847</v>
      </c>
      <c r="B495" t="s">
        <v>848</v>
      </c>
      <c r="C495" s="1">
        <v>45312.541666666664</v>
      </c>
      <c r="D495">
        <v>9446.65</v>
      </c>
      <c r="E495" t="s">
        <v>16</v>
      </c>
      <c r="F495" t="s">
        <v>27</v>
      </c>
      <c r="G495" t="s">
        <v>56</v>
      </c>
      <c r="H495" t="s">
        <v>19</v>
      </c>
      <c r="I495" t="s">
        <v>23</v>
      </c>
      <c r="J495" t="s">
        <v>20</v>
      </c>
      <c r="K495">
        <v>0</v>
      </c>
      <c r="L495">
        <v>3</v>
      </c>
      <c r="M495">
        <v>6.44</v>
      </c>
      <c r="N495">
        <v>1</v>
      </c>
      <c r="O495" t="str">
        <f>IF(financial_fraud_data[[#This Row],[Risk_Score]]&gt;8,"High",IF(financial_fraud_data[[#This Row],[Risk_Score]]&gt;5,"Med","Low"))</f>
        <v>Med</v>
      </c>
      <c r="P495" t="str">
        <f>TEXT(financial_fraud_data[[#This Row],[Transaction_Date]],"MMM")</f>
        <v>Jan</v>
      </c>
      <c r="Q495" t="str">
        <f>IF(financial_fraud_data[[#This Row],[Is_Fraud]]=1,"Yes","No")</f>
        <v>Yes</v>
      </c>
    </row>
    <row r="496" spans="1:17" x14ac:dyDescent="0.2">
      <c r="A496" t="s">
        <v>849</v>
      </c>
      <c r="B496" t="s">
        <v>121</v>
      </c>
      <c r="C496" s="1">
        <v>45312.583333333336</v>
      </c>
      <c r="D496">
        <v>23211.74</v>
      </c>
      <c r="E496" t="s">
        <v>16</v>
      </c>
      <c r="F496" t="s">
        <v>17</v>
      </c>
      <c r="G496" t="s">
        <v>18</v>
      </c>
      <c r="H496" t="s">
        <v>36</v>
      </c>
      <c r="I496" t="s">
        <v>29</v>
      </c>
      <c r="J496" t="s">
        <v>20</v>
      </c>
      <c r="K496">
        <v>0</v>
      </c>
      <c r="L496">
        <v>4</v>
      </c>
      <c r="M496">
        <v>9.32</v>
      </c>
      <c r="N496">
        <v>1</v>
      </c>
      <c r="O496" t="str">
        <f>IF(financial_fraud_data[[#This Row],[Risk_Score]]&gt;8,"High",IF(financial_fraud_data[[#This Row],[Risk_Score]]&gt;5,"Med","Low"))</f>
        <v>High</v>
      </c>
      <c r="P496" t="str">
        <f>TEXT(financial_fraud_data[[#This Row],[Transaction_Date]],"MMM")</f>
        <v>Jan</v>
      </c>
      <c r="Q496" t="str">
        <f>IF(financial_fraud_data[[#This Row],[Is_Fraud]]=1,"Yes","No")</f>
        <v>Yes</v>
      </c>
    </row>
    <row r="497" spans="1:17" x14ac:dyDescent="0.2">
      <c r="A497" t="s">
        <v>850</v>
      </c>
      <c r="B497" t="s">
        <v>705</v>
      </c>
      <c r="C497" s="1">
        <v>45312.625</v>
      </c>
      <c r="D497">
        <v>17699.939999999999</v>
      </c>
      <c r="E497" t="s">
        <v>42</v>
      </c>
      <c r="F497" t="s">
        <v>27</v>
      </c>
      <c r="G497" t="s">
        <v>18</v>
      </c>
      <c r="H497" t="s">
        <v>19</v>
      </c>
      <c r="I497" t="s">
        <v>36</v>
      </c>
      <c r="J497" t="s">
        <v>20</v>
      </c>
      <c r="K497">
        <v>0</v>
      </c>
      <c r="L497">
        <v>1</v>
      </c>
      <c r="M497">
        <v>4.2699999999999996</v>
      </c>
      <c r="N497">
        <v>0</v>
      </c>
      <c r="O497" t="str">
        <f>IF(financial_fraud_data[[#This Row],[Risk_Score]]&gt;8,"High",IF(financial_fraud_data[[#This Row],[Risk_Score]]&gt;5,"Med","Low"))</f>
        <v>Low</v>
      </c>
      <c r="P497" t="str">
        <f>TEXT(financial_fraud_data[[#This Row],[Transaction_Date]],"MMM")</f>
        <v>Jan</v>
      </c>
      <c r="Q497" t="str">
        <f>IF(financial_fraud_data[[#This Row],[Is_Fraud]]=1,"Yes","No")</f>
        <v>No</v>
      </c>
    </row>
    <row r="498" spans="1:17" x14ac:dyDescent="0.2">
      <c r="A498" t="s">
        <v>851</v>
      </c>
      <c r="B498" t="s">
        <v>828</v>
      </c>
      <c r="C498" s="1">
        <v>45312.666666666664</v>
      </c>
      <c r="D498">
        <v>29203.62</v>
      </c>
      <c r="E498" t="s">
        <v>42</v>
      </c>
      <c r="F498" t="s">
        <v>50</v>
      </c>
      <c r="G498" t="s">
        <v>28</v>
      </c>
      <c r="H498" t="s">
        <v>36</v>
      </c>
      <c r="I498" t="s">
        <v>29</v>
      </c>
      <c r="J498" t="s">
        <v>51</v>
      </c>
      <c r="K498">
        <v>0</v>
      </c>
      <c r="L498">
        <v>4</v>
      </c>
      <c r="M498">
        <v>9.92</v>
      </c>
      <c r="N498">
        <v>1</v>
      </c>
      <c r="O498" t="str">
        <f>IF(financial_fraud_data[[#This Row],[Risk_Score]]&gt;8,"High",IF(financial_fraud_data[[#This Row],[Risk_Score]]&gt;5,"Med","Low"))</f>
        <v>High</v>
      </c>
      <c r="P498" t="str">
        <f>TEXT(financial_fraud_data[[#This Row],[Transaction_Date]],"MMM")</f>
        <v>Jan</v>
      </c>
      <c r="Q498" t="str">
        <f>IF(financial_fraud_data[[#This Row],[Is_Fraud]]=1,"Yes","No")</f>
        <v>Yes</v>
      </c>
    </row>
    <row r="499" spans="1:17" x14ac:dyDescent="0.2">
      <c r="A499" t="s">
        <v>852</v>
      </c>
      <c r="B499" t="s">
        <v>853</v>
      </c>
      <c r="C499" s="1">
        <v>45312.708333333336</v>
      </c>
      <c r="D499">
        <v>3932.85</v>
      </c>
      <c r="E499" t="s">
        <v>34</v>
      </c>
      <c r="F499" t="s">
        <v>17</v>
      </c>
      <c r="G499" t="s">
        <v>56</v>
      </c>
      <c r="H499" t="s">
        <v>24</v>
      </c>
      <c r="I499" t="s">
        <v>24</v>
      </c>
      <c r="J499" t="s">
        <v>20</v>
      </c>
      <c r="K499">
        <v>0</v>
      </c>
      <c r="L499">
        <v>3</v>
      </c>
      <c r="M499">
        <v>4.8899999999999997</v>
      </c>
      <c r="N499">
        <v>0</v>
      </c>
      <c r="O499" t="str">
        <f>IF(financial_fraud_data[[#This Row],[Risk_Score]]&gt;8,"High",IF(financial_fraud_data[[#This Row],[Risk_Score]]&gt;5,"Med","Low"))</f>
        <v>Low</v>
      </c>
      <c r="P499" t="str">
        <f>TEXT(financial_fraud_data[[#This Row],[Transaction_Date]],"MMM")</f>
        <v>Jan</v>
      </c>
      <c r="Q499" t="str">
        <f>IF(financial_fraud_data[[#This Row],[Is_Fraud]]=1,"Yes","No")</f>
        <v>No</v>
      </c>
    </row>
    <row r="500" spans="1:17" x14ac:dyDescent="0.2">
      <c r="A500" t="s">
        <v>854</v>
      </c>
      <c r="B500" t="s">
        <v>855</v>
      </c>
      <c r="C500" s="1">
        <v>45312.75</v>
      </c>
      <c r="D500">
        <v>48721.02</v>
      </c>
      <c r="E500" t="s">
        <v>34</v>
      </c>
      <c r="F500" t="s">
        <v>27</v>
      </c>
      <c r="G500" t="s">
        <v>18</v>
      </c>
      <c r="H500" t="s">
        <v>24</v>
      </c>
      <c r="I500" t="s">
        <v>23</v>
      </c>
      <c r="J500" t="s">
        <v>37</v>
      </c>
      <c r="K500">
        <v>0</v>
      </c>
      <c r="L500">
        <v>3</v>
      </c>
      <c r="M500">
        <v>10.37</v>
      </c>
      <c r="N500">
        <v>1</v>
      </c>
      <c r="O500" t="str">
        <f>IF(financial_fraud_data[[#This Row],[Risk_Score]]&gt;8,"High",IF(financial_fraud_data[[#This Row],[Risk_Score]]&gt;5,"Med","Low"))</f>
        <v>High</v>
      </c>
      <c r="P500" t="str">
        <f>TEXT(financial_fraud_data[[#This Row],[Transaction_Date]],"MMM")</f>
        <v>Jan</v>
      </c>
      <c r="Q500" t="str">
        <f>IF(financial_fraud_data[[#This Row],[Is_Fraud]]=1,"Yes","No")</f>
        <v>Yes</v>
      </c>
    </row>
    <row r="501" spans="1:17" x14ac:dyDescent="0.2">
      <c r="A501" t="s">
        <v>856</v>
      </c>
      <c r="B501" t="s">
        <v>857</v>
      </c>
      <c r="C501" s="1">
        <v>45312.791666666664</v>
      </c>
      <c r="D501">
        <v>49311.23</v>
      </c>
      <c r="E501" t="s">
        <v>34</v>
      </c>
      <c r="F501" t="s">
        <v>47</v>
      </c>
      <c r="G501" t="s">
        <v>28</v>
      </c>
      <c r="H501" t="s">
        <v>29</v>
      </c>
      <c r="I501" t="s">
        <v>24</v>
      </c>
      <c r="J501" t="s">
        <v>20</v>
      </c>
      <c r="K501">
        <v>0</v>
      </c>
      <c r="L501">
        <v>2</v>
      </c>
      <c r="M501">
        <v>8.93</v>
      </c>
      <c r="N501">
        <v>1</v>
      </c>
      <c r="O501" t="str">
        <f>IF(financial_fraud_data[[#This Row],[Risk_Score]]&gt;8,"High",IF(financial_fraud_data[[#This Row],[Risk_Score]]&gt;5,"Med","Low"))</f>
        <v>High</v>
      </c>
      <c r="P501" t="str">
        <f>TEXT(financial_fraud_data[[#This Row],[Transaction_Date]],"MMM")</f>
        <v>Jan</v>
      </c>
      <c r="Q501" t="str">
        <f>IF(financial_fraud_data[[#This Row],[Is_Fraud]]=1,"Yes","No")</f>
        <v>Yes</v>
      </c>
    </row>
    <row r="502" spans="1:17" x14ac:dyDescent="0.2">
      <c r="A502" t="s">
        <v>858</v>
      </c>
      <c r="B502" t="s">
        <v>251</v>
      </c>
      <c r="C502" s="1">
        <v>45312.833333333336</v>
      </c>
      <c r="D502">
        <v>34923.18</v>
      </c>
      <c r="E502" t="s">
        <v>16</v>
      </c>
      <c r="F502" t="s">
        <v>50</v>
      </c>
      <c r="G502" t="s">
        <v>56</v>
      </c>
      <c r="H502" t="s">
        <v>36</v>
      </c>
      <c r="I502" t="s">
        <v>36</v>
      </c>
      <c r="J502" t="s">
        <v>37</v>
      </c>
      <c r="K502">
        <v>1</v>
      </c>
      <c r="L502">
        <v>0</v>
      </c>
      <c r="M502">
        <v>5.49</v>
      </c>
      <c r="N502">
        <v>1</v>
      </c>
      <c r="O502" t="str">
        <f>IF(financial_fraud_data[[#This Row],[Risk_Score]]&gt;8,"High",IF(financial_fraud_data[[#This Row],[Risk_Score]]&gt;5,"Med","Low"))</f>
        <v>Med</v>
      </c>
      <c r="P502" t="str">
        <f>TEXT(financial_fraud_data[[#This Row],[Transaction_Date]],"MMM")</f>
        <v>Jan</v>
      </c>
      <c r="Q502" t="str">
        <f>IF(financial_fraud_data[[#This Row],[Is_Fraud]]=1,"Yes","No")</f>
        <v>Yes</v>
      </c>
    </row>
    <row r="503" spans="1:17" x14ac:dyDescent="0.2">
      <c r="A503" t="s">
        <v>859</v>
      </c>
      <c r="B503" t="s">
        <v>860</v>
      </c>
      <c r="C503" s="1">
        <v>45312.875</v>
      </c>
      <c r="D503">
        <v>26828.01</v>
      </c>
      <c r="E503" t="s">
        <v>16</v>
      </c>
      <c r="F503" t="s">
        <v>47</v>
      </c>
      <c r="G503" t="s">
        <v>18</v>
      </c>
      <c r="H503" t="s">
        <v>24</v>
      </c>
      <c r="I503" t="s">
        <v>36</v>
      </c>
      <c r="J503" t="s">
        <v>51</v>
      </c>
      <c r="K503">
        <v>1</v>
      </c>
      <c r="L503">
        <v>4</v>
      </c>
      <c r="M503">
        <v>11.68</v>
      </c>
      <c r="N503">
        <v>1</v>
      </c>
      <c r="O503" t="str">
        <f>IF(financial_fraud_data[[#This Row],[Risk_Score]]&gt;8,"High",IF(financial_fraud_data[[#This Row],[Risk_Score]]&gt;5,"Med","Low"))</f>
        <v>High</v>
      </c>
      <c r="P503" t="str">
        <f>TEXT(financial_fraud_data[[#This Row],[Transaction_Date]],"MMM")</f>
        <v>Jan</v>
      </c>
      <c r="Q503" t="str">
        <f>IF(financial_fraud_data[[#This Row],[Is_Fraud]]=1,"Yes","No")</f>
        <v>Yes</v>
      </c>
    </row>
    <row r="504" spans="1:17" x14ac:dyDescent="0.2">
      <c r="A504" t="s">
        <v>861</v>
      </c>
      <c r="B504" t="s">
        <v>477</v>
      </c>
      <c r="C504" s="1">
        <v>45312.916666666664</v>
      </c>
      <c r="D504">
        <v>15510.9</v>
      </c>
      <c r="E504" t="s">
        <v>34</v>
      </c>
      <c r="F504" t="s">
        <v>17</v>
      </c>
      <c r="G504" t="s">
        <v>65</v>
      </c>
      <c r="H504" t="s">
        <v>19</v>
      </c>
      <c r="I504" t="s">
        <v>23</v>
      </c>
      <c r="J504" t="s">
        <v>20</v>
      </c>
      <c r="K504">
        <v>0</v>
      </c>
      <c r="L504">
        <v>0</v>
      </c>
      <c r="M504">
        <v>2.5499999999999998</v>
      </c>
      <c r="N504">
        <v>0</v>
      </c>
      <c r="O504" t="str">
        <f>IF(financial_fraud_data[[#This Row],[Risk_Score]]&gt;8,"High",IF(financial_fraud_data[[#This Row],[Risk_Score]]&gt;5,"Med","Low"))</f>
        <v>Low</v>
      </c>
      <c r="P504" t="str">
        <f>TEXT(financial_fraud_data[[#This Row],[Transaction_Date]],"MMM")</f>
        <v>Jan</v>
      </c>
      <c r="Q504" t="str">
        <f>IF(financial_fraud_data[[#This Row],[Is_Fraud]]=1,"Yes","No")</f>
        <v>No</v>
      </c>
    </row>
    <row r="505" spans="1:17" x14ac:dyDescent="0.2">
      <c r="A505" t="s">
        <v>862</v>
      </c>
      <c r="B505" t="s">
        <v>863</v>
      </c>
      <c r="C505" s="1">
        <v>45312.958333333336</v>
      </c>
      <c r="D505">
        <v>40699.06</v>
      </c>
      <c r="E505" t="s">
        <v>16</v>
      </c>
      <c r="F505" t="s">
        <v>47</v>
      </c>
      <c r="G505" t="s">
        <v>35</v>
      </c>
      <c r="H505" t="s">
        <v>23</v>
      </c>
      <c r="I505" t="s">
        <v>19</v>
      </c>
      <c r="J505" t="s">
        <v>37</v>
      </c>
      <c r="K505">
        <v>1</v>
      </c>
      <c r="L505">
        <v>0</v>
      </c>
      <c r="M505">
        <v>7.07</v>
      </c>
      <c r="N505">
        <v>1</v>
      </c>
      <c r="O505" t="str">
        <f>IF(financial_fraud_data[[#This Row],[Risk_Score]]&gt;8,"High",IF(financial_fraud_data[[#This Row],[Risk_Score]]&gt;5,"Med","Low"))</f>
        <v>Med</v>
      </c>
      <c r="P505" t="str">
        <f>TEXT(financial_fraud_data[[#This Row],[Transaction_Date]],"MMM")</f>
        <v>Jan</v>
      </c>
      <c r="Q505" t="str">
        <f>IF(financial_fraud_data[[#This Row],[Is_Fraud]]=1,"Yes","No")</f>
        <v>Yes</v>
      </c>
    </row>
    <row r="506" spans="1:17" x14ac:dyDescent="0.2">
      <c r="A506" t="s">
        <v>864</v>
      </c>
      <c r="B506" t="s">
        <v>767</v>
      </c>
      <c r="C506" s="1">
        <v>45313</v>
      </c>
      <c r="D506">
        <v>34252.32</v>
      </c>
      <c r="E506" t="s">
        <v>16</v>
      </c>
      <c r="F506" t="s">
        <v>27</v>
      </c>
      <c r="G506" t="s">
        <v>56</v>
      </c>
      <c r="H506" t="s">
        <v>23</v>
      </c>
      <c r="I506" t="s">
        <v>29</v>
      </c>
      <c r="J506" t="s">
        <v>51</v>
      </c>
      <c r="K506">
        <v>0</v>
      </c>
      <c r="L506">
        <v>1</v>
      </c>
      <c r="M506">
        <v>5.93</v>
      </c>
      <c r="N506">
        <v>1</v>
      </c>
      <c r="O506" t="str">
        <f>IF(financial_fraud_data[[#This Row],[Risk_Score]]&gt;8,"High",IF(financial_fraud_data[[#This Row],[Risk_Score]]&gt;5,"Med","Low"))</f>
        <v>Med</v>
      </c>
      <c r="P506" t="str">
        <f>TEXT(financial_fraud_data[[#This Row],[Transaction_Date]],"MMM")</f>
        <v>Jan</v>
      </c>
      <c r="Q506" t="str">
        <f>IF(financial_fraud_data[[#This Row],[Is_Fraud]]=1,"Yes","No")</f>
        <v>Yes</v>
      </c>
    </row>
    <row r="507" spans="1:17" x14ac:dyDescent="0.2">
      <c r="A507" t="s">
        <v>865</v>
      </c>
      <c r="B507" t="s">
        <v>866</v>
      </c>
      <c r="C507" s="1">
        <v>45313.041666666664</v>
      </c>
      <c r="D507">
        <v>8172.72</v>
      </c>
      <c r="E507" t="s">
        <v>42</v>
      </c>
      <c r="F507" t="s">
        <v>27</v>
      </c>
      <c r="G507" t="s">
        <v>28</v>
      </c>
      <c r="H507" t="s">
        <v>36</v>
      </c>
      <c r="I507" t="s">
        <v>29</v>
      </c>
      <c r="J507" t="s">
        <v>51</v>
      </c>
      <c r="K507">
        <v>1</v>
      </c>
      <c r="L507">
        <v>1</v>
      </c>
      <c r="M507">
        <v>5.32</v>
      </c>
      <c r="N507">
        <v>1</v>
      </c>
      <c r="O507" t="str">
        <f>IF(financial_fraud_data[[#This Row],[Risk_Score]]&gt;8,"High",IF(financial_fraud_data[[#This Row],[Risk_Score]]&gt;5,"Med","Low"))</f>
        <v>Med</v>
      </c>
      <c r="P507" t="str">
        <f>TEXT(financial_fraud_data[[#This Row],[Transaction_Date]],"MMM")</f>
        <v>Jan</v>
      </c>
      <c r="Q507" t="str">
        <f>IF(financial_fraud_data[[#This Row],[Is_Fraud]]=1,"Yes","No")</f>
        <v>Yes</v>
      </c>
    </row>
    <row r="508" spans="1:17" x14ac:dyDescent="0.2">
      <c r="A508" t="s">
        <v>867</v>
      </c>
      <c r="B508" t="s">
        <v>868</v>
      </c>
      <c r="C508" s="1">
        <v>45313.083333333336</v>
      </c>
      <c r="D508">
        <v>45550.81</v>
      </c>
      <c r="E508" t="s">
        <v>42</v>
      </c>
      <c r="F508" t="s">
        <v>17</v>
      </c>
      <c r="G508" t="s">
        <v>56</v>
      </c>
      <c r="H508" t="s">
        <v>29</v>
      </c>
      <c r="I508" t="s">
        <v>36</v>
      </c>
      <c r="J508" t="s">
        <v>37</v>
      </c>
      <c r="K508">
        <v>0</v>
      </c>
      <c r="L508">
        <v>4</v>
      </c>
      <c r="M508">
        <v>11.56</v>
      </c>
      <c r="N508">
        <v>1</v>
      </c>
      <c r="O508" t="str">
        <f>IF(financial_fraud_data[[#This Row],[Risk_Score]]&gt;8,"High",IF(financial_fraud_data[[#This Row],[Risk_Score]]&gt;5,"Med","Low"))</f>
        <v>High</v>
      </c>
      <c r="P508" t="str">
        <f>TEXT(financial_fraud_data[[#This Row],[Transaction_Date]],"MMM")</f>
        <v>Jan</v>
      </c>
      <c r="Q508" t="str">
        <f>IF(financial_fraud_data[[#This Row],[Is_Fraud]]=1,"Yes","No")</f>
        <v>Yes</v>
      </c>
    </row>
    <row r="509" spans="1:17" x14ac:dyDescent="0.2">
      <c r="A509" t="s">
        <v>869</v>
      </c>
      <c r="B509" t="s">
        <v>474</v>
      </c>
      <c r="C509" s="1">
        <v>45313.125</v>
      </c>
      <c r="D509">
        <v>41135.74</v>
      </c>
      <c r="E509" t="s">
        <v>16</v>
      </c>
      <c r="F509" t="s">
        <v>47</v>
      </c>
      <c r="G509" t="s">
        <v>28</v>
      </c>
      <c r="H509" t="s">
        <v>19</v>
      </c>
      <c r="I509" t="s">
        <v>24</v>
      </c>
      <c r="J509" t="s">
        <v>20</v>
      </c>
      <c r="K509">
        <v>0</v>
      </c>
      <c r="L509">
        <v>0</v>
      </c>
      <c r="M509">
        <v>5.1100000000000003</v>
      </c>
      <c r="N509">
        <v>1</v>
      </c>
      <c r="O509" t="str">
        <f>IF(financial_fraud_data[[#This Row],[Risk_Score]]&gt;8,"High",IF(financial_fraud_data[[#This Row],[Risk_Score]]&gt;5,"Med","Low"))</f>
        <v>Med</v>
      </c>
      <c r="P509" t="str">
        <f>TEXT(financial_fraud_data[[#This Row],[Transaction_Date]],"MMM")</f>
        <v>Jan</v>
      </c>
      <c r="Q509" t="str">
        <f>IF(financial_fraud_data[[#This Row],[Is_Fraud]]=1,"Yes","No")</f>
        <v>Yes</v>
      </c>
    </row>
    <row r="510" spans="1:17" x14ac:dyDescent="0.2">
      <c r="A510" t="s">
        <v>870</v>
      </c>
      <c r="B510" t="s">
        <v>437</v>
      </c>
      <c r="C510" s="1">
        <v>45313.166666666664</v>
      </c>
      <c r="D510">
        <v>47492.51</v>
      </c>
      <c r="E510" t="s">
        <v>34</v>
      </c>
      <c r="F510" t="s">
        <v>17</v>
      </c>
      <c r="G510" t="s">
        <v>56</v>
      </c>
      <c r="H510" t="s">
        <v>36</v>
      </c>
      <c r="I510" t="s">
        <v>24</v>
      </c>
      <c r="J510" t="s">
        <v>51</v>
      </c>
      <c r="K510">
        <v>0</v>
      </c>
      <c r="L510">
        <v>2</v>
      </c>
      <c r="M510">
        <v>8.75</v>
      </c>
      <c r="N510">
        <v>1</v>
      </c>
      <c r="O510" t="str">
        <f>IF(financial_fraud_data[[#This Row],[Risk_Score]]&gt;8,"High",IF(financial_fraud_data[[#This Row],[Risk_Score]]&gt;5,"Med","Low"))</f>
        <v>High</v>
      </c>
      <c r="P510" t="str">
        <f>TEXT(financial_fraud_data[[#This Row],[Transaction_Date]],"MMM")</f>
        <v>Jan</v>
      </c>
      <c r="Q510" t="str">
        <f>IF(financial_fraud_data[[#This Row],[Is_Fraud]]=1,"Yes","No")</f>
        <v>Yes</v>
      </c>
    </row>
    <row r="511" spans="1:17" x14ac:dyDescent="0.2">
      <c r="A511" t="s">
        <v>871</v>
      </c>
      <c r="B511" t="s">
        <v>872</v>
      </c>
      <c r="C511" s="1">
        <v>45313.208333333336</v>
      </c>
      <c r="D511">
        <v>36299.69</v>
      </c>
      <c r="E511" t="s">
        <v>80</v>
      </c>
      <c r="F511" t="s">
        <v>47</v>
      </c>
      <c r="G511" t="s">
        <v>28</v>
      </c>
      <c r="H511" t="s">
        <v>23</v>
      </c>
      <c r="I511" t="s">
        <v>19</v>
      </c>
      <c r="J511" t="s">
        <v>37</v>
      </c>
      <c r="K511">
        <v>0</v>
      </c>
      <c r="L511">
        <v>0</v>
      </c>
      <c r="M511">
        <v>4.63</v>
      </c>
      <c r="N511">
        <v>0</v>
      </c>
      <c r="O511" t="str">
        <f>IF(financial_fraud_data[[#This Row],[Risk_Score]]&gt;8,"High",IF(financial_fraud_data[[#This Row],[Risk_Score]]&gt;5,"Med","Low"))</f>
        <v>Low</v>
      </c>
      <c r="P511" t="str">
        <f>TEXT(financial_fraud_data[[#This Row],[Transaction_Date]],"MMM")</f>
        <v>Jan</v>
      </c>
      <c r="Q511" t="str">
        <f>IF(financial_fraud_data[[#This Row],[Is_Fraud]]=1,"Yes","No")</f>
        <v>No</v>
      </c>
    </row>
    <row r="512" spans="1:17" x14ac:dyDescent="0.2">
      <c r="A512" t="s">
        <v>873</v>
      </c>
      <c r="B512" t="s">
        <v>703</v>
      </c>
      <c r="C512" s="1">
        <v>45313.25</v>
      </c>
      <c r="D512">
        <v>30690.09</v>
      </c>
      <c r="E512" t="s">
        <v>34</v>
      </c>
      <c r="F512" t="s">
        <v>50</v>
      </c>
      <c r="G512" t="s">
        <v>18</v>
      </c>
      <c r="H512" t="s">
        <v>36</v>
      </c>
      <c r="I512" t="s">
        <v>24</v>
      </c>
      <c r="J512" t="s">
        <v>20</v>
      </c>
      <c r="K512">
        <v>0</v>
      </c>
      <c r="L512">
        <v>1</v>
      </c>
      <c r="M512">
        <v>5.57</v>
      </c>
      <c r="N512">
        <v>1</v>
      </c>
      <c r="O512" t="str">
        <f>IF(financial_fraud_data[[#This Row],[Risk_Score]]&gt;8,"High",IF(financial_fraud_data[[#This Row],[Risk_Score]]&gt;5,"Med","Low"))</f>
        <v>Med</v>
      </c>
      <c r="P512" t="str">
        <f>TEXT(financial_fraud_data[[#This Row],[Transaction_Date]],"MMM")</f>
        <v>Jan</v>
      </c>
      <c r="Q512" t="str">
        <f>IF(financial_fraud_data[[#This Row],[Is_Fraud]]=1,"Yes","No")</f>
        <v>Yes</v>
      </c>
    </row>
    <row r="513" spans="1:17" x14ac:dyDescent="0.2">
      <c r="A513" t="s">
        <v>874</v>
      </c>
      <c r="B513" t="s">
        <v>308</v>
      </c>
      <c r="C513" s="1">
        <v>45313.291666666664</v>
      </c>
      <c r="D513">
        <v>20941.240000000002</v>
      </c>
      <c r="E513" t="s">
        <v>80</v>
      </c>
      <c r="F513" t="s">
        <v>27</v>
      </c>
      <c r="G513" t="s">
        <v>65</v>
      </c>
      <c r="H513" t="s">
        <v>19</v>
      </c>
      <c r="I513" t="s">
        <v>29</v>
      </c>
      <c r="J513" t="s">
        <v>51</v>
      </c>
      <c r="K513">
        <v>1</v>
      </c>
      <c r="L513">
        <v>0</v>
      </c>
      <c r="M513">
        <v>5.09</v>
      </c>
      <c r="N513">
        <v>1</v>
      </c>
      <c r="O513" t="str">
        <f>IF(financial_fraud_data[[#This Row],[Risk_Score]]&gt;8,"High",IF(financial_fraud_data[[#This Row],[Risk_Score]]&gt;5,"Med","Low"))</f>
        <v>Med</v>
      </c>
      <c r="P513" t="str">
        <f>TEXT(financial_fraud_data[[#This Row],[Transaction_Date]],"MMM")</f>
        <v>Jan</v>
      </c>
      <c r="Q513" t="str">
        <f>IF(financial_fraud_data[[#This Row],[Is_Fraud]]=1,"Yes","No")</f>
        <v>Yes</v>
      </c>
    </row>
    <row r="514" spans="1:17" x14ac:dyDescent="0.2">
      <c r="A514" t="s">
        <v>875</v>
      </c>
      <c r="B514" t="s">
        <v>860</v>
      </c>
      <c r="C514" s="1">
        <v>45313.333333333336</v>
      </c>
      <c r="D514">
        <v>46639.79</v>
      </c>
      <c r="E514" t="s">
        <v>34</v>
      </c>
      <c r="F514" t="s">
        <v>17</v>
      </c>
      <c r="G514" t="s">
        <v>18</v>
      </c>
      <c r="H514" t="s">
        <v>24</v>
      </c>
      <c r="I514" t="s">
        <v>24</v>
      </c>
      <c r="J514" t="s">
        <v>37</v>
      </c>
      <c r="K514">
        <v>0</v>
      </c>
      <c r="L514">
        <v>3</v>
      </c>
      <c r="M514">
        <v>9.16</v>
      </c>
      <c r="N514">
        <v>1</v>
      </c>
      <c r="O514" t="str">
        <f>IF(financial_fraud_data[[#This Row],[Risk_Score]]&gt;8,"High",IF(financial_fraud_data[[#This Row],[Risk_Score]]&gt;5,"Med","Low"))</f>
        <v>High</v>
      </c>
      <c r="P514" t="str">
        <f>TEXT(financial_fraud_data[[#This Row],[Transaction_Date]],"MMM")</f>
        <v>Jan</v>
      </c>
      <c r="Q514" t="str">
        <f>IF(financial_fraud_data[[#This Row],[Is_Fraud]]=1,"Yes","No")</f>
        <v>Yes</v>
      </c>
    </row>
    <row r="515" spans="1:17" x14ac:dyDescent="0.2">
      <c r="A515" t="s">
        <v>876</v>
      </c>
      <c r="B515" t="s">
        <v>708</v>
      </c>
      <c r="C515" s="1">
        <v>45313.375</v>
      </c>
      <c r="D515">
        <v>43309.89</v>
      </c>
      <c r="E515" t="s">
        <v>42</v>
      </c>
      <c r="F515" t="s">
        <v>50</v>
      </c>
      <c r="G515" t="s">
        <v>65</v>
      </c>
      <c r="H515" t="s">
        <v>19</v>
      </c>
      <c r="I515" t="s">
        <v>19</v>
      </c>
      <c r="J515" t="s">
        <v>51</v>
      </c>
      <c r="K515">
        <v>0</v>
      </c>
      <c r="L515">
        <v>3</v>
      </c>
      <c r="M515">
        <v>8.83</v>
      </c>
      <c r="N515">
        <v>1</v>
      </c>
      <c r="O515" t="str">
        <f>IF(financial_fraud_data[[#This Row],[Risk_Score]]&gt;8,"High",IF(financial_fraud_data[[#This Row],[Risk_Score]]&gt;5,"Med","Low"))</f>
        <v>High</v>
      </c>
      <c r="P515" t="str">
        <f>TEXT(financial_fraud_data[[#This Row],[Transaction_Date]],"MMM")</f>
        <v>Jan</v>
      </c>
      <c r="Q515" t="str">
        <f>IF(financial_fraud_data[[#This Row],[Is_Fraud]]=1,"Yes","No")</f>
        <v>Yes</v>
      </c>
    </row>
    <row r="516" spans="1:17" x14ac:dyDescent="0.2">
      <c r="A516" t="s">
        <v>877</v>
      </c>
      <c r="B516" t="s">
        <v>431</v>
      </c>
      <c r="C516" s="1">
        <v>45313.416666666664</v>
      </c>
      <c r="D516">
        <v>2308.67</v>
      </c>
      <c r="E516" t="s">
        <v>16</v>
      </c>
      <c r="F516" t="s">
        <v>50</v>
      </c>
      <c r="G516" t="s">
        <v>18</v>
      </c>
      <c r="H516" t="s">
        <v>24</v>
      </c>
      <c r="I516" t="s">
        <v>29</v>
      </c>
      <c r="J516" t="s">
        <v>51</v>
      </c>
      <c r="K516">
        <v>0</v>
      </c>
      <c r="L516">
        <v>2</v>
      </c>
      <c r="M516">
        <v>4.2300000000000004</v>
      </c>
      <c r="N516">
        <v>0</v>
      </c>
      <c r="O516" t="str">
        <f>IF(financial_fraud_data[[#This Row],[Risk_Score]]&gt;8,"High",IF(financial_fraud_data[[#This Row],[Risk_Score]]&gt;5,"Med","Low"))</f>
        <v>Low</v>
      </c>
      <c r="P516" t="str">
        <f>TEXT(financial_fraud_data[[#This Row],[Transaction_Date]],"MMM")</f>
        <v>Jan</v>
      </c>
      <c r="Q516" t="str">
        <f>IF(financial_fraud_data[[#This Row],[Is_Fraud]]=1,"Yes","No")</f>
        <v>No</v>
      </c>
    </row>
    <row r="517" spans="1:17" x14ac:dyDescent="0.2">
      <c r="A517" t="s">
        <v>878</v>
      </c>
      <c r="B517" t="s">
        <v>879</v>
      </c>
      <c r="C517" s="1">
        <v>45313.458333333336</v>
      </c>
      <c r="D517">
        <v>1367.03</v>
      </c>
      <c r="E517" t="s">
        <v>16</v>
      </c>
      <c r="F517" t="s">
        <v>17</v>
      </c>
      <c r="G517" t="s">
        <v>18</v>
      </c>
      <c r="H517" t="s">
        <v>24</v>
      </c>
      <c r="I517" t="s">
        <v>24</v>
      </c>
      <c r="J517" t="s">
        <v>37</v>
      </c>
      <c r="K517">
        <v>0</v>
      </c>
      <c r="L517">
        <v>4</v>
      </c>
      <c r="M517">
        <v>6.14</v>
      </c>
      <c r="N517">
        <v>1</v>
      </c>
      <c r="O517" t="str">
        <f>IF(financial_fraud_data[[#This Row],[Risk_Score]]&gt;8,"High",IF(financial_fraud_data[[#This Row],[Risk_Score]]&gt;5,"Med","Low"))</f>
        <v>Med</v>
      </c>
      <c r="P517" t="str">
        <f>TEXT(financial_fraud_data[[#This Row],[Transaction_Date]],"MMM")</f>
        <v>Jan</v>
      </c>
      <c r="Q517" t="str">
        <f>IF(financial_fraud_data[[#This Row],[Is_Fraud]]=1,"Yes","No")</f>
        <v>Yes</v>
      </c>
    </row>
    <row r="518" spans="1:17" x14ac:dyDescent="0.2">
      <c r="A518" t="s">
        <v>880</v>
      </c>
      <c r="B518" t="s">
        <v>138</v>
      </c>
      <c r="C518" s="1">
        <v>45313.5</v>
      </c>
      <c r="D518">
        <v>18854.349999999999</v>
      </c>
      <c r="E518" t="s">
        <v>42</v>
      </c>
      <c r="F518" t="s">
        <v>17</v>
      </c>
      <c r="G518" t="s">
        <v>56</v>
      </c>
      <c r="H518" t="s">
        <v>24</v>
      </c>
      <c r="I518" t="s">
        <v>29</v>
      </c>
      <c r="J518" t="s">
        <v>51</v>
      </c>
      <c r="K518">
        <v>0</v>
      </c>
      <c r="L518">
        <v>0</v>
      </c>
      <c r="M518">
        <v>2.89</v>
      </c>
      <c r="N518">
        <v>0</v>
      </c>
      <c r="O518" t="str">
        <f>IF(financial_fraud_data[[#This Row],[Risk_Score]]&gt;8,"High",IF(financial_fraud_data[[#This Row],[Risk_Score]]&gt;5,"Med","Low"))</f>
        <v>Low</v>
      </c>
      <c r="P518" t="str">
        <f>TEXT(financial_fraud_data[[#This Row],[Transaction_Date]],"MMM")</f>
        <v>Jan</v>
      </c>
      <c r="Q518" t="str">
        <f>IF(financial_fraud_data[[#This Row],[Is_Fraud]]=1,"Yes","No")</f>
        <v>No</v>
      </c>
    </row>
    <row r="519" spans="1:17" x14ac:dyDescent="0.2">
      <c r="A519" t="s">
        <v>881</v>
      </c>
      <c r="B519" t="s">
        <v>94</v>
      </c>
      <c r="C519" s="1">
        <v>45313.541666666664</v>
      </c>
      <c r="D519">
        <v>40537.14</v>
      </c>
      <c r="E519" t="s">
        <v>80</v>
      </c>
      <c r="F519" t="s">
        <v>50</v>
      </c>
      <c r="G519" t="s">
        <v>35</v>
      </c>
      <c r="H519" t="s">
        <v>36</v>
      </c>
      <c r="I519" t="s">
        <v>36</v>
      </c>
      <c r="J519" t="s">
        <v>37</v>
      </c>
      <c r="K519">
        <v>0</v>
      </c>
      <c r="L519">
        <v>3</v>
      </c>
      <c r="M519">
        <v>8.5500000000000007</v>
      </c>
      <c r="N519">
        <v>1</v>
      </c>
      <c r="O519" t="str">
        <f>IF(financial_fraud_data[[#This Row],[Risk_Score]]&gt;8,"High",IF(financial_fraud_data[[#This Row],[Risk_Score]]&gt;5,"Med","Low"))</f>
        <v>High</v>
      </c>
      <c r="P519" t="str">
        <f>TEXT(financial_fraud_data[[#This Row],[Transaction_Date]],"MMM")</f>
        <v>Jan</v>
      </c>
      <c r="Q519" t="str">
        <f>IF(financial_fraud_data[[#This Row],[Is_Fraud]]=1,"Yes","No")</f>
        <v>Yes</v>
      </c>
    </row>
    <row r="520" spans="1:17" x14ac:dyDescent="0.2">
      <c r="A520" t="s">
        <v>882</v>
      </c>
      <c r="B520" t="s">
        <v>883</v>
      </c>
      <c r="C520" s="1">
        <v>45313.583333333336</v>
      </c>
      <c r="D520">
        <v>49364.44</v>
      </c>
      <c r="E520" t="s">
        <v>80</v>
      </c>
      <c r="F520" t="s">
        <v>47</v>
      </c>
      <c r="G520" t="s">
        <v>28</v>
      </c>
      <c r="H520" t="s">
        <v>23</v>
      </c>
      <c r="I520" t="s">
        <v>36</v>
      </c>
      <c r="J520" t="s">
        <v>20</v>
      </c>
      <c r="K520">
        <v>0</v>
      </c>
      <c r="L520">
        <v>4</v>
      </c>
      <c r="M520">
        <v>11.94</v>
      </c>
      <c r="N520">
        <v>1</v>
      </c>
      <c r="O520" t="str">
        <f>IF(financial_fraud_data[[#This Row],[Risk_Score]]&gt;8,"High",IF(financial_fraud_data[[#This Row],[Risk_Score]]&gt;5,"Med","Low"))</f>
        <v>High</v>
      </c>
      <c r="P520" t="str">
        <f>TEXT(financial_fraud_data[[#This Row],[Transaction_Date]],"MMM")</f>
        <v>Jan</v>
      </c>
      <c r="Q520" t="str">
        <f>IF(financial_fraud_data[[#This Row],[Is_Fraud]]=1,"Yes","No")</f>
        <v>Yes</v>
      </c>
    </row>
    <row r="521" spans="1:17" x14ac:dyDescent="0.2">
      <c r="A521" t="s">
        <v>884</v>
      </c>
      <c r="B521" t="s">
        <v>885</v>
      </c>
      <c r="C521" s="1">
        <v>45313.625</v>
      </c>
      <c r="D521">
        <v>7563.32</v>
      </c>
      <c r="E521" t="s">
        <v>80</v>
      </c>
      <c r="F521" t="s">
        <v>50</v>
      </c>
      <c r="G521" t="s">
        <v>28</v>
      </c>
      <c r="H521" t="s">
        <v>36</v>
      </c>
      <c r="I521" t="s">
        <v>36</v>
      </c>
      <c r="J521" t="s">
        <v>37</v>
      </c>
      <c r="K521">
        <v>0</v>
      </c>
      <c r="L521">
        <v>3</v>
      </c>
      <c r="M521">
        <v>5.26</v>
      </c>
      <c r="N521">
        <v>1</v>
      </c>
      <c r="O521" t="str">
        <f>IF(financial_fraud_data[[#This Row],[Risk_Score]]&gt;8,"High",IF(financial_fraud_data[[#This Row],[Risk_Score]]&gt;5,"Med","Low"))</f>
        <v>Med</v>
      </c>
      <c r="P521" t="str">
        <f>TEXT(financial_fraud_data[[#This Row],[Transaction_Date]],"MMM")</f>
        <v>Jan</v>
      </c>
      <c r="Q521" t="str">
        <f>IF(financial_fraud_data[[#This Row],[Is_Fraud]]=1,"Yes","No")</f>
        <v>Yes</v>
      </c>
    </row>
    <row r="522" spans="1:17" x14ac:dyDescent="0.2">
      <c r="A522" t="s">
        <v>886</v>
      </c>
      <c r="B522" t="s">
        <v>150</v>
      </c>
      <c r="C522" s="1">
        <v>45313.666666666664</v>
      </c>
      <c r="D522">
        <v>29726.83</v>
      </c>
      <c r="E522" t="s">
        <v>42</v>
      </c>
      <c r="F522" t="s">
        <v>17</v>
      </c>
      <c r="G522" t="s">
        <v>28</v>
      </c>
      <c r="H522" t="s">
        <v>23</v>
      </c>
      <c r="I522" t="s">
        <v>24</v>
      </c>
      <c r="J522" t="s">
        <v>20</v>
      </c>
      <c r="K522">
        <v>0</v>
      </c>
      <c r="L522">
        <v>4</v>
      </c>
      <c r="M522">
        <v>9.9700000000000006</v>
      </c>
      <c r="N522">
        <v>1</v>
      </c>
      <c r="O522" t="str">
        <f>IF(financial_fraud_data[[#This Row],[Risk_Score]]&gt;8,"High",IF(financial_fraud_data[[#This Row],[Risk_Score]]&gt;5,"Med","Low"))</f>
        <v>High</v>
      </c>
      <c r="P522" t="str">
        <f>TEXT(financial_fraud_data[[#This Row],[Transaction_Date]],"MMM")</f>
        <v>Jan</v>
      </c>
      <c r="Q522" t="str">
        <f>IF(financial_fraud_data[[#This Row],[Is_Fraud]]=1,"Yes","No")</f>
        <v>Yes</v>
      </c>
    </row>
    <row r="523" spans="1:17" x14ac:dyDescent="0.2">
      <c r="A523" t="s">
        <v>887</v>
      </c>
      <c r="B523" t="s">
        <v>158</v>
      </c>
      <c r="C523" s="1">
        <v>45313.708333333336</v>
      </c>
      <c r="D523">
        <v>19075.5</v>
      </c>
      <c r="E523" t="s">
        <v>80</v>
      </c>
      <c r="F523" t="s">
        <v>50</v>
      </c>
      <c r="G523" t="s">
        <v>65</v>
      </c>
      <c r="H523" t="s">
        <v>19</v>
      </c>
      <c r="I523" t="s">
        <v>19</v>
      </c>
      <c r="J523" t="s">
        <v>51</v>
      </c>
      <c r="K523">
        <v>0</v>
      </c>
      <c r="L523">
        <v>4</v>
      </c>
      <c r="M523">
        <v>7.91</v>
      </c>
      <c r="N523">
        <v>1</v>
      </c>
      <c r="O523" t="str">
        <f>IF(financial_fraud_data[[#This Row],[Risk_Score]]&gt;8,"High",IF(financial_fraud_data[[#This Row],[Risk_Score]]&gt;5,"Med","Low"))</f>
        <v>Med</v>
      </c>
      <c r="P523" t="str">
        <f>TEXT(financial_fraud_data[[#This Row],[Transaction_Date]],"MMM")</f>
        <v>Jan</v>
      </c>
      <c r="Q523" t="str">
        <f>IF(financial_fraud_data[[#This Row],[Is_Fraud]]=1,"Yes","No")</f>
        <v>Yes</v>
      </c>
    </row>
    <row r="524" spans="1:17" x14ac:dyDescent="0.2">
      <c r="A524" t="s">
        <v>888</v>
      </c>
      <c r="B524" t="s">
        <v>380</v>
      </c>
      <c r="C524" s="1">
        <v>45313.75</v>
      </c>
      <c r="D524">
        <v>48497.22</v>
      </c>
      <c r="E524" t="s">
        <v>42</v>
      </c>
      <c r="F524" t="s">
        <v>47</v>
      </c>
      <c r="G524" t="s">
        <v>28</v>
      </c>
      <c r="H524" t="s">
        <v>29</v>
      </c>
      <c r="I524" t="s">
        <v>29</v>
      </c>
      <c r="J524" t="s">
        <v>37</v>
      </c>
      <c r="K524">
        <v>0</v>
      </c>
      <c r="L524">
        <v>3</v>
      </c>
      <c r="M524">
        <v>9.35</v>
      </c>
      <c r="N524">
        <v>1</v>
      </c>
      <c r="O524" t="str">
        <f>IF(financial_fraud_data[[#This Row],[Risk_Score]]&gt;8,"High",IF(financial_fraud_data[[#This Row],[Risk_Score]]&gt;5,"Med","Low"))</f>
        <v>High</v>
      </c>
      <c r="P524" t="str">
        <f>TEXT(financial_fraud_data[[#This Row],[Transaction_Date]],"MMM")</f>
        <v>Jan</v>
      </c>
      <c r="Q524" t="str">
        <f>IF(financial_fraud_data[[#This Row],[Is_Fraud]]=1,"Yes","No")</f>
        <v>Yes</v>
      </c>
    </row>
    <row r="525" spans="1:17" x14ac:dyDescent="0.2">
      <c r="A525" t="s">
        <v>889</v>
      </c>
      <c r="B525" t="s">
        <v>257</v>
      </c>
      <c r="C525" s="1">
        <v>45313.791666666664</v>
      </c>
      <c r="D525">
        <v>42113.84</v>
      </c>
      <c r="E525" t="s">
        <v>34</v>
      </c>
      <c r="F525" t="s">
        <v>27</v>
      </c>
      <c r="G525" t="s">
        <v>28</v>
      </c>
      <c r="H525" t="s">
        <v>19</v>
      </c>
      <c r="I525" t="s">
        <v>23</v>
      </c>
      <c r="J525" t="s">
        <v>37</v>
      </c>
      <c r="K525">
        <v>1</v>
      </c>
      <c r="L525">
        <v>1</v>
      </c>
      <c r="M525">
        <v>8.7100000000000009</v>
      </c>
      <c r="N525">
        <v>1</v>
      </c>
      <c r="O525" t="str">
        <f>IF(financial_fraud_data[[#This Row],[Risk_Score]]&gt;8,"High",IF(financial_fraud_data[[#This Row],[Risk_Score]]&gt;5,"Med","Low"))</f>
        <v>High</v>
      </c>
      <c r="P525" t="str">
        <f>TEXT(financial_fraud_data[[#This Row],[Transaction_Date]],"MMM")</f>
        <v>Jan</v>
      </c>
      <c r="Q525" t="str">
        <f>IF(financial_fraud_data[[#This Row],[Is_Fraud]]=1,"Yes","No")</f>
        <v>Yes</v>
      </c>
    </row>
    <row r="526" spans="1:17" x14ac:dyDescent="0.2">
      <c r="A526" t="s">
        <v>890</v>
      </c>
      <c r="B526" t="s">
        <v>891</v>
      </c>
      <c r="C526" s="1">
        <v>45313.833333333336</v>
      </c>
      <c r="D526">
        <v>41924.519999999997</v>
      </c>
      <c r="E526" t="s">
        <v>34</v>
      </c>
      <c r="F526" t="s">
        <v>27</v>
      </c>
      <c r="G526" t="s">
        <v>56</v>
      </c>
      <c r="H526" t="s">
        <v>36</v>
      </c>
      <c r="I526" t="s">
        <v>36</v>
      </c>
      <c r="J526" t="s">
        <v>37</v>
      </c>
      <c r="K526">
        <v>0</v>
      </c>
      <c r="L526">
        <v>4</v>
      </c>
      <c r="M526">
        <v>10.19</v>
      </c>
      <c r="N526">
        <v>1</v>
      </c>
      <c r="O526" t="str">
        <f>IF(financial_fraud_data[[#This Row],[Risk_Score]]&gt;8,"High",IF(financial_fraud_data[[#This Row],[Risk_Score]]&gt;5,"Med","Low"))</f>
        <v>High</v>
      </c>
      <c r="P526" t="str">
        <f>TEXT(financial_fraud_data[[#This Row],[Transaction_Date]],"MMM")</f>
        <v>Jan</v>
      </c>
      <c r="Q526" t="str">
        <f>IF(financial_fraud_data[[#This Row],[Is_Fraud]]=1,"Yes","No")</f>
        <v>Yes</v>
      </c>
    </row>
    <row r="527" spans="1:17" x14ac:dyDescent="0.2">
      <c r="A527" t="s">
        <v>892</v>
      </c>
      <c r="B527" t="s">
        <v>655</v>
      </c>
      <c r="C527" s="1">
        <v>45313.875</v>
      </c>
      <c r="D527">
        <v>23461.22</v>
      </c>
      <c r="E527" t="s">
        <v>42</v>
      </c>
      <c r="F527" t="s">
        <v>50</v>
      </c>
      <c r="G527" t="s">
        <v>18</v>
      </c>
      <c r="H527" t="s">
        <v>36</v>
      </c>
      <c r="I527" t="s">
        <v>36</v>
      </c>
      <c r="J527" t="s">
        <v>37</v>
      </c>
      <c r="K527">
        <v>0</v>
      </c>
      <c r="L527">
        <v>0</v>
      </c>
      <c r="M527">
        <v>2.35</v>
      </c>
      <c r="N527">
        <v>0</v>
      </c>
      <c r="O527" t="str">
        <f>IF(financial_fraud_data[[#This Row],[Risk_Score]]&gt;8,"High",IF(financial_fraud_data[[#This Row],[Risk_Score]]&gt;5,"Med","Low"))</f>
        <v>Low</v>
      </c>
      <c r="P527" t="str">
        <f>TEXT(financial_fraud_data[[#This Row],[Transaction_Date]],"MMM")</f>
        <v>Jan</v>
      </c>
      <c r="Q527" t="str">
        <f>IF(financial_fraud_data[[#This Row],[Is_Fraud]]=1,"Yes","No")</f>
        <v>No</v>
      </c>
    </row>
    <row r="528" spans="1:17" x14ac:dyDescent="0.2">
      <c r="A528" t="s">
        <v>893</v>
      </c>
      <c r="B528" t="s">
        <v>894</v>
      </c>
      <c r="C528" s="1">
        <v>45313.916666666664</v>
      </c>
      <c r="D528">
        <v>20770.23</v>
      </c>
      <c r="E528" t="s">
        <v>16</v>
      </c>
      <c r="F528" t="s">
        <v>47</v>
      </c>
      <c r="G528" t="s">
        <v>28</v>
      </c>
      <c r="H528" t="s">
        <v>23</v>
      </c>
      <c r="I528" t="s">
        <v>23</v>
      </c>
      <c r="J528" t="s">
        <v>20</v>
      </c>
      <c r="K528">
        <v>0</v>
      </c>
      <c r="L528">
        <v>3</v>
      </c>
      <c r="M528">
        <v>6.58</v>
      </c>
      <c r="N528">
        <v>1</v>
      </c>
      <c r="O528" t="str">
        <f>IF(financial_fraud_data[[#This Row],[Risk_Score]]&gt;8,"High",IF(financial_fraud_data[[#This Row],[Risk_Score]]&gt;5,"Med","Low"))</f>
        <v>Med</v>
      </c>
      <c r="P528" t="str">
        <f>TEXT(financial_fraud_data[[#This Row],[Transaction_Date]],"MMM")</f>
        <v>Jan</v>
      </c>
      <c r="Q528" t="str">
        <f>IF(financial_fraud_data[[#This Row],[Is_Fraud]]=1,"Yes","No")</f>
        <v>Yes</v>
      </c>
    </row>
    <row r="529" spans="1:17" x14ac:dyDescent="0.2">
      <c r="A529" t="s">
        <v>895</v>
      </c>
      <c r="B529" t="s">
        <v>896</v>
      </c>
      <c r="C529" s="1">
        <v>45313.958333333336</v>
      </c>
      <c r="D529">
        <v>13706.68</v>
      </c>
      <c r="E529" t="s">
        <v>34</v>
      </c>
      <c r="F529" t="s">
        <v>27</v>
      </c>
      <c r="G529" t="s">
        <v>35</v>
      </c>
      <c r="H529" t="s">
        <v>36</v>
      </c>
      <c r="I529" t="s">
        <v>23</v>
      </c>
      <c r="J529" t="s">
        <v>20</v>
      </c>
      <c r="K529">
        <v>0</v>
      </c>
      <c r="L529">
        <v>1</v>
      </c>
      <c r="M529">
        <v>3.87</v>
      </c>
      <c r="N529">
        <v>0</v>
      </c>
      <c r="O529" t="str">
        <f>IF(financial_fraud_data[[#This Row],[Risk_Score]]&gt;8,"High",IF(financial_fraud_data[[#This Row],[Risk_Score]]&gt;5,"Med","Low"))</f>
        <v>Low</v>
      </c>
      <c r="P529" t="str">
        <f>TEXT(financial_fraud_data[[#This Row],[Transaction_Date]],"MMM")</f>
        <v>Jan</v>
      </c>
      <c r="Q529" t="str">
        <f>IF(financial_fraud_data[[#This Row],[Is_Fraud]]=1,"Yes","No")</f>
        <v>No</v>
      </c>
    </row>
    <row r="530" spans="1:17" x14ac:dyDescent="0.2">
      <c r="A530" t="s">
        <v>897</v>
      </c>
      <c r="B530" t="s">
        <v>898</v>
      </c>
      <c r="C530" s="1">
        <v>45314</v>
      </c>
      <c r="D530">
        <v>2865.96</v>
      </c>
      <c r="E530" t="s">
        <v>80</v>
      </c>
      <c r="F530" t="s">
        <v>50</v>
      </c>
      <c r="G530" t="s">
        <v>28</v>
      </c>
      <c r="H530" t="s">
        <v>24</v>
      </c>
      <c r="I530" t="s">
        <v>24</v>
      </c>
      <c r="J530" t="s">
        <v>51</v>
      </c>
      <c r="K530">
        <v>0</v>
      </c>
      <c r="L530">
        <v>3</v>
      </c>
      <c r="M530">
        <v>4.79</v>
      </c>
      <c r="N530">
        <v>0</v>
      </c>
      <c r="O530" t="str">
        <f>IF(financial_fraud_data[[#This Row],[Risk_Score]]&gt;8,"High",IF(financial_fraud_data[[#This Row],[Risk_Score]]&gt;5,"Med","Low"))</f>
        <v>Low</v>
      </c>
      <c r="P530" t="str">
        <f>TEXT(financial_fraud_data[[#This Row],[Transaction_Date]],"MMM")</f>
        <v>Jan</v>
      </c>
      <c r="Q530" t="str">
        <f>IF(financial_fraud_data[[#This Row],[Is_Fraud]]=1,"Yes","No")</f>
        <v>No</v>
      </c>
    </row>
    <row r="531" spans="1:17" x14ac:dyDescent="0.2">
      <c r="A531" t="s">
        <v>899</v>
      </c>
      <c r="B531" t="s">
        <v>717</v>
      </c>
      <c r="C531" s="1">
        <v>45314.041666666664</v>
      </c>
      <c r="D531">
        <v>43242.879999999997</v>
      </c>
      <c r="E531" t="s">
        <v>42</v>
      </c>
      <c r="F531" t="s">
        <v>50</v>
      </c>
      <c r="G531" t="s">
        <v>65</v>
      </c>
      <c r="H531" t="s">
        <v>36</v>
      </c>
      <c r="I531" t="s">
        <v>29</v>
      </c>
      <c r="J531" t="s">
        <v>51</v>
      </c>
      <c r="K531">
        <v>0</v>
      </c>
      <c r="L531">
        <v>2</v>
      </c>
      <c r="M531">
        <v>8.32</v>
      </c>
      <c r="N531">
        <v>1</v>
      </c>
      <c r="O531" t="str">
        <f>IF(financial_fraud_data[[#This Row],[Risk_Score]]&gt;8,"High",IF(financial_fraud_data[[#This Row],[Risk_Score]]&gt;5,"Med","Low"))</f>
        <v>High</v>
      </c>
      <c r="P531" t="str">
        <f>TEXT(financial_fraud_data[[#This Row],[Transaction_Date]],"MMM")</f>
        <v>Jan</v>
      </c>
      <c r="Q531" t="str">
        <f>IF(financial_fraud_data[[#This Row],[Is_Fraud]]=1,"Yes","No")</f>
        <v>Yes</v>
      </c>
    </row>
    <row r="532" spans="1:17" x14ac:dyDescent="0.2">
      <c r="A532" t="s">
        <v>900</v>
      </c>
      <c r="B532" t="s">
        <v>901</v>
      </c>
      <c r="C532" s="1">
        <v>45314.083333333336</v>
      </c>
      <c r="D532">
        <v>40654.410000000003</v>
      </c>
      <c r="E532" t="s">
        <v>80</v>
      </c>
      <c r="F532" t="s">
        <v>47</v>
      </c>
      <c r="G532" t="s">
        <v>65</v>
      </c>
      <c r="H532" t="s">
        <v>23</v>
      </c>
      <c r="I532" t="s">
        <v>36</v>
      </c>
      <c r="J532" t="s">
        <v>51</v>
      </c>
      <c r="K532">
        <v>0</v>
      </c>
      <c r="L532">
        <v>0</v>
      </c>
      <c r="M532">
        <v>5.07</v>
      </c>
      <c r="N532">
        <v>1</v>
      </c>
      <c r="O532" t="str">
        <f>IF(financial_fraud_data[[#This Row],[Risk_Score]]&gt;8,"High",IF(financial_fraud_data[[#This Row],[Risk_Score]]&gt;5,"Med","Low"))</f>
        <v>Med</v>
      </c>
      <c r="P532" t="str">
        <f>TEXT(financial_fraud_data[[#This Row],[Transaction_Date]],"MMM")</f>
        <v>Jan</v>
      </c>
      <c r="Q532" t="str">
        <f>IF(financial_fraud_data[[#This Row],[Is_Fraud]]=1,"Yes","No")</f>
        <v>Yes</v>
      </c>
    </row>
    <row r="533" spans="1:17" x14ac:dyDescent="0.2">
      <c r="A533" t="s">
        <v>902</v>
      </c>
      <c r="B533" t="s">
        <v>257</v>
      </c>
      <c r="C533" s="1">
        <v>45314.125</v>
      </c>
      <c r="D533">
        <v>49985.9</v>
      </c>
      <c r="E533" t="s">
        <v>80</v>
      </c>
      <c r="F533" t="s">
        <v>17</v>
      </c>
      <c r="G533" t="s">
        <v>65</v>
      </c>
      <c r="H533" t="s">
        <v>23</v>
      </c>
      <c r="I533" t="s">
        <v>19</v>
      </c>
      <c r="J533" t="s">
        <v>51</v>
      </c>
      <c r="K533">
        <v>0</v>
      </c>
      <c r="L533">
        <v>2</v>
      </c>
      <c r="M533">
        <v>9</v>
      </c>
      <c r="N533">
        <v>1</v>
      </c>
      <c r="O533" t="str">
        <f>IF(financial_fraud_data[[#This Row],[Risk_Score]]&gt;8,"High",IF(financial_fraud_data[[#This Row],[Risk_Score]]&gt;5,"Med","Low"))</f>
        <v>High</v>
      </c>
      <c r="P533" t="str">
        <f>TEXT(financial_fraud_data[[#This Row],[Transaction_Date]],"MMM")</f>
        <v>Jan</v>
      </c>
      <c r="Q533" t="str">
        <f>IF(financial_fraud_data[[#This Row],[Is_Fraud]]=1,"Yes","No")</f>
        <v>Yes</v>
      </c>
    </row>
    <row r="534" spans="1:17" x14ac:dyDescent="0.2">
      <c r="A534" t="s">
        <v>903</v>
      </c>
      <c r="B534" t="s">
        <v>904</v>
      </c>
      <c r="C534" s="1">
        <v>45314.166666666664</v>
      </c>
      <c r="D534">
        <v>49832.01</v>
      </c>
      <c r="E534" t="s">
        <v>16</v>
      </c>
      <c r="F534" t="s">
        <v>50</v>
      </c>
      <c r="G534" t="s">
        <v>28</v>
      </c>
      <c r="H534" t="s">
        <v>24</v>
      </c>
      <c r="I534" t="s">
        <v>24</v>
      </c>
      <c r="J534" t="s">
        <v>37</v>
      </c>
      <c r="K534">
        <v>0</v>
      </c>
      <c r="L534">
        <v>4</v>
      </c>
      <c r="M534">
        <v>10.98</v>
      </c>
      <c r="N534">
        <v>1</v>
      </c>
      <c r="O534" t="str">
        <f>IF(financial_fraud_data[[#This Row],[Risk_Score]]&gt;8,"High",IF(financial_fraud_data[[#This Row],[Risk_Score]]&gt;5,"Med","Low"))</f>
        <v>High</v>
      </c>
      <c r="P534" t="str">
        <f>TEXT(financial_fraud_data[[#This Row],[Transaction_Date]],"MMM")</f>
        <v>Jan</v>
      </c>
      <c r="Q534" t="str">
        <f>IF(financial_fraud_data[[#This Row],[Is_Fraud]]=1,"Yes","No")</f>
        <v>Yes</v>
      </c>
    </row>
    <row r="535" spans="1:17" x14ac:dyDescent="0.2">
      <c r="A535" t="s">
        <v>905</v>
      </c>
      <c r="B535" t="s">
        <v>333</v>
      </c>
      <c r="C535" s="1">
        <v>45314.208333333336</v>
      </c>
      <c r="D535">
        <v>27793.81</v>
      </c>
      <c r="E535" t="s">
        <v>80</v>
      </c>
      <c r="F535" t="s">
        <v>17</v>
      </c>
      <c r="G535" t="s">
        <v>56</v>
      </c>
      <c r="H535" t="s">
        <v>23</v>
      </c>
      <c r="I535" t="s">
        <v>24</v>
      </c>
      <c r="J535" t="s">
        <v>20</v>
      </c>
      <c r="K535">
        <v>0</v>
      </c>
      <c r="L535">
        <v>4</v>
      </c>
      <c r="M535">
        <v>9.7799999999999994</v>
      </c>
      <c r="N535">
        <v>1</v>
      </c>
      <c r="O535" t="str">
        <f>IF(financial_fraud_data[[#This Row],[Risk_Score]]&gt;8,"High",IF(financial_fraud_data[[#This Row],[Risk_Score]]&gt;5,"Med","Low"))</f>
        <v>High</v>
      </c>
      <c r="P535" t="str">
        <f>TEXT(financial_fraud_data[[#This Row],[Transaction_Date]],"MMM")</f>
        <v>Jan</v>
      </c>
      <c r="Q535" t="str">
        <f>IF(financial_fraud_data[[#This Row],[Is_Fraud]]=1,"Yes","No")</f>
        <v>Yes</v>
      </c>
    </row>
    <row r="536" spans="1:17" x14ac:dyDescent="0.2">
      <c r="A536" t="s">
        <v>906</v>
      </c>
      <c r="B536" t="s">
        <v>560</v>
      </c>
      <c r="C536" s="1">
        <v>45314.25</v>
      </c>
      <c r="D536">
        <v>38460.92</v>
      </c>
      <c r="E536" t="s">
        <v>16</v>
      </c>
      <c r="F536" t="s">
        <v>17</v>
      </c>
      <c r="G536" t="s">
        <v>35</v>
      </c>
      <c r="H536" t="s">
        <v>29</v>
      </c>
      <c r="I536" t="s">
        <v>19</v>
      </c>
      <c r="J536" t="s">
        <v>20</v>
      </c>
      <c r="K536">
        <v>0</v>
      </c>
      <c r="L536">
        <v>2</v>
      </c>
      <c r="M536">
        <v>7.85</v>
      </c>
      <c r="N536">
        <v>1</v>
      </c>
      <c r="O536" t="str">
        <f>IF(financial_fraud_data[[#This Row],[Risk_Score]]&gt;8,"High",IF(financial_fraud_data[[#This Row],[Risk_Score]]&gt;5,"Med","Low"))</f>
        <v>Med</v>
      </c>
      <c r="P536" t="str">
        <f>TEXT(financial_fraud_data[[#This Row],[Transaction_Date]],"MMM")</f>
        <v>Jan</v>
      </c>
      <c r="Q536" t="str">
        <f>IF(financial_fraud_data[[#This Row],[Is_Fraud]]=1,"Yes","No")</f>
        <v>Yes</v>
      </c>
    </row>
    <row r="537" spans="1:17" x14ac:dyDescent="0.2">
      <c r="A537" t="s">
        <v>907</v>
      </c>
      <c r="B537" t="s">
        <v>908</v>
      </c>
      <c r="C537" s="1">
        <v>45314.291666666664</v>
      </c>
      <c r="D537">
        <v>47241.05</v>
      </c>
      <c r="E537" t="s">
        <v>34</v>
      </c>
      <c r="F537" t="s">
        <v>27</v>
      </c>
      <c r="G537" t="s">
        <v>28</v>
      </c>
      <c r="H537" t="s">
        <v>19</v>
      </c>
      <c r="I537" t="s">
        <v>19</v>
      </c>
      <c r="J537" t="s">
        <v>20</v>
      </c>
      <c r="K537">
        <v>0</v>
      </c>
      <c r="L537">
        <v>2</v>
      </c>
      <c r="M537">
        <v>7.72</v>
      </c>
      <c r="N537">
        <v>1</v>
      </c>
      <c r="O537" t="str">
        <f>IF(financial_fraud_data[[#This Row],[Risk_Score]]&gt;8,"High",IF(financial_fraud_data[[#This Row],[Risk_Score]]&gt;5,"Med","Low"))</f>
        <v>Med</v>
      </c>
      <c r="P537" t="str">
        <f>TEXT(financial_fraud_data[[#This Row],[Transaction_Date]],"MMM")</f>
        <v>Jan</v>
      </c>
      <c r="Q537" t="str">
        <f>IF(financial_fraud_data[[#This Row],[Is_Fraud]]=1,"Yes","No")</f>
        <v>Yes</v>
      </c>
    </row>
    <row r="538" spans="1:17" x14ac:dyDescent="0.2">
      <c r="A538" t="s">
        <v>909</v>
      </c>
      <c r="B538" t="s">
        <v>392</v>
      </c>
      <c r="C538" s="1">
        <v>45314.333333333336</v>
      </c>
      <c r="D538">
        <v>42489.89</v>
      </c>
      <c r="E538" t="s">
        <v>42</v>
      </c>
      <c r="F538" t="s">
        <v>17</v>
      </c>
      <c r="G538" t="s">
        <v>56</v>
      </c>
      <c r="H538" t="s">
        <v>36</v>
      </c>
      <c r="I538" t="s">
        <v>19</v>
      </c>
      <c r="J538" t="s">
        <v>20</v>
      </c>
      <c r="K538">
        <v>0</v>
      </c>
      <c r="L538">
        <v>4</v>
      </c>
      <c r="M538">
        <v>11.25</v>
      </c>
      <c r="N538">
        <v>1</v>
      </c>
      <c r="O538" t="str">
        <f>IF(financial_fraud_data[[#This Row],[Risk_Score]]&gt;8,"High",IF(financial_fraud_data[[#This Row],[Risk_Score]]&gt;5,"Med","Low"))</f>
        <v>High</v>
      </c>
      <c r="P538" t="str">
        <f>TEXT(financial_fraud_data[[#This Row],[Transaction_Date]],"MMM")</f>
        <v>Jan</v>
      </c>
      <c r="Q538" t="str">
        <f>IF(financial_fraud_data[[#This Row],[Is_Fraud]]=1,"Yes","No")</f>
        <v>Yes</v>
      </c>
    </row>
    <row r="539" spans="1:17" x14ac:dyDescent="0.2">
      <c r="A539" t="s">
        <v>910</v>
      </c>
      <c r="B539" t="s">
        <v>911</v>
      </c>
      <c r="C539" s="1">
        <v>45314.375</v>
      </c>
      <c r="D539">
        <v>12405.04</v>
      </c>
      <c r="E539" t="s">
        <v>80</v>
      </c>
      <c r="F539" t="s">
        <v>47</v>
      </c>
      <c r="G539" t="s">
        <v>56</v>
      </c>
      <c r="H539" t="s">
        <v>29</v>
      </c>
      <c r="I539" t="s">
        <v>23</v>
      </c>
      <c r="J539" t="s">
        <v>51</v>
      </c>
      <c r="K539">
        <v>0</v>
      </c>
      <c r="L539">
        <v>1</v>
      </c>
      <c r="M539">
        <v>3.74</v>
      </c>
      <c r="N539">
        <v>0</v>
      </c>
      <c r="O539" t="str">
        <f>IF(financial_fraud_data[[#This Row],[Risk_Score]]&gt;8,"High",IF(financial_fraud_data[[#This Row],[Risk_Score]]&gt;5,"Med","Low"))</f>
        <v>Low</v>
      </c>
      <c r="P539" t="str">
        <f>TEXT(financial_fraud_data[[#This Row],[Transaction_Date]],"MMM")</f>
        <v>Jan</v>
      </c>
      <c r="Q539" t="str">
        <f>IF(financial_fraud_data[[#This Row],[Is_Fraud]]=1,"Yes","No")</f>
        <v>No</v>
      </c>
    </row>
    <row r="540" spans="1:17" x14ac:dyDescent="0.2">
      <c r="A540" t="s">
        <v>912</v>
      </c>
      <c r="B540" t="s">
        <v>913</v>
      </c>
      <c r="C540" s="1">
        <v>45314.416666666664</v>
      </c>
      <c r="D540">
        <v>22554.68</v>
      </c>
      <c r="E540" t="s">
        <v>42</v>
      </c>
      <c r="F540" t="s">
        <v>27</v>
      </c>
      <c r="G540" t="s">
        <v>28</v>
      </c>
      <c r="H540" t="s">
        <v>36</v>
      </c>
      <c r="I540" t="s">
        <v>36</v>
      </c>
      <c r="J540" t="s">
        <v>37</v>
      </c>
      <c r="K540">
        <v>0</v>
      </c>
      <c r="L540">
        <v>0</v>
      </c>
      <c r="M540">
        <v>2.2599999999999998</v>
      </c>
      <c r="N540">
        <v>0</v>
      </c>
      <c r="O540" t="str">
        <f>IF(financial_fraud_data[[#This Row],[Risk_Score]]&gt;8,"High",IF(financial_fraud_data[[#This Row],[Risk_Score]]&gt;5,"Med","Low"))</f>
        <v>Low</v>
      </c>
      <c r="P540" t="str">
        <f>TEXT(financial_fraud_data[[#This Row],[Transaction_Date]],"MMM")</f>
        <v>Jan</v>
      </c>
      <c r="Q540" t="str">
        <f>IF(financial_fraud_data[[#This Row],[Is_Fraud]]=1,"Yes","No")</f>
        <v>No</v>
      </c>
    </row>
    <row r="541" spans="1:17" x14ac:dyDescent="0.2">
      <c r="A541" t="s">
        <v>914</v>
      </c>
      <c r="B541" t="s">
        <v>549</v>
      </c>
      <c r="C541" s="1">
        <v>45314.458333333336</v>
      </c>
      <c r="D541">
        <v>6501.51</v>
      </c>
      <c r="E541" t="s">
        <v>80</v>
      </c>
      <c r="F541" t="s">
        <v>27</v>
      </c>
      <c r="G541" t="s">
        <v>28</v>
      </c>
      <c r="H541" t="s">
        <v>29</v>
      </c>
      <c r="I541" t="s">
        <v>23</v>
      </c>
      <c r="J541" t="s">
        <v>20</v>
      </c>
      <c r="K541">
        <v>0</v>
      </c>
      <c r="L541">
        <v>3</v>
      </c>
      <c r="M541">
        <v>6.15</v>
      </c>
      <c r="N541">
        <v>1</v>
      </c>
      <c r="O541" t="str">
        <f>IF(financial_fraud_data[[#This Row],[Risk_Score]]&gt;8,"High",IF(financial_fraud_data[[#This Row],[Risk_Score]]&gt;5,"Med","Low"))</f>
        <v>Med</v>
      </c>
      <c r="P541" t="str">
        <f>TEXT(financial_fraud_data[[#This Row],[Transaction_Date]],"MMM")</f>
        <v>Jan</v>
      </c>
      <c r="Q541" t="str">
        <f>IF(financial_fraud_data[[#This Row],[Is_Fraud]]=1,"Yes","No")</f>
        <v>Yes</v>
      </c>
    </row>
    <row r="542" spans="1:17" x14ac:dyDescent="0.2">
      <c r="A542" t="s">
        <v>915</v>
      </c>
      <c r="B542" t="s">
        <v>778</v>
      </c>
      <c r="C542" s="1">
        <v>45314.5</v>
      </c>
      <c r="D542">
        <v>47704.85</v>
      </c>
      <c r="E542" t="s">
        <v>42</v>
      </c>
      <c r="F542" t="s">
        <v>27</v>
      </c>
      <c r="G542" t="s">
        <v>56</v>
      </c>
      <c r="H542" t="s">
        <v>36</v>
      </c>
      <c r="I542" t="s">
        <v>36</v>
      </c>
      <c r="J542" t="s">
        <v>37</v>
      </c>
      <c r="K542">
        <v>0</v>
      </c>
      <c r="L542">
        <v>2</v>
      </c>
      <c r="M542">
        <v>7.77</v>
      </c>
      <c r="N542">
        <v>1</v>
      </c>
      <c r="O542" t="str">
        <f>IF(financial_fraud_data[[#This Row],[Risk_Score]]&gt;8,"High",IF(financial_fraud_data[[#This Row],[Risk_Score]]&gt;5,"Med","Low"))</f>
        <v>Med</v>
      </c>
      <c r="P542" t="str">
        <f>TEXT(financial_fraud_data[[#This Row],[Transaction_Date]],"MMM")</f>
        <v>Jan</v>
      </c>
      <c r="Q542" t="str">
        <f>IF(financial_fraud_data[[#This Row],[Is_Fraud]]=1,"Yes","No")</f>
        <v>Yes</v>
      </c>
    </row>
    <row r="543" spans="1:17" x14ac:dyDescent="0.2">
      <c r="A543" t="s">
        <v>916</v>
      </c>
      <c r="B543" t="s">
        <v>917</v>
      </c>
      <c r="C543" s="1">
        <v>45314.541666666664</v>
      </c>
      <c r="D543">
        <v>30328.42</v>
      </c>
      <c r="E543" t="s">
        <v>80</v>
      </c>
      <c r="F543" t="s">
        <v>50</v>
      </c>
      <c r="G543" t="s">
        <v>56</v>
      </c>
      <c r="H543" t="s">
        <v>24</v>
      </c>
      <c r="I543" t="s">
        <v>23</v>
      </c>
      <c r="J543" t="s">
        <v>37</v>
      </c>
      <c r="K543">
        <v>0</v>
      </c>
      <c r="L543">
        <v>0</v>
      </c>
      <c r="M543">
        <v>4.03</v>
      </c>
      <c r="N543">
        <v>0</v>
      </c>
      <c r="O543" t="str">
        <f>IF(financial_fraud_data[[#This Row],[Risk_Score]]&gt;8,"High",IF(financial_fraud_data[[#This Row],[Risk_Score]]&gt;5,"Med","Low"))</f>
        <v>Low</v>
      </c>
      <c r="P543" t="str">
        <f>TEXT(financial_fraud_data[[#This Row],[Transaction_Date]],"MMM")</f>
        <v>Jan</v>
      </c>
      <c r="Q543" t="str">
        <f>IF(financial_fraud_data[[#This Row],[Is_Fraud]]=1,"Yes","No")</f>
        <v>No</v>
      </c>
    </row>
    <row r="544" spans="1:17" x14ac:dyDescent="0.2">
      <c r="A544" t="s">
        <v>918</v>
      </c>
      <c r="B544" t="s">
        <v>898</v>
      </c>
      <c r="C544" s="1">
        <v>45314.583333333336</v>
      </c>
      <c r="D544">
        <v>11470.71</v>
      </c>
      <c r="E544" t="s">
        <v>80</v>
      </c>
      <c r="F544" t="s">
        <v>50</v>
      </c>
      <c r="G544" t="s">
        <v>56</v>
      </c>
      <c r="H544" t="s">
        <v>23</v>
      </c>
      <c r="I544" t="s">
        <v>29</v>
      </c>
      <c r="J544" t="s">
        <v>37</v>
      </c>
      <c r="K544">
        <v>0</v>
      </c>
      <c r="L544">
        <v>3</v>
      </c>
      <c r="M544">
        <v>6.65</v>
      </c>
      <c r="N544">
        <v>1</v>
      </c>
      <c r="O544" t="str">
        <f>IF(financial_fraud_data[[#This Row],[Risk_Score]]&gt;8,"High",IF(financial_fraud_data[[#This Row],[Risk_Score]]&gt;5,"Med","Low"))</f>
        <v>Med</v>
      </c>
      <c r="P544" t="str">
        <f>TEXT(financial_fraud_data[[#This Row],[Transaction_Date]],"MMM")</f>
        <v>Jan</v>
      </c>
      <c r="Q544" t="str">
        <f>IF(financial_fraud_data[[#This Row],[Is_Fraud]]=1,"Yes","No")</f>
        <v>Yes</v>
      </c>
    </row>
    <row r="545" spans="1:17" x14ac:dyDescent="0.2">
      <c r="A545" t="s">
        <v>919</v>
      </c>
      <c r="B545" t="s">
        <v>920</v>
      </c>
      <c r="C545" s="1">
        <v>45314.625</v>
      </c>
      <c r="D545">
        <v>33601.449999999997</v>
      </c>
      <c r="E545" t="s">
        <v>80</v>
      </c>
      <c r="F545" t="s">
        <v>17</v>
      </c>
      <c r="G545" t="s">
        <v>28</v>
      </c>
      <c r="H545" t="s">
        <v>23</v>
      </c>
      <c r="I545" t="s">
        <v>36</v>
      </c>
      <c r="J545" t="s">
        <v>37</v>
      </c>
      <c r="K545">
        <v>0</v>
      </c>
      <c r="L545">
        <v>3</v>
      </c>
      <c r="M545">
        <v>8.86</v>
      </c>
      <c r="N545">
        <v>1</v>
      </c>
      <c r="O545" t="str">
        <f>IF(financial_fraud_data[[#This Row],[Risk_Score]]&gt;8,"High",IF(financial_fraud_data[[#This Row],[Risk_Score]]&gt;5,"Med","Low"))</f>
        <v>High</v>
      </c>
      <c r="P545" t="str">
        <f>TEXT(financial_fraud_data[[#This Row],[Transaction_Date]],"MMM")</f>
        <v>Jan</v>
      </c>
      <c r="Q545" t="str">
        <f>IF(financial_fraud_data[[#This Row],[Is_Fraud]]=1,"Yes","No")</f>
        <v>Yes</v>
      </c>
    </row>
    <row r="546" spans="1:17" x14ac:dyDescent="0.2">
      <c r="A546" t="s">
        <v>921</v>
      </c>
      <c r="B546" t="s">
        <v>922</v>
      </c>
      <c r="C546" s="1">
        <v>45314.666666666664</v>
      </c>
      <c r="D546">
        <v>30925.51</v>
      </c>
      <c r="E546" t="s">
        <v>80</v>
      </c>
      <c r="F546" t="s">
        <v>27</v>
      </c>
      <c r="G546" t="s">
        <v>56</v>
      </c>
      <c r="H546" t="s">
        <v>24</v>
      </c>
      <c r="I546" t="s">
        <v>24</v>
      </c>
      <c r="J546" t="s">
        <v>20</v>
      </c>
      <c r="K546">
        <v>0</v>
      </c>
      <c r="L546">
        <v>2</v>
      </c>
      <c r="M546">
        <v>6.09</v>
      </c>
      <c r="N546">
        <v>1</v>
      </c>
      <c r="O546" t="str">
        <f>IF(financial_fraud_data[[#This Row],[Risk_Score]]&gt;8,"High",IF(financial_fraud_data[[#This Row],[Risk_Score]]&gt;5,"Med","Low"))</f>
        <v>Med</v>
      </c>
      <c r="P546" t="str">
        <f>TEXT(financial_fraud_data[[#This Row],[Transaction_Date]],"MMM")</f>
        <v>Jan</v>
      </c>
      <c r="Q546" t="str">
        <f>IF(financial_fraud_data[[#This Row],[Is_Fraud]]=1,"Yes","No")</f>
        <v>Yes</v>
      </c>
    </row>
    <row r="547" spans="1:17" x14ac:dyDescent="0.2">
      <c r="A547" t="s">
        <v>923</v>
      </c>
      <c r="B547" t="s">
        <v>439</v>
      </c>
      <c r="C547" s="1">
        <v>45314.708333333336</v>
      </c>
      <c r="D547">
        <v>17940.23</v>
      </c>
      <c r="E547" t="s">
        <v>80</v>
      </c>
      <c r="F547" t="s">
        <v>27</v>
      </c>
      <c r="G547" t="s">
        <v>65</v>
      </c>
      <c r="H547" t="s">
        <v>29</v>
      </c>
      <c r="I547" t="s">
        <v>36</v>
      </c>
      <c r="J547" t="s">
        <v>20</v>
      </c>
      <c r="K547">
        <v>0</v>
      </c>
      <c r="L547">
        <v>1</v>
      </c>
      <c r="M547">
        <v>4.29</v>
      </c>
      <c r="N547">
        <v>0</v>
      </c>
      <c r="O547" t="str">
        <f>IF(financial_fraud_data[[#This Row],[Risk_Score]]&gt;8,"High",IF(financial_fraud_data[[#This Row],[Risk_Score]]&gt;5,"Med","Low"))</f>
        <v>Low</v>
      </c>
      <c r="P547" t="str">
        <f>TEXT(financial_fraud_data[[#This Row],[Transaction_Date]],"MMM")</f>
        <v>Jan</v>
      </c>
      <c r="Q547" t="str">
        <f>IF(financial_fraud_data[[#This Row],[Is_Fraud]]=1,"Yes","No")</f>
        <v>No</v>
      </c>
    </row>
    <row r="548" spans="1:17" x14ac:dyDescent="0.2">
      <c r="A548" t="s">
        <v>924</v>
      </c>
      <c r="B548" t="s">
        <v>205</v>
      </c>
      <c r="C548" s="1">
        <v>45314.75</v>
      </c>
      <c r="D548">
        <v>5722.2</v>
      </c>
      <c r="E548" t="s">
        <v>80</v>
      </c>
      <c r="F548" t="s">
        <v>47</v>
      </c>
      <c r="G548" t="s">
        <v>28</v>
      </c>
      <c r="H548" t="s">
        <v>19</v>
      </c>
      <c r="I548" t="s">
        <v>36</v>
      </c>
      <c r="J548" t="s">
        <v>20</v>
      </c>
      <c r="K548">
        <v>0</v>
      </c>
      <c r="L548">
        <v>1</v>
      </c>
      <c r="M548">
        <v>3.07</v>
      </c>
      <c r="N548">
        <v>0</v>
      </c>
      <c r="O548" t="str">
        <f>IF(financial_fraud_data[[#This Row],[Risk_Score]]&gt;8,"High",IF(financial_fraud_data[[#This Row],[Risk_Score]]&gt;5,"Med","Low"))</f>
        <v>Low</v>
      </c>
      <c r="P548" t="str">
        <f>TEXT(financial_fraud_data[[#This Row],[Transaction_Date]],"MMM")</f>
        <v>Jan</v>
      </c>
      <c r="Q548" t="str">
        <f>IF(financial_fraud_data[[#This Row],[Is_Fraud]]=1,"Yes","No")</f>
        <v>No</v>
      </c>
    </row>
    <row r="549" spans="1:17" x14ac:dyDescent="0.2">
      <c r="A549" t="s">
        <v>925</v>
      </c>
      <c r="B549" t="s">
        <v>926</v>
      </c>
      <c r="C549" s="1">
        <v>45314.791666666664</v>
      </c>
      <c r="D549">
        <v>33595.08</v>
      </c>
      <c r="E549" t="s">
        <v>80</v>
      </c>
      <c r="F549" t="s">
        <v>17</v>
      </c>
      <c r="G549" t="s">
        <v>65</v>
      </c>
      <c r="H549" t="s">
        <v>29</v>
      </c>
      <c r="I549" t="s">
        <v>36</v>
      </c>
      <c r="J549" t="s">
        <v>51</v>
      </c>
      <c r="K549">
        <v>0</v>
      </c>
      <c r="L549">
        <v>0</v>
      </c>
      <c r="M549">
        <v>4.3600000000000003</v>
      </c>
      <c r="N549">
        <v>0</v>
      </c>
      <c r="O549" t="str">
        <f>IF(financial_fraud_data[[#This Row],[Risk_Score]]&gt;8,"High",IF(financial_fraud_data[[#This Row],[Risk_Score]]&gt;5,"Med","Low"))</f>
        <v>Low</v>
      </c>
      <c r="P549" t="str">
        <f>TEXT(financial_fraud_data[[#This Row],[Transaction_Date]],"MMM")</f>
        <v>Jan</v>
      </c>
      <c r="Q549" t="str">
        <f>IF(financial_fraud_data[[#This Row],[Is_Fraud]]=1,"Yes","No")</f>
        <v>No</v>
      </c>
    </row>
    <row r="550" spans="1:17" x14ac:dyDescent="0.2">
      <c r="A550" t="s">
        <v>927</v>
      </c>
      <c r="B550" t="s">
        <v>898</v>
      </c>
      <c r="C550" s="1">
        <v>45314.833333333336</v>
      </c>
      <c r="D550">
        <v>26039.37</v>
      </c>
      <c r="E550" t="s">
        <v>80</v>
      </c>
      <c r="F550" t="s">
        <v>47</v>
      </c>
      <c r="G550" t="s">
        <v>18</v>
      </c>
      <c r="H550" t="s">
        <v>23</v>
      </c>
      <c r="I550" t="s">
        <v>29</v>
      </c>
      <c r="J550" t="s">
        <v>20</v>
      </c>
      <c r="K550">
        <v>0</v>
      </c>
      <c r="L550">
        <v>0</v>
      </c>
      <c r="M550">
        <v>3.6</v>
      </c>
      <c r="N550">
        <v>0</v>
      </c>
      <c r="O550" t="str">
        <f>IF(financial_fraud_data[[#This Row],[Risk_Score]]&gt;8,"High",IF(financial_fraud_data[[#This Row],[Risk_Score]]&gt;5,"Med","Low"))</f>
        <v>Low</v>
      </c>
      <c r="P550" t="str">
        <f>TEXT(financial_fraud_data[[#This Row],[Transaction_Date]],"MMM")</f>
        <v>Jan</v>
      </c>
      <c r="Q550" t="str">
        <f>IF(financial_fraud_data[[#This Row],[Is_Fraud]]=1,"Yes","No")</f>
        <v>No</v>
      </c>
    </row>
    <row r="551" spans="1:17" x14ac:dyDescent="0.2">
      <c r="A551" t="s">
        <v>928</v>
      </c>
      <c r="B551" t="s">
        <v>53</v>
      </c>
      <c r="C551" s="1">
        <v>45314.875</v>
      </c>
      <c r="D551">
        <v>38627.300000000003</v>
      </c>
      <c r="E551" t="s">
        <v>80</v>
      </c>
      <c r="F551" t="s">
        <v>17</v>
      </c>
      <c r="G551" t="s">
        <v>28</v>
      </c>
      <c r="H551" t="s">
        <v>19</v>
      </c>
      <c r="I551" t="s">
        <v>23</v>
      </c>
      <c r="J551" t="s">
        <v>51</v>
      </c>
      <c r="K551">
        <v>0</v>
      </c>
      <c r="L551">
        <v>4</v>
      </c>
      <c r="M551">
        <v>10.86</v>
      </c>
      <c r="N551">
        <v>1</v>
      </c>
      <c r="O551" t="str">
        <f>IF(financial_fraud_data[[#This Row],[Risk_Score]]&gt;8,"High",IF(financial_fraud_data[[#This Row],[Risk_Score]]&gt;5,"Med","Low"))</f>
        <v>High</v>
      </c>
      <c r="P551" t="str">
        <f>TEXT(financial_fraud_data[[#This Row],[Transaction_Date]],"MMM")</f>
        <v>Jan</v>
      </c>
      <c r="Q551" t="str">
        <f>IF(financial_fraud_data[[#This Row],[Is_Fraud]]=1,"Yes","No")</f>
        <v>Yes</v>
      </c>
    </row>
    <row r="552" spans="1:17" x14ac:dyDescent="0.2">
      <c r="A552" t="s">
        <v>929</v>
      </c>
      <c r="B552" t="s">
        <v>930</v>
      </c>
      <c r="C552" s="1">
        <v>45314.916666666664</v>
      </c>
      <c r="D552">
        <v>26032.17</v>
      </c>
      <c r="E552" t="s">
        <v>42</v>
      </c>
      <c r="F552" t="s">
        <v>17</v>
      </c>
      <c r="G552" t="s">
        <v>18</v>
      </c>
      <c r="H552" t="s">
        <v>36</v>
      </c>
      <c r="I552" t="s">
        <v>24</v>
      </c>
      <c r="J552" t="s">
        <v>51</v>
      </c>
      <c r="K552">
        <v>0</v>
      </c>
      <c r="L552">
        <v>1</v>
      </c>
      <c r="M552">
        <v>5.0999999999999996</v>
      </c>
      <c r="N552">
        <v>1</v>
      </c>
      <c r="O552" t="str">
        <f>IF(financial_fraud_data[[#This Row],[Risk_Score]]&gt;8,"High",IF(financial_fraud_data[[#This Row],[Risk_Score]]&gt;5,"Med","Low"))</f>
        <v>Med</v>
      </c>
      <c r="P552" t="str">
        <f>TEXT(financial_fraud_data[[#This Row],[Transaction_Date]],"MMM")</f>
        <v>Jan</v>
      </c>
      <c r="Q552" t="str">
        <f>IF(financial_fraud_data[[#This Row],[Is_Fraud]]=1,"Yes","No")</f>
        <v>Yes</v>
      </c>
    </row>
    <row r="553" spans="1:17" x14ac:dyDescent="0.2">
      <c r="A553" t="s">
        <v>931</v>
      </c>
      <c r="B553" t="s">
        <v>686</v>
      </c>
      <c r="C553" s="1">
        <v>45314.958333333336</v>
      </c>
      <c r="D553">
        <v>42616.47</v>
      </c>
      <c r="E553" t="s">
        <v>16</v>
      </c>
      <c r="F553" t="s">
        <v>50</v>
      </c>
      <c r="G553" t="s">
        <v>56</v>
      </c>
      <c r="H553" t="s">
        <v>19</v>
      </c>
      <c r="I553" t="s">
        <v>23</v>
      </c>
      <c r="J553" t="s">
        <v>51</v>
      </c>
      <c r="K553">
        <v>0</v>
      </c>
      <c r="L553">
        <v>0</v>
      </c>
      <c r="M553">
        <v>5.26</v>
      </c>
      <c r="N553">
        <v>1</v>
      </c>
      <c r="O553" t="str">
        <f>IF(financial_fraud_data[[#This Row],[Risk_Score]]&gt;8,"High",IF(financial_fraud_data[[#This Row],[Risk_Score]]&gt;5,"Med","Low"))</f>
        <v>Med</v>
      </c>
      <c r="P553" t="str">
        <f>TEXT(financial_fraud_data[[#This Row],[Transaction_Date]],"MMM")</f>
        <v>Jan</v>
      </c>
      <c r="Q553" t="str">
        <f>IF(financial_fraud_data[[#This Row],[Is_Fraud]]=1,"Yes","No")</f>
        <v>Yes</v>
      </c>
    </row>
    <row r="554" spans="1:17" x14ac:dyDescent="0.2">
      <c r="A554" t="s">
        <v>932</v>
      </c>
      <c r="B554" t="s">
        <v>933</v>
      </c>
      <c r="C554" s="1">
        <v>45315</v>
      </c>
      <c r="D554">
        <v>27617.75</v>
      </c>
      <c r="E554" t="s">
        <v>80</v>
      </c>
      <c r="F554" t="s">
        <v>50</v>
      </c>
      <c r="G554" t="s">
        <v>56</v>
      </c>
      <c r="H554" t="s">
        <v>29</v>
      </c>
      <c r="I554" t="s">
        <v>23</v>
      </c>
      <c r="J554" t="s">
        <v>20</v>
      </c>
      <c r="K554">
        <v>1</v>
      </c>
      <c r="L554">
        <v>4</v>
      </c>
      <c r="M554">
        <v>11.76</v>
      </c>
      <c r="N554">
        <v>1</v>
      </c>
      <c r="O554" t="str">
        <f>IF(financial_fraud_data[[#This Row],[Risk_Score]]&gt;8,"High",IF(financial_fraud_data[[#This Row],[Risk_Score]]&gt;5,"Med","Low"))</f>
        <v>High</v>
      </c>
      <c r="P554" t="str">
        <f>TEXT(financial_fraud_data[[#This Row],[Transaction_Date]],"MMM")</f>
        <v>Jan</v>
      </c>
      <c r="Q554" t="str">
        <f>IF(financial_fraud_data[[#This Row],[Is_Fraud]]=1,"Yes","No")</f>
        <v>Yes</v>
      </c>
    </row>
    <row r="555" spans="1:17" x14ac:dyDescent="0.2">
      <c r="A555" t="s">
        <v>934</v>
      </c>
      <c r="B555" t="s">
        <v>724</v>
      </c>
      <c r="C555" s="1">
        <v>45315.041666666664</v>
      </c>
      <c r="D555">
        <v>28068.85</v>
      </c>
      <c r="E555" t="s">
        <v>16</v>
      </c>
      <c r="F555" t="s">
        <v>47</v>
      </c>
      <c r="G555" t="s">
        <v>35</v>
      </c>
      <c r="H555" t="s">
        <v>24</v>
      </c>
      <c r="I555" t="s">
        <v>19</v>
      </c>
      <c r="J555" t="s">
        <v>20</v>
      </c>
      <c r="K555">
        <v>1</v>
      </c>
      <c r="L555">
        <v>3</v>
      </c>
      <c r="M555">
        <v>10.31</v>
      </c>
      <c r="N555">
        <v>1</v>
      </c>
      <c r="O555" t="str">
        <f>IF(financial_fraud_data[[#This Row],[Risk_Score]]&gt;8,"High",IF(financial_fraud_data[[#This Row],[Risk_Score]]&gt;5,"Med","Low"))</f>
        <v>High</v>
      </c>
      <c r="P555" t="str">
        <f>TEXT(financial_fraud_data[[#This Row],[Transaction_Date]],"MMM")</f>
        <v>Jan</v>
      </c>
      <c r="Q555" t="str">
        <f>IF(financial_fraud_data[[#This Row],[Is_Fraud]]=1,"Yes","No")</f>
        <v>Yes</v>
      </c>
    </row>
    <row r="556" spans="1:17" x14ac:dyDescent="0.2">
      <c r="A556" t="s">
        <v>935</v>
      </c>
      <c r="B556" t="s">
        <v>265</v>
      </c>
      <c r="C556" s="1">
        <v>45315.083333333336</v>
      </c>
      <c r="D556">
        <v>43838.85</v>
      </c>
      <c r="E556" t="s">
        <v>80</v>
      </c>
      <c r="F556" t="s">
        <v>17</v>
      </c>
      <c r="G556" t="s">
        <v>56</v>
      </c>
      <c r="H556" t="s">
        <v>36</v>
      </c>
      <c r="I556" t="s">
        <v>29</v>
      </c>
      <c r="J556" t="s">
        <v>20</v>
      </c>
      <c r="K556">
        <v>1</v>
      </c>
      <c r="L556">
        <v>0</v>
      </c>
      <c r="M556">
        <v>7.38</v>
      </c>
      <c r="N556">
        <v>1</v>
      </c>
      <c r="O556" t="str">
        <f>IF(financial_fraud_data[[#This Row],[Risk_Score]]&gt;8,"High",IF(financial_fraud_data[[#This Row],[Risk_Score]]&gt;5,"Med","Low"))</f>
        <v>Med</v>
      </c>
      <c r="P556" t="str">
        <f>TEXT(financial_fraud_data[[#This Row],[Transaction_Date]],"MMM")</f>
        <v>Jan</v>
      </c>
      <c r="Q556" t="str">
        <f>IF(financial_fraud_data[[#This Row],[Is_Fraud]]=1,"Yes","No")</f>
        <v>Yes</v>
      </c>
    </row>
    <row r="557" spans="1:17" x14ac:dyDescent="0.2">
      <c r="A557" t="s">
        <v>936</v>
      </c>
      <c r="B557" t="s">
        <v>176</v>
      </c>
      <c r="C557" s="1">
        <v>45315.125</v>
      </c>
      <c r="D557">
        <v>20203.97</v>
      </c>
      <c r="E557" t="s">
        <v>80</v>
      </c>
      <c r="F557" t="s">
        <v>27</v>
      </c>
      <c r="G557" t="s">
        <v>18</v>
      </c>
      <c r="H557" t="s">
        <v>29</v>
      </c>
      <c r="I557" t="s">
        <v>19</v>
      </c>
      <c r="J557" t="s">
        <v>51</v>
      </c>
      <c r="K557">
        <v>0</v>
      </c>
      <c r="L557">
        <v>4</v>
      </c>
      <c r="M557">
        <v>9.02</v>
      </c>
      <c r="N557">
        <v>1</v>
      </c>
      <c r="O557" t="str">
        <f>IF(financial_fraud_data[[#This Row],[Risk_Score]]&gt;8,"High",IF(financial_fraud_data[[#This Row],[Risk_Score]]&gt;5,"Med","Low"))</f>
        <v>High</v>
      </c>
      <c r="P557" t="str">
        <f>TEXT(financial_fraud_data[[#This Row],[Transaction_Date]],"MMM")</f>
        <v>Jan</v>
      </c>
      <c r="Q557" t="str">
        <f>IF(financial_fraud_data[[#This Row],[Is_Fraud]]=1,"Yes","No")</f>
        <v>Yes</v>
      </c>
    </row>
    <row r="558" spans="1:17" x14ac:dyDescent="0.2">
      <c r="A558" t="s">
        <v>937</v>
      </c>
      <c r="B558" t="s">
        <v>938</v>
      </c>
      <c r="C558" s="1">
        <v>45315.166666666664</v>
      </c>
      <c r="D558">
        <v>6744.06</v>
      </c>
      <c r="E558" t="s">
        <v>42</v>
      </c>
      <c r="F558" t="s">
        <v>50</v>
      </c>
      <c r="G558" t="s">
        <v>56</v>
      </c>
      <c r="H558" t="s">
        <v>36</v>
      </c>
      <c r="I558" t="s">
        <v>29</v>
      </c>
      <c r="J558" t="s">
        <v>51</v>
      </c>
      <c r="K558">
        <v>0</v>
      </c>
      <c r="L558">
        <v>1</v>
      </c>
      <c r="M558">
        <v>3.17</v>
      </c>
      <c r="N558">
        <v>0</v>
      </c>
      <c r="O558" t="str">
        <f>IF(financial_fraud_data[[#This Row],[Risk_Score]]&gt;8,"High",IF(financial_fraud_data[[#This Row],[Risk_Score]]&gt;5,"Med","Low"))</f>
        <v>Low</v>
      </c>
      <c r="P558" t="str">
        <f>TEXT(financial_fraud_data[[#This Row],[Transaction_Date]],"MMM")</f>
        <v>Jan</v>
      </c>
      <c r="Q558" t="str">
        <f>IF(financial_fraud_data[[#This Row],[Is_Fraud]]=1,"Yes","No")</f>
        <v>No</v>
      </c>
    </row>
    <row r="559" spans="1:17" x14ac:dyDescent="0.2">
      <c r="A559" t="s">
        <v>939</v>
      </c>
      <c r="B559" t="s">
        <v>199</v>
      </c>
      <c r="C559" s="1">
        <v>45315.208333333336</v>
      </c>
      <c r="D559">
        <v>1487.69</v>
      </c>
      <c r="E559" t="s">
        <v>34</v>
      </c>
      <c r="F559" t="s">
        <v>27</v>
      </c>
      <c r="G559" t="s">
        <v>28</v>
      </c>
      <c r="H559" t="s">
        <v>19</v>
      </c>
      <c r="I559" t="s">
        <v>23</v>
      </c>
      <c r="J559" t="s">
        <v>37</v>
      </c>
      <c r="K559">
        <v>0</v>
      </c>
      <c r="L559">
        <v>3</v>
      </c>
      <c r="M559">
        <v>5.65</v>
      </c>
      <c r="N559">
        <v>1</v>
      </c>
      <c r="O559" t="str">
        <f>IF(financial_fraud_data[[#This Row],[Risk_Score]]&gt;8,"High",IF(financial_fraud_data[[#This Row],[Risk_Score]]&gt;5,"Med","Low"))</f>
        <v>Med</v>
      </c>
      <c r="P559" t="str">
        <f>TEXT(financial_fraud_data[[#This Row],[Transaction_Date]],"MMM")</f>
        <v>Jan</v>
      </c>
      <c r="Q559" t="str">
        <f>IF(financial_fraud_data[[#This Row],[Is_Fraud]]=1,"Yes","No")</f>
        <v>Yes</v>
      </c>
    </row>
    <row r="560" spans="1:17" x14ac:dyDescent="0.2">
      <c r="A560" t="s">
        <v>940</v>
      </c>
      <c r="B560" t="s">
        <v>941</v>
      </c>
      <c r="C560" s="1">
        <v>45315.25</v>
      </c>
      <c r="D560">
        <v>37769.11</v>
      </c>
      <c r="E560" t="s">
        <v>34</v>
      </c>
      <c r="F560" t="s">
        <v>47</v>
      </c>
      <c r="G560" t="s">
        <v>56</v>
      </c>
      <c r="H560" t="s">
        <v>23</v>
      </c>
      <c r="I560" t="s">
        <v>23</v>
      </c>
      <c r="J560" t="s">
        <v>51</v>
      </c>
      <c r="K560">
        <v>0</v>
      </c>
      <c r="L560">
        <v>0</v>
      </c>
      <c r="M560">
        <v>3.78</v>
      </c>
      <c r="N560">
        <v>0</v>
      </c>
      <c r="O560" t="str">
        <f>IF(financial_fraud_data[[#This Row],[Risk_Score]]&gt;8,"High",IF(financial_fraud_data[[#This Row],[Risk_Score]]&gt;5,"Med","Low"))</f>
        <v>Low</v>
      </c>
      <c r="P560" t="str">
        <f>TEXT(financial_fraud_data[[#This Row],[Transaction_Date]],"MMM")</f>
        <v>Jan</v>
      </c>
      <c r="Q560" t="str">
        <f>IF(financial_fraud_data[[#This Row],[Is_Fraud]]=1,"Yes","No")</f>
        <v>No</v>
      </c>
    </row>
    <row r="561" spans="1:17" x14ac:dyDescent="0.2">
      <c r="A561" t="s">
        <v>942</v>
      </c>
      <c r="B561" t="s">
        <v>164</v>
      </c>
      <c r="C561" s="1">
        <v>45315.291666666664</v>
      </c>
      <c r="D561">
        <v>31034.46</v>
      </c>
      <c r="E561" t="s">
        <v>42</v>
      </c>
      <c r="F561" t="s">
        <v>50</v>
      </c>
      <c r="G561" t="s">
        <v>35</v>
      </c>
      <c r="H561" t="s">
        <v>29</v>
      </c>
      <c r="I561" t="s">
        <v>29</v>
      </c>
      <c r="J561" t="s">
        <v>51</v>
      </c>
      <c r="K561">
        <v>0</v>
      </c>
      <c r="L561">
        <v>1</v>
      </c>
      <c r="M561">
        <v>4.5999999999999996</v>
      </c>
      <c r="N561">
        <v>0</v>
      </c>
      <c r="O561" t="str">
        <f>IF(financial_fraud_data[[#This Row],[Risk_Score]]&gt;8,"High",IF(financial_fraud_data[[#This Row],[Risk_Score]]&gt;5,"Med","Low"))</f>
        <v>Low</v>
      </c>
      <c r="P561" t="str">
        <f>TEXT(financial_fraud_data[[#This Row],[Transaction_Date]],"MMM")</f>
        <v>Jan</v>
      </c>
      <c r="Q561" t="str">
        <f>IF(financial_fraud_data[[#This Row],[Is_Fraud]]=1,"Yes","No")</f>
        <v>No</v>
      </c>
    </row>
    <row r="562" spans="1:17" x14ac:dyDescent="0.2">
      <c r="A562" t="s">
        <v>943</v>
      </c>
      <c r="B562" t="s">
        <v>944</v>
      </c>
      <c r="C562" s="1">
        <v>45315.333333333336</v>
      </c>
      <c r="D562">
        <v>35218.78</v>
      </c>
      <c r="E562" t="s">
        <v>16</v>
      </c>
      <c r="F562" t="s">
        <v>50</v>
      </c>
      <c r="G562" t="s">
        <v>56</v>
      </c>
      <c r="H562" t="s">
        <v>24</v>
      </c>
      <c r="I562" t="s">
        <v>23</v>
      </c>
      <c r="J562" t="s">
        <v>20</v>
      </c>
      <c r="K562">
        <v>0</v>
      </c>
      <c r="L562">
        <v>3</v>
      </c>
      <c r="M562">
        <v>9.02</v>
      </c>
      <c r="N562">
        <v>1</v>
      </c>
      <c r="O562" t="str">
        <f>IF(financial_fraud_data[[#This Row],[Risk_Score]]&gt;8,"High",IF(financial_fraud_data[[#This Row],[Risk_Score]]&gt;5,"Med","Low"))</f>
        <v>High</v>
      </c>
      <c r="P562" t="str">
        <f>TEXT(financial_fraud_data[[#This Row],[Transaction_Date]],"MMM")</f>
        <v>Jan</v>
      </c>
      <c r="Q562" t="str">
        <f>IF(financial_fraud_data[[#This Row],[Is_Fraud]]=1,"Yes","No")</f>
        <v>Yes</v>
      </c>
    </row>
    <row r="563" spans="1:17" x14ac:dyDescent="0.2">
      <c r="A563" t="s">
        <v>945</v>
      </c>
      <c r="B563" t="s">
        <v>144</v>
      </c>
      <c r="C563" s="1">
        <v>45315.375</v>
      </c>
      <c r="D563">
        <v>10687.56</v>
      </c>
      <c r="E563" t="s">
        <v>34</v>
      </c>
      <c r="F563" t="s">
        <v>17</v>
      </c>
      <c r="G563" t="s">
        <v>18</v>
      </c>
      <c r="H563" t="s">
        <v>19</v>
      </c>
      <c r="I563" t="s">
        <v>23</v>
      </c>
      <c r="J563" t="s">
        <v>37</v>
      </c>
      <c r="K563">
        <v>1</v>
      </c>
      <c r="L563">
        <v>2</v>
      </c>
      <c r="M563">
        <v>7.07</v>
      </c>
      <c r="N563">
        <v>1</v>
      </c>
      <c r="O563" t="str">
        <f>IF(financial_fraud_data[[#This Row],[Risk_Score]]&gt;8,"High",IF(financial_fraud_data[[#This Row],[Risk_Score]]&gt;5,"Med","Low"))</f>
        <v>Med</v>
      </c>
      <c r="P563" t="str">
        <f>TEXT(financial_fraud_data[[#This Row],[Transaction_Date]],"MMM")</f>
        <v>Jan</v>
      </c>
      <c r="Q563" t="str">
        <f>IF(financial_fraud_data[[#This Row],[Is_Fraud]]=1,"Yes","No")</f>
        <v>Yes</v>
      </c>
    </row>
    <row r="564" spans="1:17" x14ac:dyDescent="0.2">
      <c r="A564" t="s">
        <v>946</v>
      </c>
      <c r="B564" t="s">
        <v>409</v>
      </c>
      <c r="C564" s="1">
        <v>45315.416666666664</v>
      </c>
      <c r="D564">
        <v>6861.76</v>
      </c>
      <c r="E564" t="s">
        <v>42</v>
      </c>
      <c r="F564" t="s">
        <v>47</v>
      </c>
      <c r="G564" t="s">
        <v>18</v>
      </c>
      <c r="H564" t="s">
        <v>29</v>
      </c>
      <c r="I564" t="s">
        <v>24</v>
      </c>
      <c r="J564" t="s">
        <v>37</v>
      </c>
      <c r="K564">
        <v>0</v>
      </c>
      <c r="L564">
        <v>1</v>
      </c>
      <c r="M564">
        <v>3.19</v>
      </c>
      <c r="N564">
        <v>0</v>
      </c>
      <c r="O564" t="str">
        <f>IF(financial_fraud_data[[#This Row],[Risk_Score]]&gt;8,"High",IF(financial_fraud_data[[#This Row],[Risk_Score]]&gt;5,"Med","Low"))</f>
        <v>Low</v>
      </c>
      <c r="P564" t="str">
        <f>TEXT(financial_fraud_data[[#This Row],[Transaction_Date]],"MMM")</f>
        <v>Jan</v>
      </c>
      <c r="Q564" t="str">
        <f>IF(financial_fraud_data[[#This Row],[Is_Fraud]]=1,"Yes","No")</f>
        <v>No</v>
      </c>
    </row>
    <row r="565" spans="1:17" x14ac:dyDescent="0.2">
      <c r="A565" t="s">
        <v>947</v>
      </c>
      <c r="B565" t="s">
        <v>263</v>
      </c>
      <c r="C565" s="1">
        <v>45315.458333333336</v>
      </c>
      <c r="D565">
        <v>776.51</v>
      </c>
      <c r="E565" t="s">
        <v>42</v>
      </c>
      <c r="F565" t="s">
        <v>17</v>
      </c>
      <c r="G565" t="s">
        <v>56</v>
      </c>
      <c r="H565" t="s">
        <v>24</v>
      </c>
      <c r="I565" t="s">
        <v>19</v>
      </c>
      <c r="J565" t="s">
        <v>37</v>
      </c>
      <c r="K565">
        <v>0</v>
      </c>
      <c r="L565">
        <v>2</v>
      </c>
      <c r="M565">
        <v>4.08</v>
      </c>
      <c r="N565">
        <v>0</v>
      </c>
      <c r="O565" t="str">
        <f>IF(financial_fraud_data[[#This Row],[Risk_Score]]&gt;8,"High",IF(financial_fraud_data[[#This Row],[Risk_Score]]&gt;5,"Med","Low"))</f>
        <v>Low</v>
      </c>
      <c r="P565" t="str">
        <f>TEXT(financial_fraud_data[[#This Row],[Transaction_Date]],"MMM")</f>
        <v>Jan</v>
      </c>
      <c r="Q565" t="str">
        <f>IF(financial_fraud_data[[#This Row],[Is_Fraud]]=1,"Yes","No")</f>
        <v>No</v>
      </c>
    </row>
    <row r="566" spans="1:17" x14ac:dyDescent="0.2">
      <c r="A566" t="s">
        <v>948</v>
      </c>
      <c r="B566" t="s">
        <v>154</v>
      </c>
      <c r="C566" s="1">
        <v>45315.5</v>
      </c>
      <c r="D566">
        <v>17561.849999999999</v>
      </c>
      <c r="E566" t="s">
        <v>34</v>
      </c>
      <c r="F566" t="s">
        <v>50</v>
      </c>
      <c r="G566" t="s">
        <v>18</v>
      </c>
      <c r="H566" t="s">
        <v>29</v>
      </c>
      <c r="I566" t="s">
        <v>19</v>
      </c>
      <c r="J566" t="s">
        <v>20</v>
      </c>
      <c r="K566">
        <v>0</v>
      </c>
      <c r="L566">
        <v>0</v>
      </c>
      <c r="M566">
        <v>2.76</v>
      </c>
      <c r="N566">
        <v>0</v>
      </c>
      <c r="O566" t="str">
        <f>IF(financial_fraud_data[[#This Row],[Risk_Score]]&gt;8,"High",IF(financial_fraud_data[[#This Row],[Risk_Score]]&gt;5,"Med","Low"))</f>
        <v>Low</v>
      </c>
      <c r="P566" t="str">
        <f>TEXT(financial_fraud_data[[#This Row],[Transaction_Date]],"MMM")</f>
        <v>Jan</v>
      </c>
      <c r="Q566" t="str">
        <f>IF(financial_fraud_data[[#This Row],[Is_Fraud]]=1,"Yes","No")</f>
        <v>No</v>
      </c>
    </row>
    <row r="567" spans="1:17" x14ac:dyDescent="0.2">
      <c r="A567" t="s">
        <v>949</v>
      </c>
      <c r="B567" t="s">
        <v>683</v>
      </c>
      <c r="C567" s="1">
        <v>45315.541666666664</v>
      </c>
      <c r="D567">
        <v>29516.39</v>
      </c>
      <c r="E567" t="s">
        <v>16</v>
      </c>
      <c r="F567" t="s">
        <v>47</v>
      </c>
      <c r="G567" t="s">
        <v>18</v>
      </c>
      <c r="H567" t="s">
        <v>19</v>
      </c>
      <c r="I567" t="s">
        <v>19</v>
      </c>
      <c r="J567" t="s">
        <v>37</v>
      </c>
      <c r="K567">
        <v>0</v>
      </c>
      <c r="L567">
        <v>4</v>
      </c>
      <c r="M567">
        <v>8.9499999999999993</v>
      </c>
      <c r="N567">
        <v>1</v>
      </c>
      <c r="O567" t="str">
        <f>IF(financial_fraud_data[[#This Row],[Risk_Score]]&gt;8,"High",IF(financial_fraud_data[[#This Row],[Risk_Score]]&gt;5,"Med","Low"))</f>
        <v>High</v>
      </c>
      <c r="P567" t="str">
        <f>TEXT(financial_fraud_data[[#This Row],[Transaction_Date]],"MMM")</f>
        <v>Jan</v>
      </c>
      <c r="Q567" t="str">
        <f>IF(financial_fraud_data[[#This Row],[Is_Fraud]]=1,"Yes","No")</f>
        <v>Yes</v>
      </c>
    </row>
    <row r="568" spans="1:17" x14ac:dyDescent="0.2">
      <c r="A568" t="s">
        <v>950</v>
      </c>
      <c r="B568" t="s">
        <v>951</v>
      </c>
      <c r="C568" s="1">
        <v>45315.583333333336</v>
      </c>
      <c r="D568">
        <v>19642.59</v>
      </c>
      <c r="E568" t="s">
        <v>42</v>
      </c>
      <c r="F568" t="s">
        <v>50</v>
      </c>
      <c r="G568" t="s">
        <v>35</v>
      </c>
      <c r="H568" t="s">
        <v>29</v>
      </c>
      <c r="I568" t="s">
        <v>36</v>
      </c>
      <c r="J568" t="s">
        <v>37</v>
      </c>
      <c r="K568">
        <v>0</v>
      </c>
      <c r="L568">
        <v>0</v>
      </c>
      <c r="M568">
        <v>2.96</v>
      </c>
      <c r="N568">
        <v>0</v>
      </c>
      <c r="O568" t="str">
        <f>IF(financial_fraud_data[[#This Row],[Risk_Score]]&gt;8,"High",IF(financial_fraud_data[[#This Row],[Risk_Score]]&gt;5,"Med","Low"))</f>
        <v>Low</v>
      </c>
      <c r="P568" t="str">
        <f>TEXT(financial_fraud_data[[#This Row],[Transaction_Date]],"MMM")</f>
        <v>Jan</v>
      </c>
      <c r="Q568" t="str">
        <f>IF(financial_fraud_data[[#This Row],[Is_Fraud]]=1,"Yes","No")</f>
        <v>No</v>
      </c>
    </row>
    <row r="569" spans="1:17" x14ac:dyDescent="0.2">
      <c r="A569" t="s">
        <v>952</v>
      </c>
      <c r="B569" t="s">
        <v>953</v>
      </c>
      <c r="C569" s="1">
        <v>45315.625</v>
      </c>
      <c r="D569">
        <v>21901.87</v>
      </c>
      <c r="E569" t="s">
        <v>80</v>
      </c>
      <c r="F569" t="s">
        <v>47</v>
      </c>
      <c r="G569" t="s">
        <v>28</v>
      </c>
      <c r="H569" t="s">
        <v>36</v>
      </c>
      <c r="I569" t="s">
        <v>24</v>
      </c>
      <c r="J569" t="s">
        <v>20</v>
      </c>
      <c r="K569">
        <v>0</v>
      </c>
      <c r="L569">
        <v>1</v>
      </c>
      <c r="M569">
        <v>4.6900000000000004</v>
      </c>
      <c r="N569">
        <v>0</v>
      </c>
      <c r="O569" t="str">
        <f>IF(financial_fraud_data[[#This Row],[Risk_Score]]&gt;8,"High",IF(financial_fraud_data[[#This Row],[Risk_Score]]&gt;5,"Med","Low"))</f>
        <v>Low</v>
      </c>
      <c r="P569" t="str">
        <f>TEXT(financial_fraud_data[[#This Row],[Transaction_Date]],"MMM")</f>
        <v>Jan</v>
      </c>
      <c r="Q569" t="str">
        <f>IF(financial_fraud_data[[#This Row],[Is_Fraud]]=1,"Yes","No")</f>
        <v>No</v>
      </c>
    </row>
    <row r="570" spans="1:17" x14ac:dyDescent="0.2">
      <c r="A570" t="s">
        <v>954</v>
      </c>
      <c r="B570" t="s">
        <v>629</v>
      </c>
      <c r="C570" s="1">
        <v>45315.666666666664</v>
      </c>
      <c r="D570">
        <v>45212.73</v>
      </c>
      <c r="E570" t="s">
        <v>16</v>
      </c>
      <c r="F570" t="s">
        <v>50</v>
      </c>
      <c r="G570" t="s">
        <v>35</v>
      </c>
      <c r="H570" t="s">
        <v>19</v>
      </c>
      <c r="I570" t="s">
        <v>19</v>
      </c>
      <c r="J570" t="s">
        <v>37</v>
      </c>
      <c r="K570">
        <v>0</v>
      </c>
      <c r="L570">
        <v>2</v>
      </c>
      <c r="M570">
        <v>7.52</v>
      </c>
      <c r="N570">
        <v>1</v>
      </c>
      <c r="O570" t="str">
        <f>IF(financial_fraud_data[[#This Row],[Risk_Score]]&gt;8,"High",IF(financial_fraud_data[[#This Row],[Risk_Score]]&gt;5,"Med","Low"))</f>
        <v>Med</v>
      </c>
      <c r="P570" t="str">
        <f>TEXT(financial_fraud_data[[#This Row],[Transaction_Date]],"MMM")</f>
        <v>Jan</v>
      </c>
      <c r="Q570" t="str">
        <f>IF(financial_fraud_data[[#This Row],[Is_Fraud]]=1,"Yes","No")</f>
        <v>Yes</v>
      </c>
    </row>
    <row r="571" spans="1:17" x14ac:dyDescent="0.2">
      <c r="A571" t="s">
        <v>955</v>
      </c>
      <c r="B571" t="s">
        <v>394</v>
      </c>
      <c r="C571" s="1">
        <v>45315.708333333336</v>
      </c>
      <c r="D571">
        <v>17445.36</v>
      </c>
      <c r="E571" t="s">
        <v>16</v>
      </c>
      <c r="F571" t="s">
        <v>27</v>
      </c>
      <c r="G571" t="s">
        <v>65</v>
      </c>
      <c r="H571" t="s">
        <v>29</v>
      </c>
      <c r="I571" t="s">
        <v>19</v>
      </c>
      <c r="J571" t="s">
        <v>51</v>
      </c>
      <c r="K571">
        <v>0</v>
      </c>
      <c r="L571">
        <v>2</v>
      </c>
      <c r="M571">
        <v>5.74</v>
      </c>
      <c r="N571">
        <v>1</v>
      </c>
      <c r="O571" t="str">
        <f>IF(financial_fraud_data[[#This Row],[Risk_Score]]&gt;8,"High",IF(financial_fraud_data[[#This Row],[Risk_Score]]&gt;5,"Med","Low"))</f>
        <v>Med</v>
      </c>
      <c r="P571" t="str">
        <f>TEXT(financial_fraud_data[[#This Row],[Transaction_Date]],"MMM")</f>
        <v>Jan</v>
      </c>
      <c r="Q571" t="str">
        <f>IF(financial_fraud_data[[#This Row],[Is_Fraud]]=1,"Yes","No")</f>
        <v>Yes</v>
      </c>
    </row>
    <row r="572" spans="1:17" x14ac:dyDescent="0.2">
      <c r="A572" t="s">
        <v>956</v>
      </c>
      <c r="B572" t="s">
        <v>957</v>
      </c>
      <c r="C572" s="1">
        <v>45315.75</v>
      </c>
      <c r="D572">
        <v>25723.77</v>
      </c>
      <c r="E572" t="s">
        <v>34</v>
      </c>
      <c r="F572" t="s">
        <v>27</v>
      </c>
      <c r="G572" t="s">
        <v>35</v>
      </c>
      <c r="H572" t="s">
        <v>23</v>
      </c>
      <c r="I572" t="s">
        <v>24</v>
      </c>
      <c r="J572" t="s">
        <v>51</v>
      </c>
      <c r="K572">
        <v>1</v>
      </c>
      <c r="L572">
        <v>3</v>
      </c>
      <c r="M572">
        <v>10.07</v>
      </c>
      <c r="N572">
        <v>1</v>
      </c>
      <c r="O572" t="str">
        <f>IF(financial_fraud_data[[#This Row],[Risk_Score]]&gt;8,"High",IF(financial_fraud_data[[#This Row],[Risk_Score]]&gt;5,"Med","Low"))</f>
        <v>High</v>
      </c>
      <c r="P572" t="str">
        <f>TEXT(financial_fraud_data[[#This Row],[Transaction_Date]],"MMM")</f>
        <v>Jan</v>
      </c>
      <c r="Q572" t="str">
        <f>IF(financial_fraud_data[[#This Row],[Is_Fraud]]=1,"Yes","No")</f>
        <v>Yes</v>
      </c>
    </row>
    <row r="573" spans="1:17" x14ac:dyDescent="0.2">
      <c r="A573" t="s">
        <v>958</v>
      </c>
      <c r="B573" t="s">
        <v>437</v>
      </c>
      <c r="C573" s="1">
        <v>45315.791666666664</v>
      </c>
      <c r="D573">
        <v>39193.47</v>
      </c>
      <c r="E573" t="s">
        <v>34</v>
      </c>
      <c r="F573" t="s">
        <v>17</v>
      </c>
      <c r="G573" t="s">
        <v>56</v>
      </c>
      <c r="H573" t="s">
        <v>29</v>
      </c>
      <c r="I573" t="s">
        <v>23</v>
      </c>
      <c r="J573" t="s">
        <v>51</v>
      </c>
      <c r="K573">
        <v>0</v>
      </c>
      <c r="L573">
        <v>0</v>
      </c>
      <c r="M573">
        <v>4.92</v>
      </c>
      <c r="N573">
        <v>0</v>
      </c>
      <c r="O573" t="str">
        <f>IF(financial_fraud_data[[#This Row],[Risk_Score]]&gt;8,"High",IF(financial_fraud_data[[#This Row],[Risk_Score]]&gt;5,"Med","Low"))</f>
        <v>Low</v>
      </c>
      <c r="P573" t="str">
        <f>TEXT(financial_fraud_data[[#This Row],[Transaction_Date]],"MMM")</f>
        <v>Jan</v>
      </c>
      <c r="Q573" t="str">
        <f>IF(financial_fraud_data[[#This Row],[Is_Fraud]]=1,"Yes","No")</f>
        <v>No</v>
      </c>
    </row>
    <row r="574" spans="1:17" x14ac:dyDescent="0.2">
      <c r="A574" t="s">
        <v>959</v>
      </c>
      <c r="B574" t="s">
        <v>891</v>
      </c>
      <c r="C574" s="1">
        <v>45315.833333333336</v>
      </c>
      <c r="D574">
        <v>19857.310000000001</v>
      </c>
      <c r="E574" t="s">
        <v>80</v>
      </c>
      <c r="F574" t="s">
        <v>27</v>
      </c>
      <c r="G574" t="s">
        <v>28</v>
      </c>
      <c r="H574" t="s">
        <v>36</v>
      </c>
      <c r="I574" t="s">
        <v>19</v>
      </c>
      <c r="J574" t="s">
        <v>51</v>
      </c>
      <c r="K574">
        <v>0</v>
      </c>
      <c r="L574">
        <v>0</v>
      </c>
      <c r="M574">
        <v>2.99</v>
      </c>
      <c r="N574">
        <v>0</v>
      </c>
      <c r="O574" t="str">
        <f>IF(financial_fraud_data[[#This Row],[Risk_Score]]&gt;8,"High",IF(financial_fraud_data[[#This Row],[Risk_Score]]&gt;5,"Med","Low"))</f>
        <v>Low</v>
      </c>
      <c r="P574" t="str">
        <f>TEXT(financial_fraud_data[[#This Row],[Transaction_Date]],"MMM")</f>
        <v>Jan</v>
      </c>
      <c r="Q574" t="str">
        <f>IF(financial_fraud_data[[#This Row],[Is_Fraud]]=1,"Yes","No")</f>
        <v>No</v>
      </c>
    </row>
    <row r="575" spans="1:17" x14ac:dyDescent="0.2">
      <c r="A575" t="s">
        <v>960</v>
      </c>
      <c r="B575" t="s">
        <v>49</v>
      </c>
      <c r="C575" s="1">
        <v>45315.875</v>
      </c>
      <c r="D575">
        <v>31123.23</v>
      </c>
      <c r="E575" t="s">
        <v>42</v>
      </c>
      <c r="F575" t="s">
        <v>50</v>
      </c>
      <c r="G575" t="s">
        <v>56</v>
      </c>
      <c r="H575" t="s">
        <v>24</v>
      </c>
      <c r="I575" t="s">
        <v>23</v>
      </c>
      <c r="J575" t="s">
        <v>51</v>
      </c>
      <c r="K575">
        <v>0</v>
      </c>
      <c r="L575">
        <v>1</v>
      </c>
      <c r="M575">
        <v>5.61</v>
      </c>
      <c r="N575">
        <v>1</v>
      </c>
      <c r="O575" t="str">
        <f>IF(financial_fraud_data[[#This Row],[Risk_Score]]&gt;8,"High",IF(financial_fraud_data[[#This Row],[Risk_Score]]&gt;5,"Med","Low"))</f>
        <v>Med</v>
      </c>
      <c r="P575" t="str">
        <f>TEXT(financial_fraud_data[[#This Row],[Transaction_Date]],"MMM")</f>
        <v>Jan</v>
      </c>
      <c r="Q575" t="str">
        <f>IF(financial_fraud_data[[#This Row],[Is_Fraud]]=1,"Yes","No")</f>
        <v>Yes</v>
      </c>
    </row>
    <row r="576" spans="1:17" x14ac:dyDescent="0.2">
      <c r="A576" t="s">
        <v>961</v>
      </c>
      <c r="B576" t="s">
        <v>751</v>
      </c>
      <c r="C576" s="1">
        <v>45315.916666666664</v>
      </c>
      <c r="D576">
        <v>43125.07</v>
      </c>
      <c r="E576" t="s">
        <v>34</v>
      </c>
      <c r="F576" t="s">
        <v>50</v>
      </c>
      <c r="G576" t="s">
        <v>65</v>
      </c>
      <c r="H576" t="s">
        <v>24</v>
      </c>
      <c r="I576" t="s">
        <v>19</v>
      </c>
      <c r="J576" t="s">
        <v>51</v>
      </c>
      <c r="K576">
        <v>1</v>
      </c>
      <c r="L576">
        <v>2</v>
      </c>
      <c r="M576">
        <v>10.31</v>
      </c>
      <c r="N576">
        <v>1</v>
      </c>
      <c r="O576" t="str">
        <f>IF(financial_fraud_data[[#This Row],[Risk_Score]]&gt;8,"High",IF(financial_fraud_data[[#This Row],[Risk_Score]]&gt;5,"Med","Low"))</f>
        <v>High</v>
      </c>
      <c r="P576" t="str">
        <f>TEXT(financial_fraud_data[[#This Row],[Transaction_Date]],"MMM")</f>
        <v>Jan</v>
      </c>
      <c r="Q576" t="str">
        <f>IF(financial_fraud_data[[#This Row],[Is_Fraud]]=1,"Yes","No")</f>
        <v>Yes</v>
      </c>
    </row>
    <row r="577" spans="1:17" x14ac:dyDescent="0.2">
      <c r="A577" t="s">
        <v>962</v>
      </c>
      <c r="B577" t="s">
        <v>282</v>
      </c>
      <c r="C577" s="1">
        <v>45315.958333333336</v>
      </c>
      <c r="D577">
        <v>47478.559999999998</v>
      </c>
      <c r="E577" t="s">
        <v>34</v>
      </c>
      <c r="F577" t="s">
        <v>27</v>
      </c>
      <c r="G577" t="s">
        <v>28</v>
      </c>
      <c r="H577" t="s">
        <v>24</v>
      </c>
      <c r="I577" t="s">
        <v>29</v>
      </c>
      <c r="J577" t="s">
        <v>51</v>
      </c>
      <c r="K577">
        <v>0</v>
      </c>
      <c r="L577">
        <v>1</v>
      </c>
      <c r="M577">
        <v>7.25</v>
      </c>
      <c r="N577">
        <v>1</v>
      </c>
      <c r="O577" t="str">
        <f>IF(financial_fraud_data[[#This Row],[Risk_Score]]&gt;8,"High",IF(financial_fraud_data[[#This Row],[Risk_Score]]&gt;5,"Med","Low"))</f>
        <v>Med</v>
      </c>
      <c r="P577" t="str">
        <f>TEXT(financial_fraud_data[[#This Row],[Transaction_Date]],"MMM")</f>
        <v>Jan</v>
      </c>
      <c r="Q577" t="str">
        <f>IF(financial_fraud_data[[#This Row],[Is_Fraud]]=1,"Yes","No")</f>
        <v>Yes</v>
      </c>
    </row>
    <row r="578" spans="1:17" x14ac:dyDescent="0.2">
      <c r="A578" t="s">
        <v>963</v>
      </c>
      <c r="B578" t="s">
        <v>599</v>
      </c>
      <c r="C578" s="1">
        <v>45316</v>
      </c>
      <c r="D578">
        <v>7396.32</v>
      </c>
      <c r="E578" t="s">
        <v>16</v>
      </c>
      <c r="F578" t="s">
        <v>17</v>
      </c>
      <c r="G578" t="s">
        <v>18</v>
      </c>
      <c r="H578" t="s">
        <v>23</v>
      </c>
      <c r="I578" t="s">
        <v>36</v>
      </c>
      <c r="J578" t="s">
        <v>51</v>
      </c>
      <c r="K578">
        <v>0</v>
      </c>
      <c r="L578">
        <v>1</v>
      </c>
      <c r="M578">
        <v>3.24</v>
      </c>
      <c r="N578">
        <v>0</v>
      </c>
      <c r="O578" t="str">
        <f>IF(financial_fraud_data[[#This Row],[Risk_Score]]&gt;8,"High",IF(financial_fraud_data[[#This Row],[Risk_Score]]&gt;5,"Med","Low"))</f>
        <v>Low</v>
      </c>
      <c r="P578" t="str">
        <f>TEXT(financial_fraud_data[[#This Row],[Transaction_Date]],"MMM")</f>
        <v>Jan</v>
      </c>
      <c r="Q578" t="str">
        <f>IF(financial_fraud_data[[#This Row],[Is_Fraud]]=1,"Yes","No")</f>
        <v>No</v>
      </c>
    </row>
    <row r="579" spans="1:17" x14ac:dyDescent="0.2">
      <c r="A579" t="s">
        <v>964</v>
      </c>
      <c r="B579" t="s">
        <v>759</v>
      </c>
      <c r="C579" s="1">
        <v>45316.041666666664</v>
      </c>
      <c r="D579">
        <v>46333.05</v>
      </c>
      <c r="E579" t="s">
        <v>34</v>
      </c>
      <c r="F579" t="s">
        <v>27</v>
      </c>
      <c r="G579" t="s">
        <v>35</v>
      </c>
      <c r="H579" t="s">
        <v>36</v>
      </c>
      <c r="I579" t="s">
        <v>19</v>
      </c>
      <c r="J579" t="s">
        <v>51</v>
      </c>
      <c r="K579">
        <v>0</v>
      </c>
      <c r="L579">
        <v>2</v>
      </c>
      <c r="M579">
        <v>8.6300000000000008</v>
      </c>
      <c r="N579">
        <v>1</v>
      </c>
      <c r="O579" t="str">
        <f>IF(financial_fraud_data[[#This Row],[Risk_Score]]&gt;8,"High",IF(financial_fraud_data[[#This Row],[Risk_Score]]&gt;5,"Med","Low"))</f>
        <v>High</v>
      </c>
      <c r="P579" t="str">
        <f>TEXT(financial_fraud_data[[#This Row],[Transaction_Date]],"MMM")</f>
        <v>Jan</v>
      </c>
      <c r="Q579" t="str">
        <f>IF(financial_fraud_data[[#This Row],[Is_Fraud]]=1,"Yes","No")</f>
        <v>Yes</v>
      </c>
    </row>
    <row r="580" spans="1:17" x14ac:dyDescent="0.2">
      <c r="A580" t="s">
        <v>965</v>
      </c>
      <c r="B580" t="s">
        <v>270</v>
      </c>
      <c r="C580" s="1">
        <v>45316.083333333336</v>
      </c>
      <c r="D580">
        <v>24631.21</v>
      </c>
      <c r="E580" t="s">
        <v>34</v>
      </c>
      <c r="F580" t="s">
        <v>47</v>
      </c>
      <c r="G580" t="s">
        <v>56</v>
      </c>
      <c r="H580" t="s">
        <v>19</v>
      </c>
      <c r="I580" t="s">
        <v>29</v>
      </c>
      <c r="J580" t="s">
        <v>20</v>
      </c>
      <c r="K580">
        <v>1</v>
      </c>
      <c r="L580">
        <v>1</v>
      </c>
      <c r="M580">
        <v>6.96</v>
      </c>
      <c r="N580">
        <v>1</v>
      </c>
      <c r="O580" t="str">
        <f>IF(financial_fraud_data[[#This Row],[Risk_Score]]&gt;8,"High",IF(financial_fraud_data[[#This Row],[Risk_Score]]&gt;5,"Med","Low"))</f>
        <v>Med</v>
      </c>
      <c r="P580" t="str">
        <f>TEXT(financial_fraud_data[[#This Row],[Transaction_Date]],"MMM")</f>
        <v>Jan</v>
      </c>
      <c r="Q580" t="str">
        <f>IF(financial_fraud_data[[#This Row],[Is_Fraud]]=1,"Yes","No")</f>
        <v>Yes</v>
      </c>
    </row>
    <row r="581" spans="1:17" x14ac:dyDescent="0.2">
      <c r="A581" t="s">
        <v>966</v>
      </c>
      <c r="B581" t="s">
        <v>231</v>
      </c>
      <c r="C581" s="1">
        <v>45316.125</v>
      </c>
      <c r="D581">
        <v>12949.31</v>
      </c>
      <c r="E581" t="s">
        <v>34</v>
      </c>
      <c r="F581" t="s">
        <v>47</v>
      </c>
      <c r="G581" t="s">
        <v>65</v>
      </c>
      <c r="H581" t="s">
        <v>24</v>
      </c>
      <c r="I581" t="s">
        <v>24</v>
      </c>
      <c r="J581" t="s">
        <v>20</v>
      </c>
      <c r="K581">
        <v>0</v>
      </c>
      <c r="L581">
        <v>2</v>
      </c>
      <c r="M581">
        <v>4.29</v>
      </c>
      <c r="N581">
        <v>0</v>
      </c>
      <c r="O581" t="str">
        <f>IF(financial_fraud_data[[#This Row],[Risk_Score]]&gt;8,"High",IF(financial_fraud_data[[#This Row],[Risk_Score]]&gt;5,"Med","Low"))</f>
        <v>Low</v>
      </c>
      <c r="P581" t="str">
        <f>TEXT(financial_fraud_data[[#This Row],[Transaction_Date]],"MMM")</f>
        <v>Jan</v>
      </c>
      <c r="Q581" t="str">
        <f>IF(financial_fraud_data[[#This Row],[Is_Fraud]]=1,"Yes","No")</f>
        <v>No</v>
      </c>
    </row>
    <row r="582" spans="1:17" x14ac:dyDescent="0.2">
      <c r="A582" t="s">
        <v>967</v>
      </c>
      <c r="B582" t="s">
        <v>210</v>
      </c>
      <c r="C582" s="1">
        <v>45316.166666666664</v>
      </c>
      <c r="D582">
        <v>22983.83</v>
      </c>
      <c r="E582" t="s">
        <v>34</v>
      </c>
      <c r="F582" t="s">
        <v>47</v>
      </c>
      <c r="G582" t="s">
        <v>18</v>
      </c>
      <c r="H582" t="s">
        <v>36</v>
      </c>
      <c r="I582" t="s">
        <v>29</v>
      </c>
      <c r="J582" t="s">
        <v>51</v>
      </c>
      <c r="K582">
        <v>0</v>
      </c>
      <c r="L582">
        <v>1</v>
      </c>
      <c r="M582">
        <v>4.8</v>
      </c>
      <c r="N582">
        <v>0</v>
      </c>
      <c r="O582" t="str">
        <f>IF(financial_fraud_data[[#This Row],[Risk_Score]]&gt;8,"High",IF(financial_fraud_data[[#This Row],[Risk_Score]]&gt;5,"Med","Low"))</f>
        <v>Low</v>
      </c>
      <c r="P582" t="str">
        <f>TEXT(financial_fraud_data[[#This Row],[Transaction_Date]],"MMM")</f>
        <v>Jan</v>
      </c>
      <c r="Q582" t="str">
        <f>IF(financial_fraud_data[[#This Row],[Is_Fraud]]=1,"Yes","No")</f>
        <v>No</v>
      </c>
    </row>
    <row r="583" spans="1:17" x14ac:dyDescent="0.2">
      <c r="A583" t="s">
        <v>968</v>
      </c>
      <c r="B583" t="s">
        <v>448</v>
      </c>
      <c r="C583" s="1">
        <v>45316.208333333336</v>
      </c>
      <c r="D583">
        <v>49002.63</v>
      </c>
      <c r="E583" t="s">
        <v>16</v>
      </c>
      <c r="F583" t="s">
        <v>27</v>
      </c>
      <c r="G583" t="s">
        <v>35</v>
      </c>
      <c r="H583" t="s">
        <v>29</v>
      </c>
      <c r="I583" t="s">
        <v>24</v>
      </c>
      <c r="J583" t="s">
        <v>20</v>
      </c>
      <c r="K583">
        <v>0</v>
      </c>
      <c r="L583">
        <v>4</v>
      </c>
      <c r="M583">
        <v>11.9</v>
      </c>
      <c r="N583">
        <v>1</v>
      </c>
      <c r="O583" t="str">
        <f>IF(financial_fraud_data[[#This Row],[Risk_Score]]&gt;8,"High",IF(financial_fraud_data[[#This Row],[Risk_Score]]&gt;5,"Med","Low"))</f>
        <v>High</v>
      </c>
      <c r="P583" t="str">
        <f>TEXT(financial_fraud_data[[#This Row],[Transaction_Date]],"MMM")</f>
        <v>Jan</v>
      </c>
      <c r="Q583" t="str">
        <f>IF(financial_fraud_data[[#This Row],[Is_Fraud]]=1,"Yes","No")</f>
        <v>Yes</v>
      </c>
    </row>
    <row r="584" spans="1:17" x14ac:dyDescent="0.2">
      <c r="A584" t="s">
        <v>969</v>
      </c>
      <c r="B584" t="s">
        <v>724</v>
      </c>
      <c r="C584" s="1">
        <v>45316.25</v>
      </c>
      <c r="D584">
        <v>24656.27</v>
      </c>
      <c r="E584" t="s">
        <v>80</v>
      </c>
      <c r="F584" t="s">
        <v>27</v>
      </c>
      <c r="G584" t="s">
        <v>18</v>
      </c>
      <c r="H584" t="s">
        <v>23</v>
      </c>
      <c r="I584" t="s">
        <v>19</v>
      </c>
      <c r="J584" t="s">
        <v>20</v>
      </c>
      <c r="K584">
        <v>0</v>
      </c>
      <c r="L584">
        <v>1</v>
      </c>
      <c r="M584">
        <v>4.97</v>
      </c>
      <c r="N584">
        <v>0</v>
      </c>
      <c r="O584" t="str">
        <f>IF(financial_fraud_data[[#This Row],[Risk_Score]]&gt;8,"High",IF(financial_fraud_data[[#This Row],[Risk_Score]]&gt;5,"Med","Low"))</f>
        <v>Low</v>
      </c>
      <c r="P584" t="str">
        <f>TEXT(financial_fraud_data[[#This Row],[Transaction_Date]],"MMM")</f>
        <v>Jan</v>
      </c>
      <c r="Q584" t="str">
        <f>IF(financial_fraud_data[[#This Row],[Is_Fraud]]=1,"Yes","No")</f>
        <v>No</v>
      </c>
    </row>
    <row r="585" spans="1:17" x14ac:dyDescent="0.2">
      <c r="A585" t="s">
        <v>970</v>
      </c>
      <c r="B585" t="s">
        <v>971</v>
      </c>
      <c r="C585" s="1">
        <v>45316.291666666664</v>
      </c>
      <c r="D585">
        <v>16471.14</v>
      </c>
      <c r="E585" t="s">
        <v>80</v>
      </c>
      <c r="F585" t="s">
        <v>27</v>
      </c>
      <c r="G585" t="s">
        <v>35</v>
      </c>
      <c r="H585" t="s">
        <v>36</v>
      </c>
      <c r="I585" t="s">
        <v>24</v>
      </c>
      <c r="J585" t="s">
        <v>51</v>
      </c>
      <c r="K585">
        <v>0</v>
      </c>
      <c r="L585">
        <v>1</v>
      </c>
      <c r="M585">
        <v>4.1500000000000004</v>
      </c>
      <c r="N585">
        <v>0</v>
      </c>
      <c r="O585" t="str">
        <f>IF(financial_fraud_data[[#This Row],[Risk_Score]]&gt;8,"High",IF(financial_fraud_data[[#This Row],[Risk_Score]]&gt;5,"Med","Low"))</f>
        <v>Low</v>
      </c>
      <c r="P585" t="str">
        <f>TEXT(financial_fraud_data[[#This Row],[Transaction_Date]],"MMM")</f>
        <v>Jan</v>
      </c>
      <c r="Q585" t="str">
        <f>IF(financial_fraud_data[[#This Row],[Is_Fraud]]=1,"Yes","No")</f>
        <v>No</v>
      </c>
    </row>
    <row r="586" spans="1:17" x14ac:dyDescent="0.2">
      <c r="A586" t="s">
        <v>972</v>
      </c>
      <c r="B586" t="s">
        <v>477</v>
      </c>
      <c r="C586" s="1">
        <v>45316.333333333336</v>
      </c>
      <c r="D586">
        <v>31688.37</v>
      </c>
      <c r="E586" t="s">
        <v>42</v>
      </c>
      <c r="F586" t="s">
        <v>47</v>
      </c>
      <c r="G586" t="s">
        <v>28</v>
      </c>
      <c r="H586" t="s">
        <v>36</v>
      </c>
      <c r="I586" t="s">
        <v>29</v>
      </c>
      <c r="J586" t="s">
        <v>51</v>
      </c>
      <c r="K586">
        <v>0</v>
      </c>
      <c r="L586">
        <v>4</v>
      </c>
      <c r="M586">
        <v>10.17</v>
      </c>
      <c r="N586">
        <v>1</v>
      </c>
      <c r="O586" t="str">
        <f>IF(financial_fraud_data[[#This Row],[Risk_Score]]&gt;8,"High",IF(financial_fraud_data[[#This Row],[Risk_Score]]&gt;5,"Med","Low"))</f>
        <v>High</v>
      </c>
      <c r="P586" t="str">
        <f>TEXT(financial_fraud_data[[#This Row],[Transaction_Date]],"MMM")</f>
        <v>Jan</v>
      </c>
      <c r="Q586" t="str">
        <f>IF(financial_fraud_data[[#This Row],[Is_Fraud]]=1,"Yes","No")</f>
        <v>Yes</v>
      </c>
    </row>
    <row r="587" spans="1:17" x14ac:dyDescent="0.2">
      <c r="A587" t="s">
        <v>973</v>
      </c>
      <c r="B587" t="s">
        <v>974</v>
      </c>
      <c r="C587" s="1">
        <v>45316.375</v>
      </c>
      <c r="D587">
        <v>12045.27</v>
      </c>
      <c r="E587" t="s">
        <v>34</v>
      </c>
      <c r="F587" t="s">
        <v>17</v>
      </c>
      <c r="G587" t="s">
        <v>18</v>
      </c>
      <c r="H587" t="s">
        <v>19</v>
      </c>
      <c r="I587" t="s">
        <v>36</v>
      </c>
      <c r="J587" t="s">
        <v>20</v>
      </c>
      <c r="K587">
        <v>0</v>
      </c>
      <c r="L587">
        <v>0</v>
      </c>
      <c r="M587">
        <v>2.2000000000000002</v>
      </c>
      <c r="N587">
        <v>0</v>
      </c>
      <c r="O587" t="str">
        <f>IF(financial_fraud_data[[#This Row],[Risk_Score]]&gt;8,"High",IF(financial_fraud_data[[#This Row],[Risk_Score]]&gt;5,"Med","Low"))</f>
        <v>Low</v>
      </c>
      <c r="P587" t="str">
        <f>TEXT(financial_fraud_data[[#This Row],[Transaction_Date]],"MMM")</f>
        <v>Jan</v>
      </c>
      <c r="Q587" t="str">
        <f>IF(financial_fraud_data[[#This Row],[Is_Fraud]]=1,"Yes","No")</f>
        <v>No</v>
      </c>
    </row>
    <row r="588" spans="1:17" x14ac:dyDescent="0.2">
      <c r="A588" t="s">
        <v>975</v>
      </c>
      <c r="B588" t="s">
        <v>627</v>
      </c>
      <c r="C588" s="1">
        <v>45316.416666666664</v>
      </c>
      <c r="D588">
        <v>3839.37</v>
      </c>
      <c r="E588" t="s">
        <v>16</v>
      </c>
      <c r="F588" t="s">
        <v>50</v>
      </c>
      <c r="G588" t="s">
        <v>18</v>
      </c>
      <c r="H588" t="s">
        <v>36</v>
      </c>
      <c r="I588" t="s">
        <v>23</v>
      </c>
      <c r="J588" t="s">
        <v>51</v>
      </c>
      <c r="K588">
        <v>1</v>
      </c>
      <c r="L588">
        <v>2</v>
      </c>
      <c r="M588">
        <v>6.38</v>
      </c>
      <c r="N588">
        <v>1</v>
      </c>
      <c r="O588" t="str">
        <f>IF(financial_fraud_data[[#This Row],[Risk_Score]]&gt;8,"High",IF(financial_fraud_data[[#This Row],[Risk_Score]]&gt;5,"Med","Low"))</f>
        <v>Med</v>
      </c>
      <c r="P588" t="str">
        <f>TEXT(financial_fraud_data[[#This Row],[Transaction_Date]],"MMM")</f>
        <v>Jan</v>
      </c>
      <c r="Q588" t="str">
        <f>IF(financial_fraud_data[[#This Row],[Is_Fraud]]=1,"Yes","No")</f>
        <v>Yes</v>
      </c>
    </row>
    <row r="589" spans="1:17" x14ac:dyDescent="0.2">
      <c r="A589" t="s">
        <v>976</v>
      </c>
      <c r="B589" t="s">
        <v>977</v>
      </c>
      <c r="C589" s="1">
        <v>45316.458333333336</v>
      </c>
      <c r="D589">
        <v>6487.54</v>
      </c>
      <c r="E589" t="s">
        <v>42</v>
      </c>
      <c r="F589" t="s">
        <v>27</v>
      </c>
      <c r="G589" t="s">
        <v>18</v>
      </c>
      <c r="H589" t="s">
        <v>19</v>
      </c>
      <c r="I589" t="s">
        <v>23</v>
      </c>
      <c r="J589" t="s">
        <v>51</v>
      </c>
      <c r="K589">
        <v>0</v>
      </c>
      <c r="L589">
        <v>3</v>
      </c>
      <c r="M589">
        <v>6.15</v>
      </c>
      <c r="N589">
        <v>1</v>
      </c>
      <c r="O589" t="str">
        <f>IF(financial_fraud_data[[#This Row],[Risk_Score]]&gt;8,"High",IF(financial_fraud_data[[#This Row],[Risk_Score]]&gt;5,"Med","Low"))</f>
        <v>Med</v>
      </c>
      <c r="P589" t="str">
        <f>TEXT(financial_fraud_data[[#This Row],[Transaction_Date]],"MMM")</f>
        <v>Jan</v>
      </c>
      <c r="Q589" t="str">
        <f>IF(financial_fraud_data[[#This Row],[Is_Fraud]]=1,"Yes","No")</f>
        <v>Yes</v>
      </c>
    </row>
    <row r="590" spans="1:17" x14ac:dyDescent="0.2">
      <c r="A590" t="s">
        <v>978</v>
      </c>
      <c r="B590" t="s">
        <v>131</v>
      </c>
      <c r="C590" s="1">
        <v>45316.5</v>
      </c>
      <c r="D590">
        <v>6445.89</v>
      </c>
      <c r="E590" t="s">
        <v>42</v>
      </c>
      <c r="F590" t="s">
        <v>17</v>
      </c>
      <c r="G590" t="s">
        <v>28</v>
      </c>
      <c r="H590" t="s">
        <v>23</v>
      </c>
      <c r="I590" t="s">
        <v>36</v>
      </c>
      <c r="J590" t="s">
        <v>51</v>
      </c>
      <c r="K590">
        <v>1</v>
      </c>
      <c r="L590">
        <v>4</v>
      </c>
      <c r="M590">
        <v>9.64</v>
      </c>
      <c r="N590">
        <v>1</v>
      </c>
      <c r="O590" t="str">
        <f>IF(financial_fraud_data[[#This Row],[Risk_Score]]&gt;8,"High",IF(financial_fraud_data[[#This Row],[Risk_Score]]&gt;5,"Med","Low"))</f>
        <v>High</v>
      </c>
      <c r="P590" t="str">
        <f>TEXT(financial_fraud_data[[#This Row],[Transaction_Date]],"MMM")</f>
        <v>Jan</v>
      </c>
      <c r="Q590" t="str">
        <f>IF(financial_fraud_data[[#This Row],[Is_Fraud]]=1,"Yes","No")</f>
        <v>Yes</v>
      </c>
    </row>
    <row r="591" spans="1:17" x14ac:dyDescent="0.2">
      <c r="A591" t="s">
        <v>979</v>
      </c>
      <c r="B591" t="s">
        <v>136</v>
      </c>
      <c r="C591" s="1">
        <v>45316.541666666664</v>
      </c>
      <c r="D591">
        <v>7637.54</v>
      </c>
      <c r="E591" t="s">
        <v>80</v>
      </c>
      <c r="F591" t="s">
        <v>50</v>
      </c>
      <c r="G591" t="s">
        <v>65</v>
      </c>
      <c r="H591" t="s">
        <v>23</v>
      </c>
      <c r="I591" t="s">
        <v>23</v>
      </c>
      <c r="J591" t="s">
        <v>51</v>
      </c>
      <c r="K591">
        <v>0</v>
      </c>
      <c r="L591">
        <v>0</v>
      </c>
      <c r="M591">
        <v>0.76</v>
      </c>
      <c r="N591">
        <v>0</v>
      </c>
      <c r="O591" t="str">
        <f>IF(financial_fraud_data[[#This Row],[Risk_Score]]&gt;8,"High",IF(financial_fraud_data[[#This Row],[Risk_Score]]&gt;5,"Med","Low"))</f>
        <v>Low</v>
      </c>
      <c r="P591" t="str">
        <f>TEXT(financial_fraud_data[[#This Row],[Transaction_Date]],"MMM")</f>
        <v>Jan</v>
      </c>
      <c r="Q591" t="str">
        <f>IF(financial_fraud_data[[#This Row],[Is_Fraud]]=1,"Yes","No")</f>
        <v>No</v>
      </c>
    </row>
    <row r="592" spans="1:17" x14ac:dyDescent="0.2">
      <c r="A592" t="s">
        <v>980</v>
      </c>
      <c r="B592" t="s">
        <v>720</v>
      </c>
      <c r="C592" s="1">
        <v>45316.583333333336</v>
      </c>
      <c r="D592">
        <v>6984.42</v>
      </c>
      <c r="E592" t="s">
        <v>16</v>
      </c>
      <c r="F592" t="s">
        <v>50</v>
      </c>
      <c r="G592" t="s">
        <v>35</v>
      </c>
      <c r="H592" t="s">
        <v>29</v>
      </c>
      <c r="I592" t="s">
        <v>19</v>
      </c>
      <c r="J592" t="s">
        <v>20</v>
      </c>
      <c r="K592">
        <v>0</v>
      </c>
      <c r="L592">
        <v>1</v>
      </c>
      <c r="M592">
        <v>3.2</v>
      </c>
      <c r="N592">
        <v>0</v>
      </c>
      <c r="O592" t="str">
        <f>IF(financial_fraud_data[[#This Row],[Risk_Score]]&gt;8,"High",IF(financial_fraud_data[[#This Row],[Risk_Score]]&gt;5,"Med","Low"))</f>
        <v>Low</v>
      </c>
      <c r="P592" t="str">
        <f>TEXT(financial_fraud_data[[#This Row],[Transaction_Date]],"MMM")</f>
        <v>Jan</v>
      </c>
      <c r="Q592" t="str">
        <f>IF(financial_fraud_data[[#This Row],[Is_Fraud]]=1,"Yes","No")</f>
        <v>No</v>
      </c>
    </row>
    <row r="593" spans="1:17" x14ac:dyDescent="0.2">
      <c r="A593" t="s">
        <v>981</v>
      </c>
      <c r="B593" t="s">
        <v>455</v>
      </c>
      <c r="C593" s="1">
        <v>45316.625</v>
      </c>
      <c r="D593">
        <v>32061.69</v>
      </c>
      <c r="E593" t="s">
        <v>16</v>
      </c>
      <c r="F593" t="s">
        <v>50</v>
      </c>
      <c r="G593" t="s">
        <v>18</v>
      </c>
      <c r="H593" t="s">
        <v>19</v>
      </c>
      <c r="I593" t="s">
        <v>19</v>
      </c>
      <c r="J593" t="s">
        <v>37</v>
      </c>
      <c r="K593">
        <v>0</v>
      </c>
      <c r="L593">
        <v>0</v>
      </c>
      <c r="M593">
        <v>3.21</v>
      </c>
      <c r="N593">
        <v>0</v>
      </c>
      <c r="O593" t="str">
        <f>IF(financial_fraud_data[[#This Row],[Risk_Score]]&gt;8,"High",IF(financial_fraud_data[[#This Row],[Risk_Score]]&gt;5,"Med","Low"))</f>
        <v>Low</v>
      </c>
      <c r="P593" t="str">
        <f>TEXT(financial_fraud_data[[#This Row],[Transaction_Date]],"MMM")</f>
        <v>Jan</v>
      </c>
      <c r="Q593" t="str">
        <f>IF(financial_fraud_data[[#This Row],[Is_Fraud]]=1,"Yes","No")</f>
        <v>No</v>
      </c>
    </row>
    <row r="594" spans="1:17" x14ac:dyDescent="0.2">
      <c r="A594" t="s">
        <v>982</v>
      </c>
      <c r="B594" t="s">
        <v>407</v>
      </c>
      <c r="C594" s="1">
        <v>45316.666666666664</v>
      </c>
      <c r="D594">
        <v>9134.91</v>
      </c>
      <c r="E594" t="s">
        <v>16</v>
      </c>
      <c r="F594" t="s">
        <v>17</v>
      </c>
      <c r="G594" t="s">
        <v>28</v>
      </c>
      <c r="H594" t="s">
        <v>19</v>
      </c>
      <c r="I594" t="s">
        <v>29</v>
      </c>
      <c r="J594" t="s">
        <v>20</v>
      </c>
      <c r="K594">
        <v>0</v>
      </c>
      <c r="L594">
        <v>4</v>
      </c>
      <c r="M594">
        <v>7.91</v>
      </c>
      <c r="N594">
        <v>1</v>
      </c>
      <c r="O594" t="str">
        <f>IF(financial_fraud_data[[#This Row],[Risk_Score]]&gt;8,"High",IF(financial_fraud_data[[#This Row],[Risk_Score]]&gt;5,"Med","Low"))</f>
        <v>Med</v>
      </c>
      <c r="P594" t="str">
        <f>TEXT(financial_fraud_data[[#This Row],[Transaction_Date]],"MMM")</f>
        <v>Jan</v>
      </c>
      <c r="Q594" t="str">
        <f>IF(financial_fraud_data[[#This Row],[Is_Fraud]]=1,"Yes","No")</f>
        <v>Yes</v>
      </c>
    </row>
    <row r="595" spans="1:17" x14ac:dyDescent="0.2">
      <c r="A595" t="s">
        <v>983</v>
      </c>
      <c r="B595" t="s">
        <v>191</v>
      </c>
      <c r="C595" s="1">
        <v>45316.708333333336</v>
      </c>
      <c r="D595">
        <v>17316.080000000002</v>
      </c>
      <c r="E595" t="s">
        <v>80</v>
      </c>
      <c r="F595" t="s">
        <v>17</v>
      </c>
      <c r="G595" t="s">
        <v>65</v>
      </c>
      <c r="H595" t="s">
        <v>24</v>
      </c>
      <c r="I595" t="s">
        <v>29</v>
      </c>
      <c r="J595" t="s">
        <v>37</v>
      </c>
      <c r="K595">
        <v>0</v>
      </c>
      <c r="L595">
        <v>1</v>
      </c>
      <c r="M595">
        <v>4.2300000000000004</v>
      </c>
      <c r="N595">
        <v>0</v>
      </c>
      <c r="O595" t="str">
        <f>IF(financial_fraud_data[[#This Row],[Risk_Score]]&gt;8,"High",IF(financial_fraud_data[[#This Row],[Risk_Score]]&gt;5,"Med","Low"))</f>
        <v>Low</v>
      </c>
      <c r="P595" t="str">
        <f>TEXT(financial_fraud_data[[#This Row],[Transaction_Date]],"MMM")</f>
        <v>Jan</v>
      </c>
      <c r="Q595" t="str">
        <f>IF(financial_fraud_data[[#This Row],[Is_Fraud]]=1,"Yes","No")</f>
        <v>No</v>
      </c>
    </row>
    <row r="596" spans="1:17" x14ac:dyDescent="0.2">
      <c r="A596" t="s">
        <v>984</v>
      </c>
      <c r="B596" t="s">
        <v>678</v>
      </c>
      <c r="C596" s="1">
        <v>45316.75</v>
      </c>
      <c r="D596">
        <v>44844.58</v>
      </c>
      <c r="E596" t="s">
        <v>80</v>
      </c>
      <c r="F596" t="s">
        <v>47</v>
      </c>
      <c r="G596" t="s">
        <v>35</v>
      </c>
      <c r="H596" t="s">
        <v>24</v>
      </c>
      <c r="I596" t="s">
        <v>24</v>
      </c>
      <c r="J596" t="s">
        <v>37</v>
      </c>
      <c r="K596">
        <v>0</v>
      </c>
      <c r="L596">
        <v>0</v>
      </c>
      <c r="M596">
        <v>4.4800000000000004</v>
      </c>
      <c r="N596">
        <v>0</v>
      </c>
      <c r="O596" t="str">
        <f>IF(financial_fraud_data[[#This Row],[Risk_Score]]&gt;8,"High",IF(financial_fraud_data[[#This Row],[Risk_Score]]&gt;5,"Med","Low"))</f>
        <v>Low</v>
      </c>
      <c r="P596" t="str">
        <f>TEXT(financial_fraud_data[[#This Row],[Transaction_Date]],"MMM")</f>
        <v>Jan</v>
      </c>
      <c r="Q596" t="str">
        <f>IF(financial_fraud_data[[#This Row],[Is_Fraud]]=1,"Yes","No")</f>
        <v>No</v>
      </c>
    </row>
    <row r="597" spans="1:17" x14ac:dyDescent="0.2">
      <c r="A597" t="s">
        <v>985</v>
      </c>
      <c r="B597" t="s">
        <v>986</v>
      </c>
      <c r="C597" s="1">
        <v>45316.791666666664</v>
      </c>
      <c r="D597">
        <v>23724.38</v>
      </c>
      <c r="E597" t="s">
        <v>80</v>
      </c>
      <c r="F597" t="s">
        <v>17</v>
      </c>
      <c r="G597" t="s">
        <v>28</v>
      </c>
      <c r="H597" t="s">
        <v>29</v>
      </c>
      <c r="I597" t="s">
        <v>29</v>
      </c>
      <c r="J597" t="s">
        <v>37</v>
      </c>
      <c r="K597">
        <v>0</v>
      </c>
      <c r="L597">
        <v>3</v>
      </c>
      <c r="M597">
        <v>6.87</v>
      </c>
      <c r="N597">
        <v>1</v>
      </c>
      <c r="O597" t="str">
        <f>IF(financial_fraud_data[[#This Row],[Risk_Score]]&gt;8,"High",IF(financial_fraud_data[[#This Row],[Risk_Score]]&gt;5,"Med","Low"))</f>
        <v>Med</v>
      </c>
      <c r="P597" t="str">
        <f>TEXT(financial_fraud_data[[#This Row],[Transaction_Date]],"MMM")</f>
        <v>Jan</v>
      </c>
      <c r="Q597" t="str">
        <f>IF(financial_fraud_data[[#This Row],[Is_Fraud]]=1,"Yes","No")</f>
        <v>Yes</v>
      </c>
    </row>
    <row r="598" spans="1:17" x14ac:dyDescent="0.2">
      <c r="A598" t="s">
        <v>987</v>
      </c>
      <c r="B598" t="s">
        <v>349</v>
      </c>
      <c r="C598" s="1">
        <v>45316.833333333336</v>
      </c>
      <c r="D598">
        <v>33394.51</v>
      </c>
      <c r="E598" t="s">
        <v>80</v>
      </c>
      <c r="F598" t="s">
        <v>17</v>
      </c>
      <c r="G598" t="s">
        <v>35</v>
      </c>
      <c r="H598" t="s">
        <v>23</v>
      </c>
      <c r="I598" t="s">
        <v>19</v>
      </c>
      <c r="J598" t="s">
        <v>20</v>
      </c>
      <c r="K598">
        <v>0</v>
      </c>
      <c r="L598">
        <v>2</v>
      </c>
      <c r="M598">
        <v>7.34</v>
      </c>
      <c r="N598">
        <v>1</v>
      </c>
      <c r="O598" t="str">
        <f>IF(financial_fraud_data[[#This Row],[Risk_Score]]&gt;8,"High",IF(financial_fraud_data[[#This Row],[Risk_Score]]&gt;5,"Med","Low"))</f>
        <v>Med</v>
      </c>
      <c r="P598" t="str">
        <f>TEXT(financial_fraud_data[[#This Row],[Transaction_Date]],"MMM")</f>
        <v>Jan</v>
      </c>
      <c r="Q598" t="str">
        <f>IF(financial_fraud_data[[#This Row],[Is_Fraud]]=1,"Yes","No")</f>
        <v>Yes</v>
      </c>
    </row>
    <row r="599" spans="1:17" x14ac:dyDescent="0.2">
      <c r="A599" t="s">
        <v>988</v>
      </c>
      <c r="B599" t="s">
        <v>989</v>
      </c>
      <c r="C599" s="1">
        <v>45316.875</v>
      </c>
      <c r="D599">
        <v>8657.3799999999992</v>
      </c>
      <c r="E599" t="s">
        <v>80</v>
      </c>
      <c r="F599" t="s">
        <v>17</v>
      </c>
      <c r="G599" t="s">
        <v>18</v>
      </c>
      <c r="H599" t="s">
        <v>24</v>
      </c>
      <c r="I599" t="s">
        <v>29</v>
      </c>
      <c r="J599" t="s">
        <v>20</v>
      </c>
      <c r="K599">
        <v>0</v>
      </c>
      <c r="L599">
        <v>2</v>
      </c>
      <c r="M599">
        <v>4.87</v>
      </c>
      <c r="N599">
        <v>0</v>
      </c>
      <c r="O599" t="str">
        <f>IF(financial_fraud_data[[#This Row],[Risk_Score]]&gt;8,"High",IF(financial_fraud_data[[#This Row],[Risk_Score]]&gt;5,"Med","Low"))</f>
        <v>Low</v>
      </c>
      <c r="P599" t="str">
        <f>TEXT(financial_fraud_data[[#This Row],[Transaction_Date]],"MMM")</f>
        <v>Jan</v>
      </c>
      <c r="Q599" t="str">
        <f>IF(financial_fraud_data[[#This Row],[Is_Fraud]]=1,"Yes","No")</f>
        <v>No</v>
      </c>
    </row>
    <row r="600" spans="1:17" x14ac:dyDescent="0.2">
      <c r="A600" t="s">
        <v>990</v>
      </c>
      <c r="B600" t="s">
        <v>201</v>
      </c>
      <c r="C600" s="1">
        <v>45316.916666666664</v>
      </c>
      <c r="D600">
        <v>9654.84</v>
      </c>
      <c r="E600" t="s">
        <v>34</v>
      </c>
      <c r="F600" t="s">
        <v>50</v>
      </c>
      <c r="G600" t="s">
        <v>65</v>
      </c>
      <c r="H600" t="s">
        <v>36</v>
      </c>
      <c r="I600" t="s">
        <v>23</v>
      </c>
      <c r="J600" t="s">
        <v>20</v>
      </c>
      <c r="K600">
        <v>0</v>
      </c>
      <c r="L600">
        <v>4</v>
      </c>
      <c r="M600">
        <v>7.97</v>
      </c>
      <c r="N600">
        <v>1</v>
      </c>
      <c r="O600" t="str">
        <f>IF(financial_fraud_data[[#This Row],[Risk_Score]]&gt;8,"High",IF(financial_fraud_data[[#This Row],[Risk_Score]]&gt;5,"Med","Low"))</f>
        <v>Med</v>
      </c>
      <c r="P600" t="str">
        <f>TEXT(financial_fraud_data[[#This Row],[Transaction_Date]],"MMM")</f>
        <v>Jan</v>
      </c>
      <c r="Q600" t="str">
        <f>IF(financial_fraud_data[[#This Row],[Is_Fraud]]=1,"Yes","No")</f>
        <v>Yes</v>
      </c>
    </row>
    <row r="601" spans="1:17" x14ac:dyDescent="0.2">
      <c r="A601" t="s">
        <v>991</v>
      </c>
      <c r="B601" t="s">
        <v>390</v>
      </c>
      <c r="C601" s="1">
        <v>45316.958333333336</v>
      </c>
      <c r="D601">
        <v>2091.39</v>
      </c>
      <c r="E601" t="s">
        <v>34</v>
      </c>
      <c r="F601" t="s">
        <v>27</v>
      </c>
      <c r="G601" t="s">
        <v>28</v>
      </c>
      <c r="H601" t="s">
        <v>23</v>
      </c>
      <c r="I601" t="s">
        <v>24</v>
      </c>
      <c r="J601" t="s">
        <v>20</v>
      </c>
      <c r="K601">
        <v>0</v>
      </c>
      <c r="L601">
        <v>1</v>
      </c>
      <c r="M601">
        <v>2.71</v>
      </c>
      <c r="N601">
        <v>0</v>
      </c>
      <c r="O601" t="str">
        <f>IF(financial_fraud_data[[#This Row],[Risk_Score]]&gt;8,"High",IF(financial_fraud_data[[#This Row],[Risk_Score]]&gt;5,"Med","Low"))</f>
        <v>Low</v>
      </c>
      <c r="P601" t="str">
        <f>TEXT(financial_fraud_data[[#This Row],[Transaction_Date]],"MMM")</f>
        <v>Jan</v>
      </c>
      <c r="Q601" t="str">
        <f>IF(financial_fraud_data[[#This Row],[Is_Fraud]]=1,"Yes","No")</f>
        <v>No</v>
      </c>
    </row>
    <row r="602" spans="1:17" x14ac:dyDescent="0.2">
      <c r="A602" t="s">
        <v>992</v>
      </c>
      <c r="B602" t="s">
        <v>385</v>
      </c>
      <c r="C602" s="1">
        <v>45317</v>
      </c>
      <c r="D602">
        <v>8488.31</v>
      </c>
      <c r="E602" t="s">
        <v>16</v>
      </c>
      <c r="F602" t="s">
        <v>47</v>
      </c>
      <c r="G602" t="s">
        <v>65</v>
      </c>
      <c r="H602" t="s">
        <v>36</v>
      </c>
      <c r="I602" t="s">
        <v>24</v>
      </c>
      <c r="J602" t="s">
        <v>20</v>
      </c>
      <c r="K602">
        <v>1</v>
      </c>
      <c r="L602">
        <v>1</v>
      </c>
      <c r="M602">
        <v>5.35</v>
      </c>
      <c r="N602">
        <v>1</v>
      </c>
      <c r="O602" t="str">
        <f>IF(financial_fraud_data[[#This Row],[Risk_Score]]&gt;8,"High",IF(financial_fraud_data[[#This Row],[Risk_Score]]&gt;5,"Med","Low"))</f>
        <v>Med</v>
      </c>
      <c r="P602" t="str">
        <f>TEXT(financial_fraud_data[[#This Row],[Transaction_Date]],"MMM")</f>
        <v>Jan</v>
      </c>
      <c r="Q602" t="str">
        <f>IF(financial_fraud_data[[#This Row],[Is_Fraud]]=1,"Yes","No")</f>
        <v>Yes</v>
      </c>
    </row>
    <row r="603" spans="1:17" x14ac:dyDescent="0.2">
      <c r="A603" t="s">
        <v>993</v>
      </c>
      <c r="B603" t="s">
        <v>994</v>
      </c>
      <c r="C603" s="1">
        <v>45317.041666666664</v>
      </c>
      <c r="D603">
        <v>13965.59</v>
      </c>
      <c r="E603" t="s">
        <v>42</v>
      </c>
      <c r="F603" t="s">
        <v>27</v>
      </c>
      <c r="G603" t="s">
        <v>18</v>
      </c>
      <c r="H603" t="s">
        <v>19</v>
      </c>
      <c r="I603" t="s">
        <v>19</v>
      </c>
      <c r="J603" t="s">
        <v>37</v>
      </c>
      <c r="K603">
        <v>0</v>
      </c>
      <c r="L603">
        <v>2</v>
      </c>
      <c r="M603">
        <v>4.4000000000000004</v>
      </c>
      <c r="N603">
        <v>0</v>
      </c>
      <c r="O603" t="str">
        <f>IF(financial_fraud_data[[#This Row],[Risk_Score]]&gt;8,"High",IF(financial_fraud_data[[#This Row],[Risk_Score]]&gt;5,"Med","Low"))</f>
        <v>Low</v>
      </c>
      <c r="P603" t="str">
        <f>TEXT(financial_fraud_data[[#This Row],[Transaction_Date]],"MMM")</f>
        <v>Jan</v>
      </c>
      <c r="Q603" t="str">
        <f>IF(financial_fraud_data[[#This Row],[Is_Fraud]]=1,"Yes","No")</f>
        <v>No</v>
      </c>
    </row>
    <row r="604" spans="1:17" x14ac:dyDescent="0.2">
      <c r="A604" t="s">
        <v>995</v>
      </c>
      <c r="B604" t="s">
        <v>742</v>
      </c>
      <c r="C604" s="1">
        <v>45317.083333333336</v>
      </c>
      <c r="D604">
        <v>8891.67</v>
      </c>
      <c r="E604" t="s">
        <v>16</v>
      </c>
      <c r="F604" t="s">
        <v>27</v>
      </c>
      <c r="G604" t="s">
        <v>65</v>
      </c>
      <c r="H604" t="s">
        <v>23</v>
      </c>
      <c r="I604" t="s">
        <v>29</v>
      </c>
      <c r="J604" t="s">
        <v>20</v>
      </c>
      <c r="K604">
        <v>0</v>
      </c>
      <c r="L604">
        <v>0</v>
      </c>
      <c r="M604">
        <v>1.89</v>
      </c>
      <c r="N604">
        <v>0</v>
      </c>
      <c r="O604" t="str">
        <f>IF(financial_fraud_data[[#This Row],[Risk_Score]]&gt;8,"High",IF(financial_fraud_data[[#This Row],[Risk_Score]]&gt;5,"Med","Low"))</f>
        <v>Low</v>
      </c>
      <c r="P604" t="str">
        <f>TEXT(financial_fraud_data[[#This Row],[Transaction_Date]],"MMM")</f>
        <v>Jan</v>
      </c>
      <c r="Q604" t="str">
        <f>IF(financial_fraud_data[[#This Row],[Is_Fraud]]=1,"Yes","No")</f>
        <v>No</v>
      </c>
    </row>
    <row r="605" spans="1:17" x14ac:dyDescent="0.2">
      <c r="A605" t="s">
        <v>996</v>
      </c>
      <c r="B605" t="s">
        <v>823</v>
      </c>
      <c r="C605" s="1">
        <v>45317.125</v>
      </c>
      <c r="D605">
        <v>4480.6899999999996</v>
      </c>
      <c r="E605" t="s">
        <v>42</v>
      </c>
      <c r="F605" t="s">
        <v>17</v>
      </c>
      <c r="G605" t="s">
        <v>65</v>
      </c>
      <c r="H605" t="s">
        <v>29</v>
      </c>
      <c r="I605" t="s">
        <v>23</v>
      </c>
      <c r="J605" t="s">
        <v>37</v>
      </c>
      <c r="K605">
        <v>1</v>
      </c>
      <c r="L605">
        <v>1</v>
      </c>
      <c r="M605">
        <v>4.95</v>
      </c>
      <c r="N605">
        <v>0</v>
      </c>
      <c r="O605" t="str">
        <f>IF(financial_fraud_data[[#This Row],[Risk_Score]]&gt;8,"High",IF(financial_fraud_data[[#This Row],[Risk_Score]]&gt;5,"Med","Low"))</f>
        <v>Low</v>
      </c>
      <c r="P605" t="str">
        <f>TEXT(financial_fraud_data[[#This Row],[Transaction_Date]],"MMM")</f>
        <v>Jan</v>
      </c>
      <c r="Q605" t="str">
        <f>IF(financial_fraud_data[[#This Row],[Is_Fraud]]=1,"Yes","No")</f>
        <v>No</v>
      </c>
    </row>
    <row r="606" spans="1:17" x14ac:dyDescent="0.2">
      <c r="A606" t="s">
        <v>997</v>
      </c>
      <c r="B606" t="s">
        <v>133</v>
      </c>
      <c r="C606" s="1">
        <v>45317.166666666664</v>
      </c>
      <c r="D606">
        <v>6075.76</v>
      </c>
      <c r="E606" t="s">
        <v>80</v>
      </c>
      <c r="F606" t="s">
        <v>47</v>
      </c>
      <c r="G606" t="s">
        <v>56</v>
      </c>
      <c r="H606" t="s">
        <v>19</v>
      </c>
      <c r="I606" t="s">
        <v>29</v>
      </c>
      <c r="J606" t="s">
        <v>20</v>
      </c>
      <c r="K606">
        <v>1</v>
      </c>
      <c r="L606">
        <v>3</v>
      </c>
      <c r="M606">
        <v>8.11</v>
      </c>
      <c r="N606">
        <v>1</v>
      </c>
      <c r="O606" t="str">
        <f>IF(financial_fraud_data[[#This Row],[Risk_Score]]&gt;8,"High",IF(financial_fraud_data[[#This Row],[Risk_Score]]&gt;5,"Med","Low"))</f>
        <v>High</v>
      </c>
      <c r="P606" t="str">
        <f>TEXT(financial_fraud_data[[#This Row],[Transaction_Date]],"MMM")</f>
        <v>Jan</v>
      </c>
      <c r="Q606" t="str">
        <f>IF(financial_fraud_data[[#This Row],[Is_Fraud]]=1,"Yes","No")</f>
        <v>Yes</v>
      </c>
    </row>
    <row r="607" spans="1:17" x14ac:dyDescent="0.2">
      <c r="A607" t="s">
        <v>998</v>
      </c>
      <c r="B607" t="s">
        <v>999</v>
      </c>
      <c r="C607" s="1">
        <v>45317.208333333336</v>
      </c>
      <c r="D607">
        <v>23065.9</v>
      </c>
      <c r="E607" t="s">
        <v>42</v>
      </c>
      <c r="F607" t="s">
        <v>27</v>
      </c>
      <c r="G607" t="s">
        <v>65</v>
      </c>
      <c r="H607" t="s">
        <v>19</v>
      </c>
      <c r="I607" t="s">
        <v>36</v>
      </c>
      <c r="J607" t="s">
        <v>20</v>
      </c>
      <c r="K607">
        <v>0</v>
      </c>
      <c r="L607">
        <v>3</v>
      </c>
      <c r="M607">
        <v>7.81</v>
      </c>
      <c r="N607">
        <v>1</v>
      </c>
      <c r="O607" t="str">
        <f>IF(financial_fraud_data[[#This Row],[Risk_Score]]&gt;8,"High",IF(financial_fraud_data[[#This Row],[Risk_Score]]&gt;5,"Med","Low"))</f>
        <v>Med</v>
      </c>
      <c r="P607" t="str">
        <f>TEXT(financial_fraud_data[[#This Row],[Transaction_Date]],"MMM")</f>
        <v>Jan</v>
      </c>
      <c r="Q607" t="str">
        <f>IF(financial_fraud_data[[#This Row],[Is_Fraud]]=1,"Yes","No")</f>
        <v>Yes</v>
      </c>
    </row>
    <row r="608" spans="1:17" x14ac:dyDescent="0.2">
      <c r="A608" t="s">
        <v>1000</v>
      </c>
      <c r="B608" t="s">
        <v>1001</v>
      </c>
      <c r="C608" s="1">
        <v>45317.25</v>
      </c>
      <c r="D608">
        <v>10356.370000000001</v>
      </c>
      <c r="E608" t="s">
        <v>16</v>
      </c>
      <c r="F608" t="s">
        <v>27</v>
      </c>
      <c r="G608" t="s">
        <v>35</v>
      </c>
      <c r="H608" t="s">
        <v>36</v>
      </c>
      <c r="I608" t="s">
        <v>29</v>
      </c>
      <c r="J608" t="s">
        <v>51</v>
      </c>
      <c r="K608">
        <v>0</v>
      </c>
      <c r="L608">
        <v>1</v>
      </c>
      <c r="M608">
        <v>3.54</v>
      </c>
      <c r="N608">
        <v>0</v>
      </c>
      <c r="O608" t="str">
        <f>IF(financial_fraud_data[[#This Row],[Risk_Score]]&gt;8,"High",IF(financial_fraud_data[[#This Row],[Risk_Score]]&gt;5,"Med","Low"))</f>
        <v>Low</v>
      </c>
      <c r="P608" t="str">
        <f>TEXT(financial_fraud_data[[#This Row],[Transaction_Date]],"MMM")</f>
        <v>Jan</v>
      </c>
      <c r="Q608" t="str">
        <f>IF(financial_fraud_data[[#This Row],[Is_Fraud]]=1,"Yes","No")</f>
        <v>No</v>
      </c>
    </row>
    <row r="609" spans="1:17" x14ac:dyDescent="0.2">
      <c r="A609" t="s">
        <v>1002</v>
      </c>
      <c r="B609" t="s">
        <v>1003</v>
      </c>
      <c r="C609" s="1">
        <v>45317.291666666664</v>
      </c>
      <c r="D609">
        <v>18245.28</v>
      </c>
      <c r="E609" t="s">
        <v>16</v>
      </c>
      <c r="F609" t="s">
        <v>47</v>
      </c>
      <c r="G609" t="s">
        <v>28</v>
      </c>
      <c r="H609" t="s">
        <v>19</v>
      </c>
      <c r="I609" t="s">
        <v>19</v>
      </c>
      <c r="J609" t="s">
        <v>37</v>
      </c>
      <c r="K609">
        <v>0</v>
      </c>
      <c r="L609">
        <v>1</v>
      </c>
      <c r="M609">
        <v>3.32</v>
      </c>
      <c r="N609">
        <v>0</v>
      </c>
      <c r="O609" t="str">
        <f>IF(financial_fraud_data[[#This Row],[Risk_Score]]&gt;8,"High",IF(financial_fraud_data[[#This Row],[Risk_Score]]&gt;5,"Med","Low"))</f>
        <v>Low</v>
      </c>
      <c r="P609" t="str">
        <f>TEXT(financial_fraud_data[[#This Row],[Transaction_Date]],"MMM")</f>
        <v>Jan</v>
      </c>
      <c r="Q609" t="str">
        <f>IF(financial_fraud_data[[#This Row],[Is_Fraud]]=1,"Yes","No")</f>
        <v>No</v>
      </c>
    </row>
    <row r="610" spans="1:17" x14ac:dyDescent="0.2">
      <c r="A610" t="s">
        <v>1004</v>
      </c>
      <c r="B610" t="s">
        <v>367</v>
      </c>
      <c r="C610" s="1">
        <v>45317.333333333336</v>
      </c>
      <c r="D610">
        <v>25195.69</v>
      </c>
      <c r="E610" t="s">
        <v>42</v>
      </c>
      <c r="F610" t="s">
        <v>17</v>
      </c>
      <c r="G610" t="s">
        <v>56</v>
      </c>
      <c r="H610" t="s">
        <v>24</v>
      </c>
      <c r="I610" t="s">
        <v>29</v>
      </c>
      <c r="J610" t="s">
        <v>20</v>
      </c>
      <c r="K610">
        <v>0</v>
      </c>
      <c r="L610">
        <v>2</v>
      </c>
      <c r="M610">
        <v>6.52</v>
      </c>
      <c r="N610">
        <v>1</v>
      </c>
      <c r="O610" t="str">
        <f>IF(financial_fraud_data[[#This Row],[Risk_Score]]&gt;8,"High",IF(financial_fraud_data[[#This Row],[Risk_Score]]&gt;5,"Med","Low"))</f>
        <v>Med</v>
      </c>
      <c r="P610" t="str">
        <f>TEXT(financial_fraud_data[[#This Row],[Transaction_Date]],"MMM")</f>
        <v>Jan</v>
      </c>
      <c r="Q610" t="str">
        <f>IF(financial_fraud_data[[#This Row],[Is_Fraud]]=1,"Yes","No")</f>
        <v>Yes</v>
      </c>
    </row>
    <row r="611" spans="1:17" x14ac:dyDescent="0.2">
      <c r="A611" t="s">
        <v>1005</v>
      </c>
      <c r="B611" t="s">
        <v>409</v>
      </c>
      <c r="C611" s="1">
        <v>45317.375</v>
      </c>
      <c r="D611">
        <v>34535.22</v>
      </c>
      <c r="E611" t="s">
        <v>34</v>
      </c>
      <c r="F611" t="s">
        <v>27</v>
      </c>
      <c r="G611" t="s">
        <v>28</v>
      </c>
      <c r="H611" t="s">
        <v>23</v>
      </c>
      <c r="I611" t="s">
        <v>24</v>
      </c>
      <c r="J611" t="s">
        <v>20</v>
      </c>
      <c r="K611">
        <v>0</v>
      </c>
      <c r="L611">
        <v>4</v>
      </c>
      <c r="M611">
        <v>10.45</v>
      </c>
      <c r="N611">
        <v>1</v>
      </c>
      <c r="O611" t="str">
        <f>IF(financial_fraud_data[[#This Row],[Risk_Score]]&gt;8,"High",IF(financial_fraud_data[[#This Row],[Risk_Score]]&gt;5,"Med","Low"))</f>
        <v>High</v>
      </c>
      <c r="P611" t="str">
        <f>TEXT(financial_fraud_data[[#This Row],[Transaction_Date]],"MMM")</f>
        <v>Jan</v>
      </c>
      <c r="Q611" t="str">
        <f>IF(financial_fraud_data[[#This Row],[Is_Fraud]]=1,"Yes","No")</f>
        <v>Yes</v>
      </c>
    </row>
    <row r="612" spans="1:17" x14ac:dyDescent="0.2">
      <c r="A612" t="s">
        <v>1006</v>
      </c>
      <c r="B612" t="s">
        <v>1007</v>
      </c>
      <c r="C612" s="1">
        <v>45317.416666666664</v>
      </c>
      <c r="D612">
        <v>2013.64</v>
      </c>
      <c r="E612" t="s">
        <v>80</v>
      </c>
      <c r="F612" t="s">
        <v>50</v>
      </c>
      <c r="G612" t="s">
        <v>28</v>
      </c>
      <c r="H612" t="s">
        <v>24</v>
      </c>
      <c r="I612" t="s">
        <v>23</v>
      </c>
      <c r="J612" t="s">
        <v>20</v>
      </c>
      <c r="K612">
        <v>0</v>
      </c>
      <c r="L612">
        <v>2</v>
      </c>
      <c r="M612">
        <v>4.2</v>
      </c>
      <c r="N612">
        <v>0</v>
      </c>
      <c r="O612" t="str">
        <f>IF(financial_fraud_data[[#This Row],[Risk_Score]]&gt;8,"High",IF(financial_fraud_data[[#This Row],[Risk_Score]]&gt;5,"Med","Low"))</f>
        <v>Low</v>
      </c>
      <c r="P612" t="str">
        <f>TEXT(financial_fraud_data[[#This Row],[Transaction_Date]],"MMM")</f>
        <v>Jan</v>
      </c>
      <c r="Q612" t="str">
        <f>IF(financial_fraud_data[[#This Row],[Is_Fraud]]=1,"Yes","No")</f>
        <v>No</v>
      </c>
    </row>
    <row r="613" spans="1:17" x14ac:dyDescent="0.2">
      <c r="A613" t="s">
        <v>1008</v>
      </c>
      <c r="B613" t="s">
        <v>1009</v>
      </c>
      <c r="C613" s="1">
        <v>45317.458333333336</v>
      </c>
      <c r="D613">
        <v>39980.550000000003</v>
      </c>
      <c r="E613" t="s">
        <v>80</v>
      </c>
      <c r="F613" t="s">
        <v>27</v>
      </c>
      <c r="G613" t="s">
        <v>18</v>
      </c>
      <c r="H613" t="s">
        <v>36</v>
      </c>
      <c r="I613" t="s">
        <v>19</v>
      </c>
      <c r="J613" t="s">
        <v>51</v>
      </c>
      <c r="K613">
        <v>0</v>
      </c>
      <c r="L613">
        <v>4</v>
      </c>
      <c r="M613">
        <v>11</v>
      </c>
      <c r="N613">
        <v>1</v>
      </c>
      <c r="O613" t="str">
        <f>IF(financial_fraud_data[[#This Row],[Risk_Score]]&gt;8,"High",IF(financial_fraud_data[[#This Row],[Risk_Score]]&gt;5,"Med","Low"))</f>
        <v>High</v>
      </c>
      <c r="P613" t="str">
        <f>TEXT(financial_fraud_data[[#This Row],[Transaction_Date]],"MMM")</f>
        <v>Jan</v>
      </c>
      <c r="Q613" t="str">
        <f>IF(financial_fraud_data[[#This Row],[Is_Fraud]]=1,"Yes","No")</f>
        <v>Yes</v>
      </c>
    </row>
    <row r="614" spans="1:17" x14ac:dyDescent="0.2">
      <c r="A614" t="s">
        <v>1010</v>
      </c>
      <c r="B614" t="s">
        <v>1011</v>
      </c>
      <c r="C614" s="1">
        <v>45317.5</v>
      </c>
      <c r="D614">
        <v>31413.62</v>
      </c>
      <c r="E614" t="s">
        <v>16</v>
      </c>
      <c r="F614" t="s">
        <v>50</v>
      </c>
      <c r="G614" t="s">
        <v>18</v>
      </c>
      <c r="H614" t="s">
        <v>36</v>
      </c>
      <c r="I614" t="s">
        <v>36</v>
      </c>
      <c r="J614" t="s">
        <v>37</v>
      </c>
      <c r="K614">
        <v>0</v>
      </c>
      <c r="L614">
        <v>3</v>
      </c>
      <c r="M614">
        <v>7.64</v>
      </c>
      <c r="N614">
        <v>1</v>
      </c>
      <c r="O614" t="str">
        <f>IF(financial_fraud_data[[#This Row],[Risk_Score]]&gt;8,"High",IF(financial_fraud_data[[#This Row],[Risk_Score]]&gt;5,"Med","Low"))</f>
        <v>Med</v>
      </c>
      <c r="P614" t="str">
        <f>TEXT(financial_fraud_data[[#This Row],[Transaction_Date]],"MMM")</f>
        <v>Jan</v>
      </c>
      <c r="Q614" t="str">
        <f>IF(financial_fraud_data[[#This Row],[Is_Fraud]]=1,"Yes","No")</f>
        <v>Yes</v>
      </c>
    </row>
    <row r="615" spans="1:17" x14ac:dyDescent="0.2">
      <c r="A615" t="s">
        <v>1012</v>
      </c>
      <c r="B615" t="s">
        <v>82</v>
      </c>
      <c r="C615" s="1">
        <v>45317.541666666664</v>
      </c>
      <c r="D615">
        <v>4133.8599999999997</v>
      </c>
      <c r="E615" t="s">
        <v>34</v>
      </c>
      <c r="F615" t="s">
        <v>17</v>
      </c>
      <c r="G615" t="s">
        <v>56</v>
      </c>
      <c r="H615" t="s">
        <v>23</v>
      </c>
      <c r="I615" t="s">
        <v>23</v>
      </c>
      <c r="J615" t="s">
        <v>20</v>
      </c>
      <c r="K615">
        <v>0</v>
      </c>
      <c r="L615">
        <v>4</v>
      </c>
      <c r="M615">
        <v>6.41</v>
      </c>
      <c r="N615">
        <v>1</v>
      </c>
      <c r="O615" t="str">
        <f>IF(financial_fraud_data[[#This Row],[Risk_Score]]&gt;8,"High",IF(financial_fraud_data[[#This Row],[Risk_Score]]&gt;5,"Med","Low"))</f>
        <v>Med</v>
      </c>
      <c r="P615" t="str">
        <f>TEXT(financial_fraud_data[[#This Row],[Transaction_Date]],"MMM")</f>
        <v>Jan</v>
      </c>
      <c r="Q615" t="str">
        <f>IF(financial_fraud_data[[#This Row],[Is_Fraud]]=1,"Yes","No")</f>
        <v>Yes</v>
      </c>
    </row>
    <row r="616" spans="1:17" x14ac:dyDescent="0.2">
      <c r="A616" t="s">
        <v>1013</v>
      </c>
      <c r="B616" t="s">
        <v>98</v>
      </c>
      <c r="C616" s="1">
        <v>45317.583333333336</v>
      </c>
      <c r="D616">
        <v>43685.25</v>
      </c>
      <c r="E616" t="s">
        <v>42</v>
      </c>
      <c r="F616" t="s">
        <v>27</v>
      </c>
      <c r="G616" t="s">
        <v>18</v>
      </c>
      <c r="H616" t="s">
        <v>19</v>
      </c>
      <c r="I616" t="s">
        <v>23</v>
      </c>
      <c r="J616" t="s">
        <v>20</v>
      </c>
      <c r="K616">
        <v>0</v>
      </c>
      <c r="L616">
        <v>2</v>
      </c>
      <c r="M616">
        <v>8.3699999999999992</v>
      </c>
      <c r="N616">
        <v>1</v>
      </c>
      <c r="O616" t="str">
        <f>IF(financial_fraud_data[[#This Row],[Risk_Score]]&gt;8,"High",IF(financial_fraud_data[[#This Row],[Risk_Score]]&gt;5,"Med","Low"))</f>
        <v>High</v>
      </c>
      <c r="P616" t="str">
        <f>TEXT(financial_fraud_data[[#This Row],[Transaction_Date]],"MMM")</f>
        <v>Jan</v>
      </c>
      <c r="Q616" t="str">
        <f>IF(financial_fraud_data[[#This Row],[Is_Fraud]]=1,"Yes","No")</f>
        <v>Yes</v>
      </c>
    </row>
    <row r="617" spans="1:17" x14ac:dyDescent="0.2">
      <c r="A617" t="s">
        <v>1014</v>
      </c>
      <c r="B617" t="s">
        <v>282</v>
      </c>
      <c r="C617" s="1">
        <v>45317.625</v>
      </c>
      <c r="D617">
        <v>46047.58</v>
      </c>
      <c r="E617" t="s">
        <v>80</v>
      </c>
      <c r="F617" t="s">
        <v>47</v>
      </c>
      <c r="G617" t="s">
        <v>18</v>
      </c>
      <c r="H617" t="s">
        <v>29</v>
      </c>
      <c r="I617" t="s">
        <v>24</v>
      </c>
      <c r="J617" t="s">
        <v>20</v>
      </c>
      <c r="K617">
        <v>0</v>
      </c>
      <c r="L617">
        <v>1</v>
      </c>
      <c r="M617">
        <v>7.1</v>
      </c>
      <c r="N617">
        <v>1</v>
      </c>
      <c r="O617" t="str">
        <f>IF(financial_fraud_data[[#This Row],[Risk_Score]]&gt;8,"High",IF(financial_fraud_data[[#This Row],[Risk_Score]]&gt;5,"Med","Low"))</f>
        <v>Med</v>
      </c>
      <c r="P617" t="str">
        <f>TEXT(financial_fraud_data[[#This Row],[Transaction_Date]],"MMM")</f>
        <v>Jan</v>
      </c>
      <c r="Q617" t="str">
        <f>IF(financial_fraud_data[[#This Row],[Is_Fraud]]=1,"Yes","No")</f>
        <v>Yes</v>
      </c>
    </row>
    <row r="618" spans="1:17" x14ac:dyDescent="0.2">
      <c r="A618" t="s">
        <v>1015</v>
      </c>
      <c r="B618" t="s">
        <v>560</v>
      </c>
      <c r="C618" s="1">
        <v>45317.666666666664</v>
      </c>
      <c r="D618">
        <v>3100.84</v>
      </c>
      <c r="E618" t="s">
        <v>34</v>
      </c>
      <c r="F618" t="s">
        <v>47</v>
      </c>
      <c r="G618" t="s">
        <v>18</v>
      </c>
      <c r="H618" t="s">
        <v>36</v>
      </c>
      <c r="I618" t="s">
        <v>24</v>
      </c>
      <c r="J618" t="s">
        <v>51</v>
      </c>
      <c r="K618">
        <v>0</v>
      </c>
      <c r="L618">
        <v>4</v>
      </c>
      <c r="M618">
        <v>7.31</v>
      </c>
      <c r="N618">
        <v>1</v>
      </c>
      <c r="O618" t="str">
        <f>IF(financial_fraud_data[[#This Row],[Risk_Score]]&gt;8,"High",IF(financial_fraud_data[[#This Row],[Risk_Score]]&gt;5,"Med","Low"))</f>
        <v>Med</v>
      </c>
      <c r="P618" t="str">
        <f>TEXT(financial_fraud_data[[#This Row],[Transaction_Date]],"MMM")</f>
        <v>Jan</v>
      </c>
      <c r="Q618" t="str">
        <f>IF(financial_fraud_data[[#This Row],[Is_Fraud]]=1,"Yes","No")</f>
        <v>Yes</v>
      </c>
    </row>
    <row r="619" spans="1:17" x14ac:dyDescent="0.2">
      <c r="A619" t="s">
        <v>1016</v>
      </c>
      <c r="B619" t="s">
        <v>1017</v>
      </c>
      <c r="C619" s="1">
        <v>45317.708333333336</v>
      </c>
      <c r="D619">
        <v>13880.04</v>
      </c>
      <c r="E619" t="s">
        <v>80</v>
      </c>
      <c r="F619" t="s">
        <v>27</v>
      </c>
      <c r="G619" t="s">
        <v>28</v>
      </c>
      <c r="H619" t="s">
        <v>23</v>
      </c>
      <c r="I619" t="s">
        <v>24</v>
      </c>
      <c r="J619" t="s">
        <v>20</v>
      </c>
      <c r="K619">
        <v>0</v>
      </c>
      <c r="L619">
        <v>2</v>
      </c>
      <c r="M619">
        <v>5.39</v>
      </c>
      <c r="N619">
        <v>1</v>
      </c>
      <c r="O619" t="str">
        <f>IF(financial_fraud_data[[#This Row],[Risk_Score]]&gt;8,"High",IF(financial_fraud_data[[#This Row],[Risk_Score]]&gt;5,"Med","Low"))</f>
        <v>Med</v>
      </c>
      <c r="P619" t="str">
        <f>TEXT(financial_fraud_data[[#This Row],[Transaction_Date]],"MMM")</f>
        <v>Jan</v>
      </c>
      <c r="Q619" t="str">
        <f>IF(financial_fraud_data[[#This Row],[Is_Fraud]]=1,"Yes","No")</f>
        <v>Yes</v>
      </c>
    </row>
    <row r="620" spans="1:17" x14ac:dyDescent="0.2">
      <c r="A620" t="s">
        <v>1018</v>
      </c>
      <c r="B620" t="s">
        <v>593</v>
      </c>
      <c r="C620" s="1">
        <v>45317.75</v>
      </c>
      <c r="D620">
        <v>40319.75</v>
      </c>
      <c r="E620" t="s">
        <v>34</v>
      </c>
      <c r="F620" t="s">
        <v>17</v>
      </c>
      <c r="G620" t="s">
        <v>56</v>
      </c>
      <c r="H620" t="s">
        <v>29</v>
      </c>
      <c r="I620" t="s">
        <v>19</v>
      </c>
      <c r="J620" t="s">
        <v>37</v>
      </c>
      <c r="K620">
        <v>0</v>
      </c>
      <c r="L620">
        <v>3</v>
      </c>
      <c r="M620">
        <v>9.5299999999999994</v>
      </c>
      <c r="N620">
        <v>1</v>
      </c>
      <c r="O620" t="str">
        <f>IF(financial_fraud_data[[#This Row],[Risk_Score]]&gt;8,"High",IF(financial_fraud_data[[#This Row],[Risk_Score]]&gt;5,"Med","Low"))</f>
        <v>High</v>
      </c>
      <c r="P620" t="str">
        <f>TEXT(financial_fraud_data[[#This Row],[Transaction_Date]],"MMM")</f>
        <v>Jan</v>
      </c>
      <c r="Q620" t="str">
        <f>IF(financial_fraud_data[[#This Row],[Is_Fraud]]=1,"Yes","No")</f>
        <v>Yes</v>
      </c>
    </row>
    <row r="621" spans="1:17" x14ac:dyDescent="0.2">
      <c r="A621" t="s">
        <v>1019</v>
      </c>
      <c r="B621" t="s">
        <v>104</v>
      </c>
      <c r="C621" s="1">
        <v>45317.791666666664</v>
      </c>
      <c r="D621">
        <v>37425.57</v>
      </c>
      <c r="E621" t="s">
        <v>34</v>
      </c>
      <c r="F621" t="s">
        <v>17</v>
      </c>
      <c r="G621" t="s">
        <v>28</v>
      </c>
      <c r="H621" t="s">
        <v>19</v>
      </c>
      <c r="I621" t="s">
        <v>29</v>
      </c>
      <c r="J621" t="s">
        <v>37</v>
      </c>
      <c r="K621">
        <v>0</v>
      </c>
      <c r="L621">
        <v>4</v>
      </c>
      <c r="M621">
        <v>10.74</v>
      </c>
      <c r="N621">
        <v>1</v>
      </c>
      <c r="O621" t="str">
        <f>IF(financial_fraud_data[[#This Row],[Risk_Score]]&gt;8,"High",IF(financial_fraud_data[[#This Row],[Risk_Score]]&gt;5,"Med","Low"))</f>
        <v>High</v>
      </c>
      <c r="P621" t="str">
        <f>TEXT(financial_fraud_data[[#This Row],[Transaction_Date]],"MMM")</f>
        <v>Jan</v>
      </c>
      <c r="Q621" t="str">
        <f>IF(financial_fraud_data[[#This Row],[Is_Fraud]]=1,"Yes","No")</f>
        <v>Yes</v>
      </c>
    </row>
    <row r="622" spans="1:17" x14ac:dyDescent="0.2">
      <c r="A622" t="s">
        <v>1020</v>
      </c>
      <c r="B622" t="s">
        <v>872</v>
      </c>
      <c r="C622" s="1">
        <v>45317.833333333336</v>
      </c>
      <c r="D622">
        <v>9266.82</v>
      </c>
      <c r="E622" t="s">
        <v>16</v>
      </c>
      <c r="F622" t="s">
        <v>47</v>
      </c>
      <c r="G622" t="s">
        <v>35</v>
      </c>
      <c r="H622" t="s">
        <v>36</v>
      </c>
      <c r="I622" t="s">
        <v>23</v>
      </c>
      <c r="J622" t="s">
        <v>37</v>
      </c>
      <c r="K622">
        <v>0</v>
      </c>
      <c r="L622">
        <v>3</v>
      </c>
      <c r="M622">
        <v>6.43</v>
      </c>
      <c r="N622">
        <v>1</v>
      </c>
      <c r="O622" t="str">
        <f>IF(financial_fraud_data[[#This Row],[Risk_Score]]&gt;8,"High",IF(financial_fraud_data[[#This Row],[Risk_Score]]&gt;5,"Med","Low"))</f>
        <v>Med</v>
      </c>
      <c r="P622" t="str">
        <f>TEXT(financial_fraud_data[[#This Row],[Transaction_Date]],"MMM")</f>
        <v>Jan</v>
      </c>
      <c r="Q622" t="str">
        <f>IF(financial_fraud_data[[#This Row],[Is_Fraud]]=1,"Yes","No")</f>
        <v>Yes</v>
      </c>
    </row>
    <row r="623" spans="1:17" x14ac:dyDescent="0.2">
      <c r="A623" t="s">
        <v>1021</v>
      </c>
      <c r="B623" t="s">
        <v>572</v>
      </c>
      <c r="C623" s="1">
        <v>45317.875</v>
      </c>
      <c r="D623">
        <v>10507</v>
      </c>
      <c r="E623" t="s">
        <v>80</v>
      </c>
      <c r="F623" t="s">
        <v>27</v>
      </c>
      <c r="G623" t="s">
        <v>28</v>
      </c>
      <c r="H623" t="s">
        <v>23</v>
      </c>
      <c r="I623" t="s">
        <v>29</v>
      </c>
      <c r="J623" t="s">
        <v>37</v>
      </c>
      <c r="K623">
        <v>0</v>
      </c>
      <c r="L623">
        <v>3</v>
      </c>
      <c r="M623">
        <v>6.55</v>
      </c>
      <c r="N623">
        <v>1</v>
      </c>
      <c r="O623" t="str">
        <f>IF(financial_fraud_data[[#This Row],[Risk_Score]]&gt;8,"High",IF(financial_fraud_data[[#This Row],[Risk_Score]]&gt;5,"Med","Low"))</f>
        <v>Med</v>
      </c>
      <c r="P623" t="str">
        <f>TEXT(financial_fraud_data[[#This Row],[Transaction_Date]],"MMM")</f>
        <v>Jan</v>
      </c>
      <c r="Q623" t="str">
        <f>IF(financial_fraud_data[[#This Row],[Is_Fraud]]=1,"Yes","No")</f>
        <v>Yes</v>
      </c>
    </row>
    <row r="624" spans="1:17" x14ac:dyDescent="0.2">
      <c r="A624" t="s">
        <v>1022</v>
      </c>
      <c r="B624" t="s">
        <v>168</v>
      </c>
      <c r="C624" s="1">
        <v>45317.916666666664</v>
      </c>
      <c r="D624">
        <v>18555.080000000002</v>
      </c>
      <c r="E624" t="s">
        <v>42</v>
      </c>
      <c r="F624" t="s">
        <v>17</v>
      </c>
      <c r="G624" t="s">
        <v>35</v>
      </c>
      <c r="H624" t="s">
        <v>23</v>
      </c>
      <c r="I624" t="s">
        <v>29</v>
      </c>
      <c r="J624" t="s">
        <v>20</v>
      </c>
      <c r="K624">
        <v>0</v>
      </c>
      <c r="L624">
        <v>0</v>
      </c>
      <c r="M624">
        <v>2.86</v>
      </c>
      <c r="N624">
        <v>0</v>
      </c>
      <c r="O624" t="str">
        <f>IF(financial_fraud_data[[#This Row],[Risk_Score]]&gt;8,"High",IF(financial_fraud_data[[#This Row],[Risk_Score]]&gt;5,"Med","Low"))</f>
        <v>Low</v>
      </c>
      <c r="P624" t="str">
        <f>TEXT(financial_fraud_data[[#This Row],[Transaction_Date]],"MMM")</f>
        <v>Jan</v>
      </c>
      <c r="Q624" t="str">
        <f>IF(financial_fraud_data[[#This Row],[Is_Fraud]]=1,"Yes","No")</f>
        <v>No</v>
      </c>
    </row>
    <row r="625" spans="1:17" x14ac:dyDescent="0.2">
      <c r="A625" t="s">
        <v>1023</v>
      </c>
      <c r="B625" t="s">
        <v>1024</v>
      </c>
      <c r="C625" s="1">
        <v>45317.958333333336</v>
      </c>
      <c r="D625">
        <v>24251.919999999998</v>
      </c>
      <c r="E625" t="s">
        <v>16</v>
      </c>
      <c r="F625" t="s">
        <v>47</v>
      </c>
      <c r="G625" t="s">
        <v>65</v>
      </c>
      <c r="H625" t="s">
        <v>23</v>
      </c>
      <c r="I625" t="s">
        <v>24</v>
      </c>
      <c r="J625" t="s">
        <v>51</v>
      </c>
      <c r="K625">
        <v>0</v>
      </c>
      <c r="L625">
        <v>4</v>
      </c>
      <c r="M625">
        <v>9.43</v>
      </c>
      <c r="N625">
        <v>1</v>
      </c>
      <c r="O625" t="str">
        <f>IF(financial_fraud_data[[#This Row],[Risk_Score]]&gt;8,"High",IF(financial_fraud_data[[#This Row],[Risk_Score]]&gt;5,"Med","Low"))</f>
        <v>High</v>
      </c>
      <c r="P625" t="str">
        <f>TEXT(financial_fraud_data[[#This Row],[Transaction_Date]],"MMM")</f>
        <v>Jan</v>
      </c>
      <c r="Q625" t="str">
        <f>IF(financial_fraud_data[[#This Row],[Is_Fraud]]=1,"Yes","No")</f>
        <v>Yes</v>
      </c>
    </row>
    <row r="626" spans="1:17" x14ac:dyDescent="0.2">
      <c r="A626" t="s">
        <v>1025</v>
      </c>
      <c r="B626" t="s">
        <v>545</v>
      </c>
      <c r="C626" s="1">
        <v>45318</v>
      </c>
      <c r="D626">
        <v>30931.83</v>
      </c>
      <c r="E626" t="s">
        <v>16</v>
      </c>
      <c r="F626" t="s">
        <v>50</v>
      </c>
      <c r="G626" t="s">
        <v>65</v>
      </c>
      <c r="H626" t="s">
        <v>36</v>
      </c>
      <c r="I626" t="s">
        <v>29</v>
      </c>
      <c r="J626" t="s">
        <v>51</v>
      </c>
      <c r="K626">
        <v>0</v>
      </c>
      <c r="L626">
        <v>2</v>
      </c>
      <c r="M626">
        <v>7.09</v>
      </c>
      <c r="N626">
        <v>1</v>
      </c>
      <c r="O626" t="str">
        <f>IF(financial_fraud_data[[#This Row],[Risk_Score]]&gt;8,"High",IF(financial_fraud_data[[#This Row],[Risk_Score]]&gt;5,"Med","Low"))</f>
        <v>Med</v>
      </c>
      <c r="P626" t="str">
        <f>TEXT(financial_fraud_data[[#This Row],[Transaction_Date]],"MMM")</f>
        <v>Jan</v>
      </c>
      <c r="Q626" t="str">
        <f>IF(financial_fraud_data[[#This Row],[Is_Fraud]]=1,"Yes","No")</f>
        <v>Yes</v>
      </c>
    </row>
    <row r="627" spans="1:17" x14ac:dyDescent="0.2">
      <c r="A627" t="s">
        <v>1026</v>
      </c>
      <c r="B627" t="s">
        <v>1027</v>
      </c>
      <c r="C627" s="1">
        <v>45318.041666666664</v>
      </c>
      <c r="D627">
        <v>18477.240000000002</v>
      </c>
      <c r="E627" t="s">
        <v>42</v>
      </c>
      <c r="F627" t="s">
        <v>27</v>
      </c>
      <c r="G627" t="s">
        <v>35</v>
      </c>
      <c r="H627" t="s">
        <v>29</v>
      </c>
      <c r="I627" t="s">
        <v>23</v>
      </c>
      <c r="J627" t="s">
        <v>51</v>
      </c>
      <c r="K627">
        <v>0</v>
      </c>
      <c r="L627">
        <v>4</v>
      </c>
      <c r="M627">
        <v>8.85</v>
      </c>
      <c r="N627">
        <v>1</v>
      </c>
      <c r="O627" t="str">
        <f>IF(financial_fraud_data[[#This Row],[Risk_Score]]&gt;8,"High",IF(financial_fraud_data[[#This Row],[Risk_Score]]&gt;5,"Med","Low"))</f>
        <v>High</v>
      </c>
      <c r="P627" t="str">
        <f>TEXT(financial_fraud_data[[#This Row],[Transaction_Date]],"MMM")</f>
        <v>Jan</v>
      </c>
      <c r="Q627" t="str">
        <f>IF(financial_fraud_data[[#This Row],[Is_Fraud]]=1,"Yes","No")</f>
        <v>Yes</v>
      </c>
    </row>
    <row r="628" spans="1:17" x14ac:dyDescent="0.2">
      <c r="A628" t="s">
        <v>1028</v>
      </c>
      <c r="B628" t="s">
        <v>608</v>
      </c>
      <c r="C628" s="1">
        <v>45318.083333333336</v>
      </c>
      <c r="D628">
        <v>23153.61</v>
      </c>
      <c r="E628" t="s">
        <v>16</v>
      </c>
      <c r="F628" t="s">
        <v>50</v>
      </c>
      <c r="G628" t="s">
        <v>35</v>
      </c>
      <c r="H628" t="s">
        <v>23</v>
      </c>
      <c r="I628" t="s">
        <v>23</v>
      </c>
      <c r="J628" t="s">
        <v>20</v>
      </c>
      <c r="K628">
        <v>0</v>
      </c>
      <c r="L628">
        <v>4</v>
      </c>
      <c r="M628">
        <v>8.32</v>
      </c>
      <c r="N628">
        <v>1</v>
      </c>
      <c r="O628" t="str">
        <f>IF(financial_fraud_data[[#This Row],[Risk_Score]]&gt;8,"High",IF(financial_fraud_data[[#This Row],[Risk_Score]]&gt;5,"Med","Low"))</f>
        <v>High</v>
      </c>
      <c r="P628" t="str">
        <f>TEXT(financial_fraud_data[[#This Row],[Transaction_Date]],"MMM")</f>
        <v>Jan</v>
      </c>
      <c r="Q628" t="str">
        <f>IF(financial_fraud_data[[#This Row],[Is_Fraud]]=1,"Yes","No")</f>
        <v>Yes</v>
      </c>
    </row>
    <row r="629" spans="1:17" x14ac:dyDescent="0.2">
      <c r="A629" t="s">
        <v>1029</v>
      </c>
      <c r="B629" t="s">
        <v>1030</v>
      </c>
      <c r="C629" s="1">
        <v>45318.125</v>
      </c>
      <c r="D629">
        <v>37386.17</v>
      </c>
      <c r="E629" t="s">
        <v>34</v>
      </c>
      <c r="F629" t="s">
        <v>50</v>
      </c>
      <c r="G629" t="s">
        <v>28</v>
      </c>
      <c r="H629" t="s">
        <v>19</v>
      </c>
      <c r="I629" t="s">
        <v>36</v>
      </c>
      <c r="J629" t="s">
        <v>51</v>
      </c>
      <c r="K629">
        <v>0</v>
      </c>
      <c r="L629">
        <v>3</v>
      </c>
      <c r="M629">
        <v>9.24</v>
      </c>
      <c r="N629">
        <v>1</v>
      </c>
      <c r="O629" t="str">
        <f>IF(financial_fraud_data[[#This Row],[Risk_Score]]&gt;8,"High",IF(financial_fraud_data[[#This Row],[Risk_Score]]&gt;5,"Med","Low"))</f>
        <v>High</v>
      </c>
      <c r="P629" t="str">
        <f>TEXT(financial_fraud_data[[#This Row],[Transaction_Date]],"MMM")</f>
        <v>Jan</v>
      </c>
      <c r="Q629" t="str">
        <f>IF(financial_fraud_data[[#This Row],[Is_Fraud]]=1,"Yes","No")</f>
        <v>Yes</v>
      </c>
    </row>
    <row r="630" spans="1:17" x14ac:dyDescent="0.2">
      <c r="A630" t="s">
        <v>1031</v>
      </c>
      <c r="B630" t="s">
        <v>253</v>
      </c>
      <c r="C630" s="1">
        <v>45318.166666666664</v>
      </c>
      <c r="D630">
        <v>1882.33</v>
      </c>
      <c r="E630" t="s">
        <v>34</v>
      </c>
      <c r="F630" t="s">
        <v>17</v>
      </c>
      <c r="G630" t="s">
        <v>35</v>
      </c>
      <c r="H630" t="s">
        <v>23</v>
      </c>
      <c r="I630" t="s">
        <v>19</v>
      </c>
      <c r="J630" t="s">
        <v>37</v>
      </c>
      <c r="K630">
        <v>0</v>
      </c>
      <c r="L630">
        <v>3</v>
      </c>
      <c r="M630">
        <v>5.69</v>
      </c>
      <c r="N630">
        <v>1</v>
      </c>
      <c r="O630" t="str">
        <f>IF(financial_fraud_data[[#This Row],[Risk_Score]]&gt;8,"High",IF(financial_fraud_data[[#This Row],[Risk_Score]]&gt;5,"Med","Low"))</f>
        <v>Med</v>
      </c>
      <c r="P630" t="str">
        <f>TEXT(financial_fraud_data[[#This Row],[Transaction_Date]],"MMM")</f>
        <v>Jan</v>
      </c>
      <c r="Q630" t="str">
        <f>IF(financial_fraud_data[[#This Row],[Is_Fraud]]=1,"Yes","No")</f>
        <v>Yes</v>
      </c>
    </row>
    <row r="631" spans="1:17" x14ac:dyDescent="0.2">
      <c r="A631" t="s">
        <v>1032</v>
      </c>
      <c r="B631" t="s">
        <v>794</v>
      </c>
      <c r="C631" s="1">
        <v>45318.208333333336</v>
      </c>
      <c r="D631">
        <v>12659.23</v>
      </c>
      <c r="E631" t="s">
        <v>80</v>
      </c>
      <c r="F631" t="s">
        <v>17</v>
      </c>
      <c r="G631" t="s">
        <v>56</v>
      </c>
      <c r="H631" t="s">
        <v>29</v>
      </c>
      <c r="I631" t="s">
        <v>29</v>
      </c>
      <c r="J631" t="s">
        <v>20</v>
      </c>
      <c r="K631">
        <v>0</v>
      </c>
      <c r="L631">
        <v>3</v>
      </c>
      <c r="M631">
        <v>5.77</v>
      </c>
      <c r="N631">
        <v>1</v>
      </c>
      <c r="O631" t="str">
        <f>IF(financial_fraud_data[[#This Row],[Risk_Score]]&gt;8,"High",IF(financial_fraud_data[[#This Row],[Risk_Score]]&gt;5,"Med","Low"))</f>
        <v>Med</v>
      </c>
      <c r="P631" t="str">
        <f>TEXT(financial_fraud_data[[#This Row],[Transaction_Date]],"MMM")</f>
        <v>Jan</v>
      </c>
      <c r="Q631" t="str">
        <f>IF(financial_fraud_data[[#This Row],[Is_Fraud]]=1,"Yes","No")</f>
        <v>Yes</v>
      </c>
    </row>
    <row r="632" spans="1:17" x14ac:dyDescent="0.2">
      <c r="A632" t="s">
        <v>1033</v>
      </c>
      <c r="B632" t="s">
        <v>1034</v>
      </c>
      <c r="C632" s="1">
        <v>45318.25</v>
      </c>
      <c r="D632">
        <v>35681.81</v>
      </c>
      <c r="E632" t="s">
        <v>80</v>
      </c>
      <c r="F632" t="s">
        <v>17</v>
      </c>
      <c r="G632" t="s">
        <v>65</v>
      </c>
      <c r="H632" t="s">
        <v>36</v>
      </c>
      <c r="I632" t="s">
        <v>19</v>
      </c>
      <c r="J632" t="s">
        <v>51</v>
      </c>
      <c r="K632">
        <v>1</v>
      </c>
      <c r="L632">
        <v>3</v>
      </c>
      <c r="M632">
        <v>11.07</v>
      </c>
      <c r="N632">
        <v>1</v>
      </c>
      <c r="O632" t="str">
        <f>IF(financial_fraud_data[[#This Row],[Risk_Score]]&gt;8,"High",IF(financial_fraud_data[[#This Row],[Risk_Score]]&gt;5,"Med","Low"))</f>
        <v>High</v>
      </c>
      <c r="P632" t="str">
        <f>TEXT(financial_fraud_data[[#This Row],[Transaction_Date]],"MMM")</f>
        <v>Jan</v>
      </c>
      <c r="Q632" t="str">
        <f>IF(financial_fraud_data[[#This Row],[Is_Fraud]]=1,"Yes","No")</f>
        <v>Yes</v>
      </c>
    </row>
    <row r="633" spans="1:17" x14ac:dyDescent="0.2">
      <c r="A633" t="s">
        <v>1035</v>
      </c>
      <c r="B633" t="s">
        <v>1036</v>
      </c>
      <c r="C633" s="1">
        <v>45318.291666666664</v>
      </c>
      <c r="D633">
        <v>44765.58</v>
      </c>
      <c r="E633" t="s">
        <v>42</v>
      </c>
      <c r="F633" t="s">
        <v>27</v>
      </c>
      <c r="G633" t="s">
        <v>65</v>
      </c>
      <c r="H633" t="s">
        <v>23</v>
      </c>
      <c r="I633" t="s">
        <v>19</v>
      </c>
      <c r="J633" t="s">
        <v>37</v>
      </c>
      <c r="K633">
        <v>0</v>
      </c>
      <c r="L633">
        <v>2</v>
      </c>
      <c r="M633">
        <v>8.48</v>
      </c>
      <c r="N633">
        <v>1</v>
      </c>
      <c r="O633" t="str">
        <f>IF(financial_fraud_data[[#This Row],[Risk_Score]]&gt;8,"High",IF(financial_fraud_data[[#This Row],[Risk_Score]]&gt;5,"Med","Low"))</f>
        <v>High</v>
      </c>
      <c r="P633" t="str">
        <f>TEXT(financial_fraud_data[[#This Row],[Transaction_Date]],"MMM")</f>
        <v>Jan</v>
      </c>
      <c r="Q633" t="str">
        <f>IF(financial_fraud_data[[#This Row],[Is_Fraud]]=1,"Yes","No")</f>
        <v>Yes</v>
      </c>
    </row>
    <row r="634" spans="1:17" x14ac:dyDescent="0.2">
      <c r="A634" t="s">
        <v>1037</v>
      </c>
      <c r="B634" t="s">
        <v>1038</v>
      </c>
      <c r="C634" s="1">
        <v>45318.333333333336</v>
      </c>
      <c r="D634">
        <v>25608.29</v>
      </c>
      <c r="E634" t="s">
        <v>80</v>
      </c>
      <c r="F634" t="s">
        <v>50</v>
      </c>
      <c r="G634" t="s">
        <v>35</v>
      </c>
      <c r="H634" t="s">
        <v>23</v>
      </c>
      <c r="I634" t="s">
        <v>19</v>
      </c>
      <c r="J634" t="s">
        <v>37</v>
      </c>
      <c r="K634">
        <v>0</v>
      </c>
      <c r="L634">
        <v>1</v>
      </c>
      <c r="M634">
        <v>5.0599999999999996</v>
      </c>
      <c r="N634">
        <v>1</v>
      </c>
      <c r="O634" t="str">
        <f>IF(financial_fraud_data[[#This Row],[Risk_Score]]&gt;8,"High",IF(financial_fraud_data[[#This Row],[Risk_Score]]&gt;5,"Med","Low"))</f>
        <v>Med</v>
      </c>
      <c r="P634" t="str">
        <f>TEXT(financial_fraud_data[[#This Row],[Transaction_Date]],"MMM")</f>
        <v>Jan</v>
      </c>
      <c r="Q634" t="str">
        <f>IF(financial_fraud_data[[#This Row],[Is_Fraud]]=1,"Yes","No")</f>
        <v>Yes</v>
      </c>
    </row>
    <row r="635" spans="1:17" x14ac:dyDescent="0.2">
      <c r="A635" t="s">
        <v>1039</v>
      </c>
      <c r="B635" t="s">
        <v>354</v>
      </c>
      <c r="C635" s="1">
        <v>45318.375</v>
      </c>
      <c r="D635">
        <v>26629.07</v>
      </c>
      <c r="E635" t="s">
        <v>34</v>
      </c>
      <c r="F635" t="s">
        <v>27</v>
      </c>
      <c r="G635" t="s">
        <v>18</v>
      </c>
      <c r="H635" t="s">
        <v>19</v>
      </c>
      <c r="I635" t="s">
        <v>19</v>
      </c>
      <c r="J635" t="s">
        <v>20</v>
      </c>
      <c r="K635">
        <v>1</v>
      </c>
      <c r="L635">
        <v>0</v>
      </c>
      <c r="M635">
        <v>4.66</v>
      </c>
      <c r="N635">
        <v>0</v>
      </c>
      <c r="O635" t="str">
        <f>IF(financial_fraud_data[[#This Row],[Risk_Score]]&gt;8,"High",IF(financial_fraud_data[[#This Row],[Risk_Score]]&gt;5,"Med","Low"))</f>
        <v>Low</v>
      </c>
      <c r="P635" t="str">
        <f>TEXT(financial_fraud_data[[#This Row],[Transaction_Date]],"MMM")</f>
        <v>Jan</v>
      </c>
      <c r="Q635" t="str">
        <f>IF(financial_fraud_data[[#This Row],[Is_Fraud]]=1,"Yes","No")</f>
        <v>No</v>
      </c>
    </row>
    <row r="636" spans="1:17" x14ac:dyDescent="0.2">
      <c r="A636" t="s">
        <v>1040</v>
      </c>
      <c r="B636" t="s">
        <v>911</v>
      </c>
      <c r="C636" s="1">
        <v>45318.416666666664</v>
      </c>
      <c r="D636">
        <v>5403.24</v>
      </c>
      <c r="E636" t="s">
        <v>42</v>
      </c>
      <c r="F636" t="s">
        <v>17</v>
      </c>
      <c r="G636" t="s">
        <v>18</v>
      </c>
      <c r="H636" t="s">
        <v>19</v>
      </c>
      <c r="I636" t="s">
        <v>23</v>
      </c>
      <c r="J636" t="s">
        <v>20</v>
      </c>
      <c r="K636">
        <v>1</v>
      </c>
      <c r="L636">
        <v>3</v>
      </c>
      <c r="M636">
        <v>8.0399999999999991</v>
      </c>
      <c r="N636">
        <v>1</v>
      </c>
      <c r="O636" t="str">
        <f>IF(financial_fraud_data[[#This Row],[Risk_Score]]&gt;8,"High",IF(financial_fraud_data[[#This Row],[Risk_Score]]&gt;5,"Med","Low"))</f>
        <v>High</v>
      </c>
      <c r="P636" t="str">
        <f>TEXT(financial_fraud_data[[#This Row],[Transaction_Date]],"MMM")</f>
        <v>Jan</v>
      </c>
      <c r="Q636" t="str">
        <f>IF(financial_fraud_data[[#This Row],[Is_Fraud]]=1,"Yes","No")</f>
        <v>Yes</v>
      </c>
    </row>
    <row r="637" spans="1:17" x14ac:dyDescent="0.2">
      <c r="A637" t="s">
        <v>1041</v>
      </c>
      <c r="B637" t="s">
        <v>331</v>
      </c>
      <c r="C637" s="1">
        <v>45318.458333333336</v>
      </c>
      <c r="D637">
        <v>22398.25</v>
      </c>
      <c r="E637" t="s">
        <v>42</v>
      </c>
      <c r="F637" t="s">
        <v>50</v>
      </c>
      <c r="G637" t="s">
        <v>35</v>
      </c>
      <c r="H637" t="s">
        <v>23</v>
      </c>
      <c r="I637" t="s">
        <v>29</v>
      </c>
      <c r="J637" t="s">
        <v>51</v>
      </c>
      <c r="K637">
        <v>0</v>
      </c>
      <c r="L637">
        <v>3</v>
      </c>
      <c r="M637">
        <v>7.74</v>
      </c>
      <c r="N637">
        <v>1</v>
      </c>
      <c r="O637" t="str">
        <f>IF(financial_fraud_data[[#This Row],[Risk_Score]]&gt;8,"High",IF(financial_fraud_data[[#This Row],[Risk_Score]]&gt;5,"Med","Low"))</f>
        <v>Med</v>
      </c>
      <c r="P637" t="str">
        <f>TEXT(financial_fraud_data[[#This Row],[Transaction_Date]],"MMM")</f>
        <v>Jan</v>
      </c>
      <c r="Q637" t="str">
        <f>IF(financial_fraud_data[[#This Row],[Is_Fraud]]=1,"Yes","No")</f>
        <v>Yes</v>
      </c>
    </row>
    <row r="638" spans="1:17" x14ac:dyDescent="0.2">
      <c r="A638" t="s">
        <v>1042</v>
      </c>
      <c r="B638" t="s">
        <v>64</v>
      </c>
      <c r="C638" s="1">
        <v>45318.5</v>
      </c>
      <c r="D638">
        <v>26654.23</v>
      </c>
      <c r="E638" t="s">
        <v>80</v>
      </c>
      <c r="F638" t="s">
        <v>27</v>
      </c>
      <c r="G638" t="s">
        <v>56</v>
      </c>
      <c r="H638" t="s">
        <v>23</v>
      </c>
      <c r="I638" t="s">
        <v>36</v>
      </c>
      <c r="J638" t="s">
        <v>51</v>
      </c>
      <c r="K638">
        <v>0</v>
      </c>
      <c r="L638">
        <v>0</v>
      </c>
      <c r="M638">
        <v>3.67</v>
      </c>
      <c r="N638">
        <v>0</v>
      </c>
      <c r="O638" t="str">
        <f>IF(financial_fraud_data[[#This Row],[Risk_Score]]&gt;8,"High",IF(financial_fraud_data[[#This Row],[Risk_Score]]&gt;5,"Med","Low"))</f>
        <v>Low</v>
      </c>
      <c r="P638" t="str">
        <f>TEXT(financial_fraud_data[[#This Row],[Transaction_Date]],"MMM")</f>
        <v>Jan</v>
      </c>
      <c r="Q638" t="str">
        <f>IF(financial_fraud_data[[#This Row],[Is_Fraud]]=1,"Yes","No")</f>
        <v>No</v>
      </c>
    </row>
    <row r="639" spans="1:17" x14ac:dyDescent="0.2">
      <c r="A639" t="s">
        <v>1043</v>
      </c>
      <c r="B639" t="s">
        <v>857</v>
      </c>
      <c r="C639" s="1">
        <v>45318.541666666664</v>
      </c>
      <c r="D639">
        <v>12161.4</v>
      </c>
      <c r="E639" t="s">
        <v>34</v>
      </c>
      <c r="F639" t="s">
        <v>27</v>
      </c>
      <c r="G639" t="s">
        <v>18</v>
      </c>
      <c r="H639" t="s">
        <v>19</v>
      </c>
      <c r="I639" t="s">
        <v>19</v>
      </c>
      <c r="J639" t="s">
        <v>51</v>
      </c>
      <c r="K639">
        <v>0</v>
      </c>
      <c r="L639">
        <v>3</v>
      </c>
      <c r="M639">
        <v>5.72</v>
      </c>
      <c r="N639">
        <v>1</v>
      </c>
      <c r="O639" t="str">
        <f>IF(financial_fraud_data[[#This Row],[Risk_Score]]&gt;8,"High",IF(financial_fraud_data[[#This Row],[Risk_Score]]&gt;5,"Med","Low"))</f>
        <v>Med</v>
      </c>
      <c r="P639" t="str">
        <f>TEXT(financial_fraud_data[[#This Row],[Transaction_Date]],"MMM")</f>
        <v>Jan</v>
      </c>
      <c r="Q639" t="str">
        <f>IF(financial_fraud_data[[#This Row],[Is_Fraud]]=1,"Yes","No")</f>
        <v>Yes</v>
      </c>
    </row>
    <row r="640" spans="1:17" x14ac:dyDescent="0.2">
      <c r="A640" t="s">
        <v>1044</v>
      </c>
      <c r="B640" t="s">
        <v>394</v>
      </c>
      <c r="C640" s="1">
        <v>45318.583333333336</v>
      </c>
      <c r="D640">
        <v>13498.7</v>
      </c>
      <c r="E640" t="s">
        <v>42</v>
      </c>
      <c r="F640" t="s">
        <v>47</v>
      </c>
      <c r="G640" t="s">
        <v>35</v>
      </c>
      <c r="H640" t="s">
        <v>29</v>
      </c>
      <c r="I640" t="s">
        <v>36</v>
      </c>
      <c r="J640" t="s">
        <v>20</v>
      </c>
      <c r="K640">
        <v>0</v>
      </c>
      <c r="L640">
        <v>1</v>
      </c>
      <c r="M640">
        <v>3.85</v>
      </c>
      <c r="N640">
        <v>0</v>
      </c>
      <c r="O640" t="str">
        <f>IF(financial_fraud_data[[#This Row],[Risk_Score]]&gt;8,"High",IF(financial_fraud_data[[#This Row],[Risk_Score]]&gt;5,"Med","Low"))</f>
        <v>Low</v>
      </c>
      <c r="P640" t="str">
        <f>TEXT(financial_fraud_data[[#This Row],[Transaction_Date]],"MMM")</f>
        <v>Jan</v>
      </c>
      <c r="Q640" t="str">
        <f>IF(financial_fraud_data[[#This Row],[Is_Fraud]]=1,"Yes","No")</f>
        <v>No</v>
      </c>
    </row>
    <row r="641" spans="1:17" x14ac:dyDescent="0.2">
      <c r="A641" t="s">
        <v>1045</v>
      </c>
      <c r="B641" t="s">
        <v>385</v>
      </c>
      <c r="C641" s="1">
        <v>45318.625</v>
      </c>
      <c r="D641">
        <v>18895.34</v>
      </c>
      <c r="E641" t="s">
        <v>34</v>
      </c>
      <c r="F641" t="s">
        <v>27</v>
      </c>
      <c r="G641" t="s">
        <v>56</v>
      </c>
      <c r="H641" t="s">
        <v>24</v>
      </c>
      <c r="I641" t="s">
        <v>23</v>
      </c>
      <c r="J641" t="s">
        <v>51</v>
      </c>
      <c r="K641">
        <v>0</v>
      </c>
      <c r="L641">
        <v>4</v>
      </c>
      <c r="M641">
        <v>8.89</v>
      </c>
      <c r="N641">
        <v>1</v>
      </c>
      <c r="O641" t="str">
        <f>IF(financial_fraud_data[[#This Row],[Risk_Score]]&gt;8,"High",IF(financial_fraud_data[[#This Row],[Risk_Score]]&gt;5,"Med","Low"))</f>
        <v>High</v>
      </c>
      <c r="P641" t="str">
        <f>TEXT(financial_fraud_data[[#This Row],[Transaction_Date]],"MMM")</f>
        <v>Jan</v>
      </c>
      <c r="Q641" t="str">
        <f>IF(financial_fraud_data[[#This Row],[Is_Fraud]]=1,"Yes","No")</f>
        <v>Yes</v>
      </c>
    </row>
    <row r="642" spans="1:17" x14ac:dyDescent="0.2">
      <c r="A642" t="s">
        <v>1046</v>
      </c>
      <c r="B642" t="s">
        <v>1047</v>
      </c>
      <c r="C642" s="1">
        <v>45318.666666666664</v>
      </c>
      <c r="D642">
        <v>1052.56</v>
      </c>
      <c r="E642" t="s">
        <v>34</v>
      </c>
      <c r="F642" t="s">
        <v>17</v>
      </c>
      <c r="G642" t="s">
        <v>56</v>
      </c>
      <c r="H642" t="s">
        <v>24</v>
      </c>
      <c r="I642" t="s">
        <v>23</v>
      </c>
      <c r="J642" t="s">
        <v>51</v>
      </c>
      <c r="K642">
        <v>0</v>
      </c>
      <c r="L642">
        <v>0</v>
      </c>
      <c r="M642">
        <v>1.1100000000000001</v>
      </c>
      <c r="N642">
        <v>0</v>
      </c>
      <c r="O642" t="str">
        <f>IF(financial_fraud_data[[#This Row],[Risk_Score]]&gt;8,"High",IF(financial_fraud_data[[#This Row],[Risk_Score]]&gt;5,"Med","Low"))</f>
        <v>Low</v>
      </c>
      <c r="P642" t="str">
        <f>TEXT(financial_fraud_data[[#This Row],[Transaction_Date]],"MMM")</f>
        <v>Jan</v>
      </c>
      <c r="Q642" t="str">
        <f>IF(financial_fraud_data[[#This Row],[Is_Fraud]]=1,"Yes","No")</f>
        <v>No</v>
      </c>
    </row>
    <row r="643" spans="1:17" x14ac:dyDescent="0.2">
      <c r="A643" t="s">
        <v>1048</v>
      </c>
      <c r="B643" t="s">
        <v>1049</v>
      </c>
      <c r="C643" s="1">
        <v>45318.708333333336</v>
      </c>
      <c r="D643">
        <v>16137.85</v>
      </c>
      <c r="E643" t="s">
        <v>34</v>
      </c>
      <c r="F643" t="s">
        <v>27</v>
      </c>
      <c r="G643" t="s">
        <v>28</v>
      </c>
      <c r="H643" t="s">
        <v>23</v>
      </c>
      <c r="I643" t="s">
        <v>24</v>
      </c>
      <c r="J643" t="s">
        <v>37</v>
      </c>
      <c r="K643">
        <v>0</v>
      </c>
      <c r="L643">
        <v>2</v>
      </c>
      <c r="M643">
        <v>5.61</v>
      </c>
      <c r="N643">
        <v>1</v>
      </c>
      <c r="O643" t="str">
        <f>IF(financial_fraud_data[[#This Row],[Risk_Score]]&gt;8,"High",IF(financial_fraud_data[[#This Row],[Risk_Score]]&gt;5,"Med","Low"))</f>
        <v>Med</v>
      </c>
      <c r="P643" t="str">
        <f>TEXT(financial_fraud_data[[#This Row],[Transaction_Date]],"MMM")</f>
        <v>Jan</v>
      </c>
      <c r="Q643" t="str">
        <f>IF(financial_fraud_data[[#This Row],[Is_Fraud]]=1,"Yes","No")</f>
        <v>Yes</v>
      </c>
    </row>
    <row r="644" spans="1:17" x14ac:dyDescent="0.2">
      <c r="A644" t="s">
        <v>1050</v>
      </c>
      <c r="B644" t="s">
        <v>433</v>
      </c>
      <c r="C644" s="1">
        <v>45318.75</v>
      </c>
      <c r="D644">
        <v>10611.83</v>
      </c>
      <c r="E644" t="s">
        <v>80</v>
      </c>
      <c r="F644" t="s">
        <v>50</v>
      </c>
      <c r="G644" t="s">
        <v>56</v>
      </c>
      <c r="H644" t="s">
        <v>19</v>
      </c>
      <c r="I644" t="s">
        <v>19</v>
      </c>
      <c r="J644" t="s">
        <v>37</v>
      </c>
      <c r="K644">
        <v>0</v>
      </c>
      <c r="L644">
        <v>0</v>
      </c>
      <c r="M644">
        <v>1.06</v>
      </c>
      <c r="N644">
        <v>0</v>
      </c>
      <c r="O644" t="str">
        <f>IF(financial_fraud_data[[#This Row],[Risk_Score]]&gt;8,"High",IF(financial_fraud_data[[#This Row],[Risk_Score]]&gt;5,"Med","Low"))</f>
        <v>Low</v>
      </c>
      <c r="P644" t="str">
        <f>TEXT(financial_fraud_data[[#This Row],[Transaction_Date]],"MMM")</f>
        <v>Jan</v>
      </c>
      <c r="Q644" t="str">
        <f>IF(financial_fraud_data[[#This Row],[Is_Fraud]]=1,"Yes","No")</f>
        <v>No</v>
      </c>
    </row>
    <row r="645" spans="1:17" x14ac:dyDescent="0.2">
      <c r="A645" t="s">
        <v>1051</v>
      </c>
      <c r="B645" t="s">
        <v>812</v>
      </c>
      <c r="C645" s="1">
        <v>45318.791666666664</v>
      </c>
      <c r="D645">
        <v>16408.490000000002</v>
      </c>
      <c r="E645" t="s">
        <v>16</v>
      </c>
      <c r="F645" t="s">
        <v>27</v>
      </c>
      <c r="G645" t="s">
        <v>18</v>
      </c>
      <c r="H645" t="s">
        <v>36</v>
      </c>
      <c r="I645" t="s">
        <v>24</v>
      </c>
      <c r="J645" t="s">
        <v>37</v>
      </c>
      <c r="K645">
        <v>0</v>
      </c>
      <c r="L645">
        <v>1</v>
      </c>
      <c r="M645">
        <v>4.1399999999999997</v>
      </c>
      <c r="N645">
        <v>0</v>
      </c>
      <c r="O645" t="str">
        <f>IF(financial_fraud_data[[#This Row],[Risk_Score]]&gt;8,"High",IF(financial_fraud_data[[#This Row],[Risk_Score]]&gt;5,"Med","Low"))</f>
        <v>Low</v>
      </c>
      <c r="P645" t="str">
        <f>TEXT(financial_fraud_data[[#This Row],[Transaction_Date]],"MMM")</f>
        <v>Jan</v>
      </c>
      <c r="Q645" t="str">
        <f>IF(financial_fraud_data[[#This Row],[Is_Fraud]]=1,"Yes","No")</f>
        <v>No</v>
      </c>
    </row>
    <row r="646" spans="1:17" x14ac:dyDescent="0.2">
      <c r="A646" t="s">
        <v>1052</v>
      </c>
      <c r="B646" t="s">
        <v>625</v>
      </c>
      <c r="C646" s="1">
        <v>45318.833333333336</v>
      </c>
      <c r="D646">
        <v>6032.12</v>
      </c>
      <c r="E646" t="s">
        <v>16</v>
      </c>
      <c r="F646" t="s">
        <v>47</v>
      </c>
      <c r="G646" t="s">
        <v>18</v>
      </c>
      <c r="H646" t="s">
        <v>36</v>
      </c>
      <c r="I646" t="s">
        <v>36</v>
      </c>
      <c r="J646" t="s">
        <v>51</v>
      </c>
      <c r="K646">
        <v>1</v>
      </c>
      <c r="L646">
        <v>2</v>
      </c>
      <c r="M646">
        <v>5.6</v>
      </c>
      <c r="N646">
        <v>1</v>
      </c>
      <c r="O646" t="str">
        <f>IF(financial_fraud_data[[#This Row],[Risk_Score]]&gt;8,"High",IF(financial_fraud_data[[#This Row],[Risk_Score]]&gt;5,"Med","Low"))</f>
        <v>Med</v>
      </c>
      <c r="P646" t="str">
        <f>TEXT(financial_fraud_data[[#This Row],[Transaction_Date]],"MMM")</f>
        <v>Jan</v>
      </c>
      <c r="Q646" t="str">
        <f>IF(financial_fraud_data[[#This Row],[Is_Fraud]]=1,"Yes","No")</f>
        <v>Yes</v>
      </c>
    </row>
    <row r="647" spans="1:17" x14ac:dyDescent="0.2">
      <c r="A647" t="s">
        <v>1053</v>
      </c>
      <c r="B647" t="s">
        <v>231</v>
      </c>
      <c r="C647" s="1">
        <v>45318.875</v>
      </c>
      <c r="D647">
        <v>44531.839999999997</v>
      </c>
      <c r="E647" t="s">
        <v>42</v>
      </c>
      <c r="F647" t="s">
        <v>50</v>
      </c>
      <c r="G647" t="s">
        <v>35</v>
      </c>
      <c r="H647" t="s">
        <v>24</v>
      </c>
      <c r="I647" t="s">
        <v>29</v>
      </c>
      <c r="J647" t="s">
        <v>20</v>
      </c>
      <c r="K647">
        <v>0</v>
      </c>
      <c r="L647">
        <v>4</v>
      </c>
      <c r="M647">
        <v>11.45</v>
      </c>
      <c r="N647">
        <v>1</v>
      </c>
      <c r="O647" t="str">
        <f>IF(financial_fraud_data[[#This Row],[Risk_Score]]&gt;8,"High",IF(financial_fraud_data[[#This Row],[Risk_Score]]&gt;5,"Med","Low"))</f>
        <v>High</v>
      </c>
      <c r="P647" t="str">
        <f>TEXT(financial_fraud_data[[#This Row],[Transaction_Date]],"MMM")</f>
        <v>Jan</v>
      </c>
      <c r="Q647" t="str">
        <f>IF(financial_fraud_data[[#This Row],[Is_Fraud]]=1,"Yes","No")</f>
        <v>Yes</v>
      </c>
    </row>
    <row r="648" spans="1:17" x14ac:dyDescent="0.2">
      <c r="A648" t="s">
        <v>1054</v>
      </c>
      <c r="B648" t="s">
        <v>1055</v>
      </c>
      <c r="C648" s="1">
        <v>45318.916666666664</v>
      </c>
      <c r="D648">
        <v>29699.94</v>
      </c>
      <c r="E648" t="s">
        <v>34</v>
      </c>
      <c r="F648" t="s">
        <v>50</v>
      </c>
      <c r="G648" t="s">
        <v>35</v>
      </c>
      <c r="H648" t="s">
        <v>29</v>
      </c>
      <c r="I648" t="s">
        <v>24</v>
      </c>
      <c r="J648" t="s">
        <v>37</v>
      </c>
      <c r="K648">
        <v>0</v>
      </c>
      <c r="L648">
        <v>3</v>
      </c>
      <c r="M648">
        <v>8.4700000000000006</v>
      </c>
      <c r="N648">
        <v>1</v>
      </c>
      <c r="O648" t="str">
        <f>IF(financial_fraud_data[[#This Row],[Risk_Score]]&gt;8,"High",IF(financial_fraud_data[[#This Row],[Risk_Score]]&gt;5,"Med","Low"))</f>
        <v>High</v>
      </c>
      <c r="P648" t="str">
        <f>TEXT(financial_fraud_data[[#This Row],[Transaction_Date]],"MMM")</f>
        <v>Jan</v>
      </c>
      <c r="Q648" t="str">
        <f>IF(financial_fraud_data[[#This Row],[Is_Fraud]]=1,"Yes","No")</f>
        <v>Yes</v>
      </c>
    </row>
    <row r="649" spans="1:17" x14ac:dyDescent="0.2">
      <c r="A649" t="s">
        <v>1056</v>
      </c>
      <c r="B649" t="s">
        <v>629</v>
      </c>
      <c r="C649" s="1">
        <v>45318.958333333336</v>
      </c>
      <c r="D649">
        <v>33971.160000000003</v>
      </c>
      <c r="E649" t="s">
        <v>80</v>
      </c>
      <c r="F649" t="s">
        <v>47</v>
      </c>
      <c r="G649" t="s">
        <v>56</v>
      </c>
      <c r="H649" t="s">
        <v>24</v>
      </c>
      <c r="I649" t="s">
        <v>23</v>
      </c>
      <c r="J649" t="s">
        <v>20</v>
      </c>
      <c r="K649">
        <v>0</v>
      </c>
      <c r="L649">
        <v>0</v>
      </c>
      <c r="M649">
        <v>4.4000000000000004</v>
      </c>
      <c r="N649">
        <v>0</v>
      </c>
      <c r="O649" t="str">
        <f>IF(financial_fraud_data[[#This Row],[Risk_Score]]&gt;8,"High",IF(financial_fraud_data[[#This Row],[Risk_Score]]&gt;5,"Med","Low"))</f>
        <v>Low</v>
      </c>
      <c r="P649" t="str">
        <f>TEXT(financial_fraud_data[[#This Row],[Transaction_Date]],"MMM")</f>
        <v>Jan</v>
      </c>
      <c r="Q649" t="str">
        <f>IF(financial_fraud_data[[#This Row],[Is_Fraud]]=1,"Yes","No")</f>
        <v>No</v>
      </c>
    </row>
    <row r="650" spans="1:17" x14ac:dyDescent="0.2">
      <c r="A650" t="s">
        <v>1057</v>
      </c>
      <c r="B650" t="s">
        <v>819</v>
      </c>
      <c r="C650" s="1">
        <v>45319</v>
      </c>
      <c r="D650">
        <v>39469.1</v>
      </c>
      <c r="E650" t="s">
        <v>34</v>
      </c>
      <c r="F650" t="s">
        <v>17</v>
      </c>
      <c r="G650" t="s">
        <v>65</v>
      </c>
      <c r="H650" t="s">
        <v>23</v>
      </c>
      <c r="I650" t="s">
        <v>19</v>
      </c>
      <c r="J650" t="s">
        <v>51</v>
      </c>
      <c r="K650">
        <v>0</v>
      </c>
      <c r="L650">
        <v>2</v>
      </c>
      <c r="M650">
        <v>7.95</v>
      </c>
      <c r="N650">
        <v>1</v>
      </c>
      <c r="O650" t="str">
        <f>IF(financial_fraud_data[[#This Row],[Risk_Score]]&gt;8,"High",IF(financial_fraud_data[[#This Row],[Risk_Score]]&gt;5,"Med","Low"))</f>
        <v>Med</v>
      </c>
      <c r="P650" t="str">
        <f>TEXT(financial_fraud_data[[#This Row],[Transaction_Date]],"MMM")</f>
        <v>Jan</v>
      </c>
      <c r="Q650" t="str">
        <f>IF(financial_fraud_data[[#This Row],[Is_Fraud]]=1,"Yes","No")</f>
        <v>Yes</v>
      </c>
    </row>
    <row r="651" spans="1:17" x14ac:dyDescent="0.2">
      <c r="A651" t="s">
        <v>1058</v>
      </c>
      <c r="B651" t="s">
        <v>455</v>
      </c>
      <c r="C651" s="1">
        <v>45319.041666666664</v>
      </c>
      <c r="D651">
        <v>24947.19</v>
      </c>
      <c r="E651" t="s">
        <v>34</v>
      </c>
      <c r="F651" t="s">
        <v>50</v>
      </c>
      <c r="G651" t="s">
        <v>28</v>
      </c>
      <c r="H651" t="s">
        <v>29</v>
      </c>
      <c r="I651" t="s">
        <v>36</v>
      </c>
      <c r="J651" t="s">
        <v>51</v>
      </c>
      <c r="K651">
        <v>0</v>
      </c>
      <c r="L651">
        <v>0</v>
      </c>
      <c r="M651">
        <v>3.49</v>
      </c>
      <c r="N651">
        <v>0</v>
      </c>
      <c r="O651" t="str">
        <f>IF(financial_fraud_data[[#This Row],[Risk_Score]]&gt;8,"High",IF(financial_fraud_data[[#This Row],[Risk_Score]]&gt;5,"Med","Low"))</f>
        <v>Low</v>
      </c>
      <c r="P651" t="str">
        <f>TEXT(financial_fraud_data[[#This Row],[Transaction_Date]],"MMM")</f>
        <v>Jan</v>
      </c>
      <c r="Q651" t="str">
        <f>IF(financial_fraud_data[[#This Row],[Is_Fraud]]=1,"Yes","No")</f>
        <v>No</v>
      </c>
    </row>
    <row r="652" spans="1:17" x14ac:dyDescent="0.2">
      <c r="A652" t="s">
        <v>1059</v>
      </c>
      <c r="B652" t="s">
        <v>1060</v>
      </c>
      <c r="C652" s="1">
        <v>45319.083333333336</v>
      </c>
      <c r="D652">
        <v>4391.67</v>
      </c>
      <c r="E652" t="s">
        <v>80</v>
      </c>
      <c r="F652" t="s">
        <v>17</v>
      </c>
      <c r="G652" t="s">
        <v>65</v>
      </c>
      <c r="H652" t="s">
        <v>36</v>
      </c>
      <c r="I652" t="s">
        <v>23</v>
      </c>
      <c r="J652" t="s">
        <v>37</v>
      </c>
      <c r="K652">
        <v>1</v>
      </c>
      <c r="L652">
        <v>4</v>
      </c>
      <c r="M652">
        <v>9.44</v>
      </c>
      <c r="N652">
        <v>1</v>
      </c>
      <c r="O652" t="str">
        <f>IF(financial_fraud_data[[#This Row],[Risk_Score]]&gt;8,"High",IF(financial_fraud_data[[#This Row],[Risk_Score]]&gt;5,"Med","Low"))</f>
        <v>High</v>
      </c>
      <c r="P652" t="str">
        <f>TEXT(financial_fraud_data[[#This Row],[Transaction_Date]],"MMM")</f>
        <v>Jan</v>
      </c>
      <c r="Q652" t="str">
        <f>IF(financial_fraud_data[[#This Row],[Is_Fraud]]=1,"Yes","No")</f>
        <v>Yes</v>
      </c>
    </row>
    <row r="653" spans="1:17" x14ac:dyDescent="0.2">
      <c r="A653" t="s">
        <v>1061</v>
      </c>
      <c r="B653" t="s">
        <v>88</v>
      </c>
      <c r="C653" s="1">
        <v>45319.125</v>
      </c>
      <c r="D653">
        <v>26878.47</v>
      </c>
      <c r="E653" t="s">
        <v>16</v>
      </c>
      <c r="F653" t="s">
        <v>50</v>
      </c>
      <c r="G653" t="s">
        <v>56</v>
      </c>
      <c r="H653" t="s">
        <v>19</v>
      </c>
      <c r="I653" t="s">
        <v>29</v>
      </c>
      <c r="J653" t="s">
        <v>20</v>
      </c>
      <c r="K653">
        <v>1</v>
      </c>
      <c r="L653">
        <v>0</v>
      </c>
      <c r="M653">
        <v>5.69</v>
      </c>
      <c r="N653">
        <v>1</v>
      </c>
      <c r="O653" t="str">
        <f>IF(financial_fraud_data[[#This Row],[Risk_Score]]&gt;8,"High",IF(financial_fraud_data[[#This Row],[Risk_Score]]&gt;5,"Med","Low"))</f>
        <v>Med</v>
      </c>
      <c r="P653" t="str">
        <f>TEXT(financial_fraud_data[[#This Row],[Transaction_Date]],"MMM")</f>
        <v>Jan</v>
      </c>
      <c r="Q653" t="str">
        <f>IF(financial_fraud_data[[#This Row],[Is_Fraud]]=1,"Yes","No")</f>
        <v>Yes</v>
      </c>
    </row>
    <row r="654" spans="1:17" x14ac:dyDescent="0.2">
      <c r="A654" t="s">
        <v>1062</v>
      </c>
      <c r="B654" t="s">
        <v>1063</v>
      </c>
      <c r="C654" s="1">
        <v>45319.166666666664</v>
      </c>
      <c r="D654">
        <v>29362.71</v>
      </c>
      <c r="E654" t="s">
        <v>34</v>
      </c>
      <c r="F654" t="s">
        <v>50</v>
      </c>
      <c r="G654" t="s">
        <v>56</v>
      </c>
      <c r="H654" t="s">
        <v>19</v>
      </c>
      <c r="I654" t="s">
        <v>19</v>
      </c>
      <c r="J654" t="s">
        <v>37</v>
      </c>
      <c r="K654">
        <v>0</v>
      </c>
      <c r="L654">
        <v>2</v>
      </c>
      <c r="M654">
        <v>5.94</v>
      </c>
      <c r="N654">
        <v>1</v>
      </c>
      <c r="O654" t="str">
        <f>IF(financial_fraud_data[[#This Row],[Risk_Score]]&gt;8,"High",IF(financial_fraud_data[[#This Row],[Risk_Score]]&gt;5,"Med","Low"))</f>
        <v>Med</v>
      </c>
      <c r="P654" t="str">
        <f>TEXT(financial_fraud_data[[#This Row],[Transaction_Date]],"MMM")</f>
        <v>Jan</v>
      </c>
      <c r="Q654" t="str">
        <f>IF(financial_fraud_data[[#This Row],[Is_Fraud]]=1,"Yes","No")</f>
        <v>Yes</v>
      </c>
    </row>
    <row r="655" spans="1:17" x14ac:dyDescent="0.2">
      <c r="A655" t="s">
        <v>1064</v>
      </c>
      <c r="B655" t="s">
        <v>835</v>
      </c>
      <c r="C655" s="1">
        <v>45319.208333333336</v>
      </c>
      <c r="D655">
        <v>37284.699999999997</v>
      </c>
      <c r="E655" t="s">
        <v>34</v>
      </c>
      <c r="F655" t="s">
        <v>17</v>
      </c>
      <c r="G655" t="s">
        <v>65</v>
      </c>
      <c r="H655" t="s">
        <v>23</v>
      </c>
      <c r="I655" t="s">
        <v>29</v>
      </c>
      <c r="J655" t="s">
        <v>51</v>
      </c>
      <c r="K655">
        <v>0</v>
      </c>
      <c r="L655">
        <v>1</v>
      </c>
      <c r="M655">
        <v>6.23</v>
      </c>
      <c r="N655">
        <v>1</v>
      </c>
      <c r="O655" t="str">
        <f>IF(financial_fraud_data[[#This Row],[Risk_Score]]&gt;8,"High",IF(financial_fraud_data[[#This Row],[Risk_Score]]&gt;5,"Med","Low"))</f>
        <v>Med</v>
      </c>
      <c r="P655" t="str">
        <f>TEXT(financial_fraud_data[[#This Row],[Transaction_Date]],"MMM")</f>
        <v>Jan</v>
      </c>
      <c r="Q655" t="str">
        <f>IF(financial_fraud_data[[#This Row],[Is_Fraud]]=1,"Yes","No")</f>
        <v>Yes</v>
      </c>
    </row>
    <row r="656" spans="1:17" x14ac:dyDescent="0.2">
      <c r="A656" t="s">
        <v>1065</v>
      </c>
      <c r="B656" t="s">
        <v>1066</v>
      </c>
      <c r="C656" s="1">
        <v>45319.25</v>
      </c>
      <c r="D656">
        <v>21611.39</v>
      </c>
      <c r="E656" t="s">
        <v>16</v>
      </c>
      <c r="F656" t="s">
        <v>50</v>
      </c>
      <c r="G656" t="s">
        <v>28</v>
      </c>
      <c r="H656" t="s">
        <v>24</v>
      </c>
      <c r="I656" t="s">
        <v>29</v>
      </c>
      <c r="J656" t="s">
        <v>20</v>
      </c>
      <c r="K656">
        <v>0</v>
      </c>
      <c r="L656">
        <v>2</v>
      </c>
      <c r="M656">
        <v>6.16</v>
      </c>
      <c r="N656">
        <v>1</v>
      </c>
      <c r="O656" t="str">
        <f>IF(financial_fraud_data[[#This Row],[Risk_Score]]&gt;8,"High",IF(financial_fraud_data[[#This Row],[Risk_Score]]&gt;5,"Med","Low"))</f>
        <v>Med</v>
      </c>
      <c r="P656" t="str">
        <f>TEXT(financial_fraud_data[[#This Row],[Transaction_Date]],"MMM")</f>
        <v>Jan</v>
      </c>
      <c r="Q656" t="str">
        <f>IF(financial_fraud_data[[#This Row],[Is_Fraud]]=1,"Yes","No")</f>
        <v>Yes</v>
      </c>
    </row>
    <row r="657" spans="1:17" x14ac:dyDescent="0.2">
      <c r="A657" t="s">
        <v>1067</v>
      </c>
      <c r="B657" t="s">
        <v>794</v>
      </c>
      <c r="C657" s="1">
        <v>45319.291666666664</v>
      </c>
      <c r="D657">
        <v>6422.64</v>
      </c>
      <c r="E657" t="s">
        <v>80</v>
      </c>
      <c r="F657" t="s">
        <v>17</v>
      </c>
      <c r="G657" t="s">
        <v>65</v>
      </c>
      <c r="H657" t="s">
        <v>23</v>
      </c>
      <c r="I657" t="s">
        <v>19</v>
      </c>
      <c r="J657" t="s">
        <v>37</v>
      </c>
      <c r="K657">
        <v>0</v>
      </c>
      <c r="L657">
        <v>0</v>
      </c>
      <c r="M657">
        <v>1.64</v>
      </c>
      <c r="N657">
        <v>0</v>
      </c>
      <c r="O657" t="str">
        <f>IF(financial_fraud_data[[#This Row],[Risk_Score]]&gt;8,"High",IF(financial_fraud_data[[#This Row],[Risk_Score]]&gt;5,"Med","Low"))</f>
        <v>Low</v>
      </c>
      <c r="P657" t="str">
        <f>TEXT(financial_fraud_data[[#This Row],[Transaction_Date]],"MMM")</f>
        <v>Jan</v>
      </c>
      <c r="Q657" t="str">
        <f>IF(financial_fraud_data[[#This Row],[Is_Fraud]]=1,"Yes","No")</f>
        <v>No</v>
      </c>
    </row>
    <row r="658" spans="1:17" x14ac:dyDescent="0.2">
      <c r="A658" t="s">
        <v>1068</v>
      </c>
      <c r="B658" t="s">
        <v>217</v>
      </c>
      <c r="C658" s="1">
        <v>45319.333333333336</v>
      </c>
      <c r="D658">
        <v>14224.61</v>
      </c>
      <c r="E658" t="s">
        <v>42</v>
      </c>
      <c r="F658" t="s">
        <v>47</v>
      </c>
      <c r="G658" t="s">
        <v>35</v>
      </c>
      <c r="H658" t="s">
        <v>19</v>
      </c>
      <c r="I658" t="s">
        <v>19</v>
      </c>
      <c r="J658" t="s">
        <v>51</v>
      </c>
      <c r="K658">
        <v>0</v>
      </c>
      <c r="L658">
        <v>4</v>
      </c>
      <c r="M658">
        <v>7.42</v>
      </c>
      <c r="N658">
        <v>1</v>
      </c>
      <c r="O658" t="str">
        <f>IF(financial_fraud_data[[#This Row],[Risk_Score]]&gt;8,"High",IF(financial_fraud_data[[#This Row],[Risk_Score]]&gt;5,"Med","Low"))</f>
        <v>Med</v>
      </c>
      <c r="P658" t="str">
        <f>TEXT(financial_fraud_data[[#This Row],[Transaction_Date]],"MMM")</f>
        <v>Jan</v>
      </c>
      <c r="Q658" t="str">
        <f>IF(financial_fraud_data[[#This Row],[Is_Fraud]]=1,"Yes","No")</f>
        <v>Yes</v>
      </c>
    </row>
    <row r="659" spans="1:17" x14ac:dyDescent="0.2">
      <c r="A659" t="s">
        <v>1069</v>
      </c>
      <c r="B659" t="s">
        <v>349</v>
      </c>
      <c r="C659" s="1">
        <v>45319.375</v>
      </c>
      <c r="D659">
        <v>18185.96</v>
      </c>
      <c r="E659" t="s">
        <v>16</v>
      </c>
      <c r="F659" t="s">
        <v>17</v>
      </c>
      <c r="G659" t="s">
        <v>18</v>
      </c>
      <c r="H659" t="s">
        <v>36</v>
      </c>
      <c r="I659" t="s">
        <v>29</v>
      </c>
      <c r="J659" t="s">
        <v>37</v>
      </c>
      <c r="K659">
        <v>0</v>
      </c>
      <c r="L659">
        <v>3</v>
      </c>
      <c r="M659">
        <v>7.32</v>
      </c>
      <c r="N659">
        <v>1</v>
      </c>
      <c r="O659" t="str">
        <f>IF(financial_fraud_data[[#This Row],[Risk_Score]]&gt;8,"High",IF(financial_fraud_data[[#This Row],[Risk_Score]]&gt;5,"Med","Low"))</f>
        <v>Med</v>
      </c>
      <c r="P659" t="str">
        <f>TEXT(financial_fraud_data[[#This Row],[Transaction_Date]],"MMM")</f>
        <v>Jan</v>
      </c>
      <c r="Q659" t="str">
        <f>IF(financial_fraud_data[[#This Row],[Is_Fraud]]=1,"Yes","No")</f>
        <v>Yes</v>
      </c>
    </row>
    <row r="660" spans="1:17" x14ac:dyDescent="0.2">
      <c r="A660" t="s">
        <v>1070</v>
      </c>
      <c r="B660" t="s">
        <v>136</v>
      </c>
      <c r="C660" s="1">
        <v>45319.416666666664</v>
      </c>
      <c r="D660">
        <v>32313.57</v>
      </c>
      <c r="E660" t="s">
        <v>42</v>
      </c>
      <c r="F660" t="s">
        <v>47</v>
      </c>
      <c r="G660" t="s">
        <v>35</v>
      </c>
      <c r="H660" t="s">
        <v>19</v>
      </c>
      <c r="I660" t="s">
        <v>36</v>
      </c>
      <c r="J660" t="s">
        <v>20</v>
      </c>
      <c r="K660">
        <v>0</v>
      </c>
      <c r="L660">
        <v>3</v>
      </c>
      <c r="M660">
        <v>8.73</v>
      </c>
      <c r="N660">
        <v>1</v>
      </c>
      <c r="O660" t="str">
        <f>IF(financial_fraud_data[[#This Row],[Risk_Score]]&gt;8,"High",IF(financial_fraud_data[[#This Row],[Risk_Score]]&gt;5,"Med","Low"))</f>
        <v>High</v>
      </c>
      <c r="P660" t="str">
        <f>TEXT(financial_fraud_data[[#This Row],[Transaction_Date]],"MMM")</f>
        <v>Jan</v>
      </c>
      <c r="Q660" t="str">
        <f>IF(financial_fraud_data[[#This Row],[Is_Fraud]]=1,"Yes","No")</f>
        <v>Yes</v>
      </c>
    </row>
    <row r="661" spans="1:17" x14ac:dyDescent="0.2">
      <c r="A661" t="s">
        <v>1071</v>
      </c>
      <c r="B661" t="s">
        <v>599</v>
      </c>
      <c r="C661" s="1">
        <v>45319.458333333336</v>
      </c>
      <c r="D661">
        <v>28560.38</v>
      </c>
      <c r="E661" t="s">
        <v>42</v>
      </c>
      <c r="F661" t="s">
        <v>50</v>
      </c>
      <c r="G661" t="s">
        <v>18</v>
      </c>
      <c r="H661" t="s">
        <v>29</v>
      </c>
      <c r="I661" t="s">
        <v>19</v>
      </c>
      <c r="J661" t="s">
        <v>20</v>
      </c>
      <c r="K661">
        <v>0</v>
      </c>
      <c r="L661">
        <v>4</v>
      </c>
      <c r="M661">
        <v>9.86</v>
      </c>
      <c r="N661">
        <v>1</v>
      </c>
      <c r="O661" t="str">
        <f>IF(financial_fraud_data[[#This Row],[Risk_Score]]&gt;8,"High",IF(financial_fraud_data[[#This Row],[Risk_Score]]&gt;5,"Med","Low"))</f>
        <v>High</v>
      </c>
      <c r="P661" t="str">
        <f>TEXT(financial_fraud_data[[#This Row],[Transaction_Date]],"MMM")</f>
        <v>Jan</v>
      </c>
      <c r="Q661" t="str">
        <f>IF(financial_fraud_data[[#This Row],[Is_Fraud]]=1,"Yes","No")</f>
        <v>Yes</v>
      </c>
    </row>
    <row r="662" spans="1:17" x14ac:dyDescent="0.2">
      <c r="A662" t="s">
        <v>1072</v>
      </c>
      <c r="B662" t="s">
        <v>1073</v>
      </c>
      <c r="C662" s="1">
        <v>45319.5</v>
      </c>
      <c r="D662">
        <v>17837.03</v>
      </c>
      <c r="E662" t="s">
        <v>16</v>
      </c>
      <c r="F662" t="s">
        <v>17</v>
      </c>
      <c r="G662" t="s">
        <v>56</v>
      </c>
      <c r="H662" t="s">
        <v>19</v>
      </c>
      <c r="I662" t="s">
        <v>23</v>
      </c>
      <c r="J662" t="s">
        <v>20</v>
      </c>
      <c r="K662">
        <v>0</v>
      </c>
      <c r="L662">
        <v>0</v>
      </c>
      <c r="M662">
        <v>2.78</v>
      </c>
      <c r="N662">
        <v>0</v>
      </c>
      <c r="O662" t="str">
        <f>IF(financial_fraud_data[[#This Row],[Risk_Score]]&gt;8,"High",IF(financial_fraud_data[[#This Row],[Risk_Score]]&gt;5,"Med","Low"))</f>
        <v>Low</v>
      </c>
      <c r="P662" t="str">
        <f>TEXT(financial_fraud_data[[#This Row],[Transaction_Date]],"MMM")</f>
        <v>Jan</v>
      </c>
      <c r="Q662" t="str">
        <f>IF(financial_fraud_data[[#This Row],[Is_Fraud]]=1,"Yes","No")</f>
        <v>No</v>
      </c>
    </row>
    <row r="663" spans="1:17" x14ac:dyDescent="0.2">
      <c r="A663" t="s">
        <v>1074</v>
      </c>
      <c r="B663" t="s">
        <v>1075</v>
      </c>
      <c r="C663" s="1">
        <v>45319.541666666664</v>
      </c>
      <c r="D663">
        <v>49326.44</v>
      </c>
      <c r="E663" t="s">
        <v>34</v>
      </c>
      <c r="F663" t="s">
        <v>50</v>
      </c>
      <c r="G663" t="s">
        <v>28</v>
      </c>
      <c r="H663" t="s">
        <v>19</v>
      </c>
      <c r="I663" t="s">
        <v>24</v>
      </c>
      <c r="J663" t="s">
        <v>20</v>
      </c>
      <c r="K663">
        <v>1</v>
      </c>
      <c r="L663">
        <v>4</v>
      </c>
      <c r="M663">
        <v>13.93</v>
      </c>
      <c r="N663">
        <v>1</v>
      </c>
      <c r="O663" t="str">
        <f>IF(financial_fraud_data[[#This Row],[Risk_Score]]&gt;8,"High",IF(financial_fraud_data[[#This Row],[Risk_Score]]&gt;5,"Med","Low"))</f>
        <v>High</v>
      </c>
      <c r="P663" t="str">
        <f>TEXT(financial_fraud_data[[#This Row],[Transaction_Date]],"MMM")</f>
        <v>Jan</v>
      </c>
      <c r="Q663" t="str">
        <f>IF(financial_fraud_data[[#This Row],[Is_Fraud]]=1,"Yes","No")</f>
        <v>Yes</v>
      </c>
    </row>
    <row r="664" spans="1:17" x14ac:dyDescent="0.2">
      <c r="A664" t="s">
        <v>1076</v>
      </c>
      <c r="B664" t="s">
        <v>1077</v>
      </c>
      <c r="C664" s="1">
        <v>45319.583333333336</v>
      </c>
      <c r="D664">
        <v>30308.45</v>
      </c>
      <c r="E664" t="s">
        <v>42</v>
      </c>
      <c r="F664" t="s">
        <v>17</v>
      </c>
      <c r="G664" t="s">
        <v>65</v>
      </c>
      <c r="H664" t="s">
        <v>29</v>
      </c>
      <c r="I664" t="s">
        <v>36</v>
      </c>
      <c r="J664" t="s">
        <v>20</v>
      </c>
      <c r="K664">
        <v>0</v>
      </c>
      <c r="L664">
        <v>0</v>
      </c>
      <c r="M664">
        <v>4.03</v>
      </c>
      <c r="N664">
        <v>0</v>
      </c>
      <c r="O664" t="str">
        <f>IF(financial_fraud_data[[#This Row],[Risk_Score]]&gt;8,"High",IF(financial_fraud_data[[#This Row],[Risk_Score]]&gt;5,"Med","Low"))</f>
        <v>Low</v>
      </c>
      <c r="P664" t="str">
        <f>TEXT(financial_fraud_data[[#This Row],[Transaction_Date]],"MMM")</f>
        <v>Jan</v>
      </c>
      <c r="Q664" t="str">
        <f>IF(financial_fraud_data[[#This Row],[Is_Fraud]]=1,"Yes","No")</f>
        <v>No</v>
      </c>
    </row>
    <row r="665" spans="1:17" x14ac:dyDescent="0.2">
      <c r="A665" t="s">
        <v>1078</v>
      </c>
      <c r="B665" t="s">
        <v>1079</v>
      </c>
      <c r="C665" s="1">
        <v>45319.625</v>
      </c>
      <c r="D665">
        <v>11899.48</v>
      </c>
      <c r="E665" t="s">
        <v>42</v>
      </c>
      <c r="F665" t="s">
        <v>47</v>
      </c>
      <c r="G665" t="s">
        <v>28</v>
      </c>
      <c r="H665" t="s">
        <v>24</v>
      </c>
      <c r="I665" t="s">
        <v>19</v>
      </c>
      <c r="J665" t="s">
        <v>37</v>
      </c>
      <c r="K665">
        <v>0</v>
      </c>
      <c r="L665">
        <v>2</v>
      </c>
      <c r="M665">
        <v>5.19</v>
      </c>
      <c r="N665">
        <v>1</v>
      </c>
      <c r="O665" t="str">
        <f>IF(financial_fraud_data[[#This Row],[Risk_Score]]&gt;8,"High",IF(financial_fraud_data[[#This Row],[Risk_Score]]&gt;5,"Med","Low"))</f>
        <v>Med</v>
      </c>
      <c r="P665" t="str">
        <f>TEXT(financial_fraud_data[[#This Row],[Transaction_Date]],"MMM")</f>
        <v>Jan</v>
      </c>
      <c r="Q665" t="str">
        <f>IF(financial_fraud_data[[#This Row],[Is_Fraud]]=1,"Yes","No")</f>
        <v>Yes</v>
      </c>
    </row>
    <row r="666" spans="1:17" x14ac:dyDescent="0.2">
      <c r="A666" t="s">
        <v>1080</v>
      </c>
      <c r="B666" t="s">
        <v>1055</v>
      </c>
      <c r="C666" s="1">
        <v>45319.666666666664</v>
      </c>
      <c r="D666">
        <v>5134.03</v>
      </c>
      <c r="E666" t="s">
        <v>80</v>
      </c>
      <c r="F666" t="s">
        <v>47</v>
      </c>
      <c r="G666" t="s">
        <v>65</v>
      </c>
      <c r="H666" t="s">
        <v>19</v>
      </c>
      <c r="I666" t="s">
        <v>19</v>
      </c>
      <c r="J666" t="s">
        <v>37</v>
      </c>
      <c r="K666">
        <v>0</v>
      </c>
      <c r="L666">
        <v>1</v>
      </c>
      <c r="M666">
        <v>2.0099999999999998</v>
      </c>
      <c r="N666">
        <v>0</v>
      </c>
      <c r="O666" t="str">
        <f>IF(financial_fraud_data[[#This Row],[Risk_Score]]&gt;8,"High",IF(financial_fraud_data[[#This Row],[Risk_Score]]&gt;5,"Med","Low"))</f>
        <v>Low</v>
      </c>
      <c r="P666" t="str">
        <f>TEXT(financial_fraud_data[[#This Row],[Transaction_Date]],"MMM")</f>
        <v>Jan</v>
      </c>
      <c r="Q666" t="str">
        <f>IF(financial_fraud_data[[#This Row],[Is_Fraud]]=1,"Yes","No")</f>
        <v>No</v>
      </c>
    </row>
    <row r="667" spans="1:17" x14ac:dyDescent="0.2">
      <c r="A667" t="s">
        <v>1081</v>
      </c>
      <c r="B667" t="s">
        <v>941</v>
      </c>
      <c r="C667" s="1">
        <v>45319.708333333336</v>
      </c>
      <c r="D667">
        <v>7685.31</v>
      </c>
      <c r="E667" t="s">
        <v>34</v>
      </c>
      <c r="F667" t="s">
        <v>17</v>
      </c>
      <c r="G667" t="s">
        <v>35</v>
      </c>
      <c r="H667" t="s">
        <v>23</v>
      </c>
      <c r="I667" t="s">
        <v>36</v>
      </c>
      <c r="J667" t="s">
        <v>37</v>
      </c>
      <c r="K667">
        <v>0</v>
      </c>
      <c r="L667">
        <v>0</v>
      </c>
      <c r="M667">
        <v>1.77</v>
      </c>
      <c r="N667">
        <v>0</v>
      </c>
      <c r="O667" t="str">
        <f>IF(financial_fraud_data[[#This Row],[Risk_Score]]&gt;8,"High",IF(financial_fraud_data[[#This Row],[Risk_Score]]&gt;5,"Med","Low"))</f>
        <v>Low</v>
      </c>
      <c r="P667" t="str">
        <f>TEXT(financial_fraud_data[[#This Row],[Transaction_Date]],"MMM")</f>
        <v>Jan</v>
      </c>
      <c r="Q667" t="str">
        <f>IF(financial_fraud_data[[#This Row],[Is_Fraud]]=1,"Yes","No")</f>
        <v>No</v>
      </c>
    </row>
    <row r="668" spans="1:17" x14ac:dyDescent="0.2">
      <c r="A668" t="s">
        <v>1082</v>
      </c>
      <c r="B668" t="s">
        <v>1083</v>
      </c>
      <c r="C668" s="1">
        <v>45319.75</v>
      </c>
      <c r="D668">
        <v>12335.59</v>
      </c>
      <c r="E668" t="s">
        <v>42</v>
      </c>
      <c r="F668" t="s">
        <v>47</v>
      </c>
      <c r="G668" t="s">
        <v>35</v>
      </c>
      <c r="H668" t="s">
        <v>19</v>
      </c>
      <c r="I668" t="s">
        <v>24</v>
      </c>
      <c r="J668" t="s">
        <v>37</v>
      </c>
      <c r="K668">
        <v>0</v>
      </c>
      <c r="L668">
        <v>3</v>
      </c>
      <c r="M668">
        <v>6.73</v>
      </c>
      <c r="N668">
        <v>1</v>
      </c>
      <c r="O668" t="str">
        <f>IF(financial_fraud_data[[#This Row],[Risk_Score]]&gt;8,"High",IF(financial_fraud_data[[#This Row],[Risk_Score]]&gt;5,"Med","Low"))</f>
        <v>Med</v>
      </c>
      <c r="P668" t="str">
        <f>TEXT(financial_fraud_data[[#This Row],[Transaction_Date]],"MMM")</f>
        <v>Jan</v>
      </c>
      <c r="Q668" t="str">
        <f>IF(financial_fraud_data[[#This Row],[Is_Fraud]]=1,"Yes","No")</f>
        <v>Yes</v>
      </c>
    </row>
    <row r="669" spans="1:17" x14ac:dyDescent="0.2">
      <c r="A669" t="s">
        <v>1084</v>
      </c>
      <c r="B669" t="s">
        <v>842</v>
      </c>
      <c r="C669" s="1">
        <v>45319.791666666664</v>
      </c>
      <c r="D669">
        <v>8076.03</v>
      </c>
      <c r="E669" t="s">
        <v>80</v>
      </c>
      <c r="F669" t="s">
        <v>50</v>
      </c>
      <c r="G669" t="s">
        <v>65</v>
      </c>
      <c r="H669" t="s">
        <v>23</v>
      </c>
      <c r="I669" t="s">
        <v>29</v>
      </c>
      <c r="J669" t="s">
        <v>51</v>
      </c>
      <c r="K669">
        <v>0</v>
      </c>
      <c r="L669">
        <v>3</v>
      </c>
      <c r="M669">
        <v>6.31</v>
      </c>
      <c r="N669">
        <v>1</v>
      </c>
      <c r="O669" t="str">
        <f>IF(financial_fraud_data[[#This Row],[Risk_Score]]&gt;8,"High",IF(financial_fraud_data[[#This Row],[Risk_Score]]&gt;5,"Med","Low"))</f>
        <v>Med</v>
      </c>
      <c r="P669" t="str">
        <f>TEXT(financial_fraud_data[[#This Row],[Transaction_Date]],"MMM")</f>
        <v>Jan</v>
      </c>
      <c r="Q669" t="str">
        <f>IF(financial_fraud_data[[#This Row],[Is_Fraud]]=1,"Yes","No")</f>
        <v>Yes</v>
      </c>
    </row>
    <row r="670" spans="1:17" x14ac:dyDescent="0.2">
      <c r="A670" t="s">
        <v>1085</v>
      </c>
      <c r="B670" t="s">
        <v>398</v>
      </c>
      <c r="C670" s="1">
        <v>45319.833333333336</v>
      </c>
      <c r="D670">
        <v>9369.02</v>
      </c>
      <c r="E670" t="s">
        <v>34</v>
      </c>
      <c r="F670" t="s">
        <v>50</v>
      </c>
      <c r="G670" t="s">
        <v>28</v>
      </c>
      <c r="H670" t="s">
        <v>29</v>
      </c>
      <c r="I670" t="s">
        <v>23</v>
      </c>
      <c r="J670" t="s">
        <v>51</v>
      </c>
      <c r="K670">
        <v>0</v>
      </c>
      <c r="L670">
        <v>1</v>
      </c>
      <c r="M670">
        <v>3.44</v>
      </c>
      <c r="N670">
        <v>0</v>
      </c>
      <c r="O670" t="str">
        <f>IF(financial_fraud_data[[#This Row],[Risk_Score]]&gt;8,"High",IF(financial_fraud_data[[#This Row],[Risk_Score]]&gt;5,"Med","Low"))</f>
        <v>Low</v>
      </c>
      <c r="P670" t="str">
        <f>TEXT(financial_fraud_data[[#This Row],[Transaction_Date]],"MMM")</f>
        <v>Jan</v>
      </c>
      <c r="Q670" t="str">
        <f>IF(financial_fraud_data[[#This Row],[Is_Fraud]]=1,"Yes","No")</f>
        <v>No</v>
      </c>
    </row>
    <row r="671" spans="1:17" x14ac:dyDescent="0.2">
      <c r="A671" t="s">
        <v>1086</v>
      </c>
      <c r="B671" t="s">
        <v>421</v>
      </c>
      <c r="C671" s="1">
        <v>45319.875</v>
      </c>
      <c r="D671">
        <v>14290.5</v>
      </c>
      <c r="E671" t="s">
        <v>16</v>
      </c>
      <c r="F671" t="s">
        <v>27</v>
      </c>
      <c r="G671" t="s">
        <v>65</v>
      </c>
      <c r="H671" t="s">
        <v>19</v>
      </c>
      <c r="I671" t="s">
        <v>19</v>
      </c>
      <c r="J671" t="s">
        <v>37</v>
      </c>
      <c r="K671">
        <v>0</v>
      </c>
      <c r="L671">
        <v>0</v>
      </c>
      <c r="M671">
        <v>1.43</v>
      </c>
      <c r="N671">
        <v>0</v>
      </c>
      <c r="O671" t="str">
        <f>IF(financial_fraud_data[[#This Row],[Risk_Score]]&gt;8,"High",IF(financial_fraud_data[[#This Row],[Risk_Score]]&gt;5,"Med","Low"))</f>
        <v>Low</v>
      </c>
      <c r="P671" t="str">
        <f>TEXT(financial_fraud_data[[#This Row],[Transaction_Date]],"MMM")</f>
        <v>Jan</v>
      </c>
      <c r="Q671" t="str">
        <f>IF(financial_fraud_data[[#This Row],[Is_Fraud]]=1,"Yes","No")</f>
        <v>No</v>
      </c>
    </row>
    <row r="672" spans="1:17" x14ac:dyDescent="0.2">
      <c r="A672" t="s">
        <v>1087</v>
      </c>
      <c r="B672" t="s">
        <v>1088</v>
      </c>
      <c r="C672" s="1">
        <v>45319.916666666664</v>
      </c>
      <c r="D672">
        <v>8710.01</v>
      </c>
      <c r="E672" t="s">
        <v>16</v>
      </c>
      <c r="F672" t="s">
        <v>47</v>
      </c>
      <c r="G672" t="s">
        <v>56</v>
      </c>
      <c r="H672" t="s">
        <v>29</v>
      </c>
      <c r="I672" t="s">
        <v>24</v>
      </c>
      <c r="J672" t="s">
        <v>51</v>
      </c>
      <c r="K672">
        <v>0</v>
      </c>
      <c r="L672">
        <v>1</v>
      </c>
      <c r="M672">
        <v>3.37</v>
      </c>
      <c r="N672">
        <v>0</v>
      </c>
      <c r="O672" t="str">
        <f>IF(financial_fraud_data[[#This Row],[Risk_Score]]&gt;8,"High",IF(financial_fraud_data[[#This Row],[Risk_Score]]&gt;5,"Med","Low"))</f>
        <v>Low</v>
      </c>
      <c r="P672" t="str">
        <f>TEXT(financial_fraud_data[[#This Row],[Transaction_Date]],"MMM")</f>
        <v>Jan</v>
      </c>
      <c r="Q672" t="str">
        <f>IF(financial_fraud_data[[#This Row],[Is_Fraud]]=1,"Yes","No")</f>
        <v>No</v>
      </c>
    </row>
    <row r="673" spans="1:17" x14ac:dyDescent="0.2">
      <c r="A673" t="s">
        <v>1089</v>
      </c>
      <c r="B673" t="s">
        <v>1090</v>
      </c>
      <c r="C673" s="1">
        <v>45319.958333333336</v>
      </c>
      <c r="D673">
        <v>44843.43</v>
      </c>
      <c r="E673" t="s">
        <v>80</v>
      </c>
      <c r="F673" t="s">
        <v>50</v>
      </c>
      <c r="G673" t="s">
        <v>35</v>
      </c>
      <c r="H673" t="s">
        <v>29</v>
      </c>
      <c r="I673" t="s">
        <v>23</v>
      </c>
      <c r="J673" t="s">
        <v>51</v>
      </c>
      <c r="K673">
        <v>0</v>
      </c>
      <c r="L673">
        <v>2</v>
      </c>
      <c r="M673">
        <v>8.48</v>
      </c>
      <c r="N673">
        <v>1</v>
      </c>
      <c r="O673" t="str">
        <f>IF(financial_fraud_data[[#This Row],[Risk_Score]]&gt;8,"High",IF(financial_fraud_data[[#This Row],[Risk_Score]]&gt;5,"Med","Low"))</f>
        <v>High</v>
      </c>
      <c r="P673" t="str">
        <f>TEXT(financial_fraud_data[[#This Row],[Transaction_Date]],"MMM")</f>
        <v>Jan</v>
      </c>
      <c r="Q673" t="str">
        <f>IF(financial_fraud_data[[#This Row],[Is_Fraud]]=1,"Yes","No")</f>
        <v>Yes</v>
      </c>
    </row>
    <row r="674" spans="1:17" x14ac:dyDescent="0.2">
      <c r="A674" t="s">
        <v>1091</v>
      </c>
      <c r="B674" t="s">
        <v>148</v>
      </c>
      <c r="C674" s="1">
        <v>45320</v>
      </c>
      <c r="D674">
        <v>4057.68</v>
      </c>
      <c r="E674" t="s">
        <v>16</v>
      </c>
      <c r="F674" t="s">
        <v>17</v>
      </c>
      <c r="G674" t="s">
        <v>56</v>
      </c>
      <c r="H674" t="s">
        <v>24</v>
      </c>
      <c r="I674" t="s">
        <v>36</v>
      </c>
      <c r="J674" t="s">
        <v>20</v>
      </c>
      <c r="K674">
        <v>1</v>
      </c>
      <c r="L674">
        <v>1</v>
      </c>
      <c r="M674">
        <v>4.91</v>
      </c>
      <c r="N674">
        <v>0</v>
      </c>
      <c r="O674" t="str">
        <f>IF(financial_fraud_data[[#This Row],[Risk_Score]]&gt;8,"High",IF(financial_fraud_data[[#This Row],[Risk_Score]]&gt;5,"Med","Low"))</f>
        <v>Low</v>
      </c>
      <c r="P674" t="str">
        <f>TEXT(financial_fraud_data[[#This Row],[Transaction_Date]],"MMM")</f>
        <v>Jan</v>
      </c>
      <c r="Q674" t="str">
        <f>IF(financial_fraud_data[[#This Row],[Is_Fraud]]=1,"Yes","No")</f>
        <v>No</v>
      </c>
    </row>
    <row r="675" spans="1:17" x14ac:dyDescent="0.2">
      <c r="A675" t="s">
        <v>1092</v>
      </c>
      <c r="B675" t="s">
        <v>247</v>
      </c>
      <c r="C675" s="1">
        <v>45320.041666666664</v>
      </c>
      <c r="D675">
        <v>26249.34</v>
      </c>
      <c r="E675" t="s">
        <v>42</v>
      </c>
      <c r="F675" t="s">
        <v>47</v>
      </c>
      <c r="G675" t="s">
        <v>35</v>
      </c>
      <c r="H675" t="s">
        <v>19</v>
      </c>
      <c r="I675" t="s">
        <v>19</v>
      </c>
      <c r="J675" t="s">
        <v>37</v>
      </c>
      <c r="K675">
        <v>1</v>
      </c>
      <c r="L675">
        <v>2</v>
      </c>
      <c r="M675">
        <v>7.62</v>
      </c>
      <c r="N675">
        <v>1</v>
      </c>
      <c r="O675" t="str">
        <f>IF(financial_fraud_data[[#This Row],[Risk_Score]]&gt;8,"High",IF(financial_fraud_data[[#This Row],[Risk_Score]]&gt;5,"Med","Low"))</f>
        <v>Med</v>
      </c>
      <c r="P675" t="str">
        <f>TEXT(financial_fraud_data[[#This Row],[Transaction_Date]],"MMM")</f>
        <v>Jan</v>
      </c>
      <c r="Q675" t="str">
        <f>IF(financial_fraud_data[[#This Row],[Is_Fraud]]=1,"Yes","No")</f>
        <v>Yes</v>
      </c>
    </row>
    <row r="676" spans="1:17" x14ac:dyDescent="0.2">
      <c r="A676" t="s">
        <v>1093</v>
      </c>
      <c r="B676" t="s">
        <v>464</v>
      </c>
      <c r="C676" s="1">
        <v>45320.083333333336</v>
      </c>
      <c r="D676">
        <v>20549.32</v>
      </c>
      <c r="E676" t="s">
        <v>34</v>
      </c>
      <c r="F676" t="s">
        <v>50</v>
      </c>
      <c r="G676" t="s">
        <v>35</v>
      </c>
      <c r="H676" t="s">
        <v>23</v>
      </c>
      <c r="I676" t="s">
        <v>29</v>
      </c>
      <c r="J676" t="s">
        <v>51</v>
      </c>
      <c r="K676">
        <v>0</v>
      </c>
      <c r="L676">
        <v>3</v>
      </c>
      <c r="M676">
        <v>7.55</v>
      </c>
      <c r="N676">
        <v>1</v>
      </c>
      <c r="O676" t="str">
        <f>IF(financial_fraud_data[[#This Row],[Risk_Score]]&gt;8,"High",IF(financial_fraud_data[[#This Row],[Risk_Score]]&gt;5,"Med","Low"))</f>
        <v>Med</v>
      </c>
      <c r="P676" t="str">
        <f>TEXT(financial_fraud_data[[#This Row],[Transaction_Date]],"MMM")</f>
        <v>Jan</v>
      </c>
      <c r="Q676" t="str">
        <f>IF(financial_fraud_data[[#This Row],[Is_Fraud]]=1,"Yes","No")</f>
        <v>Yes</v>
      </c>
    </row>
    <row r="677" spans="1:17" x14ac:dyDescent="0.2">
      <c r="A677" t="s">
        <v>1094</v>
      </c>
      <c r="B677" t="s">
        <v>133</v>
      </c>
      <c r="C677" s="1">
        <v>45320.125</v>
      </c>
      <c r="D677">
        <v>49119.81</v>
      </c>
      <c r="E677" t="s">
        <v>42</v>
      </c>
      <c r="F677" t="s">
        <v>47</v>
      </c>
      <c r="G677" t="s">
        <v>18</v>
      </c>
      <c r="H677" t="s">
        <v>23</v>
      </c>
      <c r="I677" t="s">
        <v>36</v>
      </c>
      <c r="J677" t="s">
        <v>51</v>
      </c>
      <c r="K677">
        <v>0</v>
      </c>
      <c r="L677">
        <v>2</v>
      </c>
      <c r="M677">
        <v>8.91</v>
      </c>
      <c r="N677">
        <v>1</v>
      </c>
      <c r="O677" t="str">
        <f>IF(financial_fraud_data[[#This Row],[Risk_Score]]&gt;8,"High",IF(financial_fraud_data[[#This Row],[Risk_Score]]&gt;5,"Med","Low"))</f>
        <v>High</v>
      </c>
      <c r="P677" t="str">
        <f>TEXT(financial_fraud_data[[#This Row],[Transaction_Date]],"MMM")</f>
        <v>Jan</v>
      </c>
      <c r="Q677" t="str">
        <f>IF(financial_fraud_data[[#This Row],[Is_Fraud]]=1,"Yes","No")</f>
        <v>Yes</v>
      </c>
    </row>
    <row r="678" spans="1:17" x14ac:dyDescent="0.2">
      <c r="A678" t="s">
        <v>1095</v>
      </c>
      <c r="B678" t="s">
        <v>60</v>
      </c>
      <c r="C678" s="1">
        <v>45320.166666666664</v>
      </c>
      <c r="D678">
        <v>5646.34</v>
      </c>
      <c r="E678" t="s">
        <v>42</v>
      </c>
      <c r="F678" t="s">
        <v>17</v>
      </c>
      <c r="G678" t="s">
        <v>56</v>
      </c>
      <c r="H678" t="s">
        <v>19</v>
      </c>
      <c r="I678" t="s">
        <v>19</v>
      </c>
      <c r="J678" t="s">
        <v>37</v>
      </c>
      <c r="K678">
        <v>0</v>
      </c>
      <c r="L678">
        <v>0</v>
      </c>
      <c r="M678">
        <v>0.56000000000000005</v>
      </c>
      <c r="N678">
        <v>0</v>
      </c>
      <c r="O678" t="str">
        <f>IF(financial_fraud_data[[#This Row],[Risk_Score]]&gt;8,"High",IF(financial_fraud_data[[#This Row],[Risk_Score]]&gt;5,"Med","Low"))</f>
        <v>Low</v>
      </c>
      <c r="P678" t="str">
        <f>TEXT(financial_fraud_data[[#This Row],[Transaction_Date]],"MMM")</f>
        <v>Jan</v>
      </c>
      <c r="Q678" t="str">
        <f>IF(financial_fraud_data[[#This Row],[Is_Fraud]]=1,"Yes","No")</f>
        <v>No</v>
      </c>
    </row>
    <row r="679" spans="1:17" x14ac:dyDescent="0.2">
      <c r="A679" t="s">
        <v>1096</v>
      </c>
      <c r="B679" t="s">
        <v>219</v>
      </c>
      <c r="C679" s="1">
        <v>45320.208333333336</v>
      </c>
      <c r="D679">
        <v>19922.89</v>
      </c>
      <c r="E679" t="s">
        <v>16</v>
      </c>
      <c r="F679" t="s">
        <v>50</v>
      </c>
      <c r="G679" t="s">
        <v>56</v>
      </c>
      <c r="H679" t="s">
        <v>24</v>
      </c>
      <c r="I679" t="s">
        <v>24</v>
      </c>
      <c r="J679" t="s">
        <v>20</v>
      </c>
      <c r="K679">
        <v>0</v>
      </c>
      <c r="L679">
        <v>0</v>
      </c>
      <c r="M679">
        <v>1.99</v>
      </c>
      <c r="N679">
        <v>0</v>
      </c>
      <c r="O679" t="str">
        <f>IF(financial_fraud_data[[#This Row],[Risk_Score]]&gt;8,"High",IF(financial_fraud_data[[#This Row],[Risk_Score]]&gt;5,"Med","Low"))</f>
        <v>Low</v>
      </c>
      <c r="P679" t="str">
        <f>TEXT(financial_fraud_data[[#This Row],[Transaction_Date]],"MMM")</f>
        <v>Jan</v>
      </c>
      <c r="Q679" t="str">
        <f>IF(financial_fraud_data[[#This Row],[Is_Fraud]]=1,"Yes","No")</f>
        <v>No</v>
      </c>
    </row>
    <row r="680" spans="1:17" x14ac:dyDescent="0.2">
      <c r="A680" t="s">
        <v>1097</v>
      </c>
      <c r="B680" t="s">
        <v>55</v>
      </c>
      <c r="C680" s="1">
        <v>45320.25</v>
      </c>
      <c r="D680">
        <v>48475.05</v>
      </c>
      <c r="E680" t="s">
        <v>42</v>
      </c>
      <c r="F680" t="s">
        <v>27</v>
      </c>
      <c r="G680" t="s">
        <v>18</v>
      </c>
      <c r="H680" t="s">
        <v>24</v>
      </c>
      <c r="I680" t="s">
        <v>23</v>
      </c>
      <c r="J680" t="s">
        <v>37</v>
      </c>
      <c r="K680">
        <v>0</v>
      </c>
      <c r="L680">
        <v>0</v>
      </c>
      <c r="M680">
        <v>5.85</v>
      </c>
      <c r="N680">
        <v>1</v>
      </c>
      <c r="O680" t="str">
        <f>IF(financial_fraud_data[[#This Row],[Risk_Score]]&gt;8,"High",IF(financial_fraud_data[[#This Row],[Risk_Score]]&gt;5,"Med","Low"))</f>
        <v>Med</v>
      </c>
      <c r="P680" t="str">
        <f>TEXT(financial_fraud_data[[#This Row],[Transaction_Date]],"MMM")</f>
        <v>Jan</v>
      </c>
      <c r="Q680" t="str">
        <f>IF(financial_fraud_data[[#This Row],[Is_Fraud]]=1,"Yes","No")</f>
        <v>Yes</v>
      </c>
    </row>
    <row r="681" spans="1:17" x14ac:dyDescent="0.2">
      <c r="A681" t="s">
        <v>1098</v>
      </c>
      <c r="B681" t="s">
        <v>1099</v>
      </c>
      <c r="C681" s="1">
        <v>45320.291666666664</v>
      </c>
      <c r="D681">
        <v>43282.080000000002</v>
      </c>
      <c r="E681" t="s">
        <v>16</v>
      </c>
      <c r="F681" t="s">
        <v>27</v>
      </c>
      <c r="G681" t="s">
        <v>28</v>
      </c>
      <c r="H681" t="s">
        <v>24</v>
      </c>
      <c r="I681" t="s">
        <v>23</v>
      </c>
      <c r="J681" t="s">
        <v>20</v>
      </c>
      <c r="K681">
        <v>0</v>
      </c>
      <c r="L681">
        <v>0</v>
      </c>
      <c r="M681">
        <v>5.33</v>
      </c>
      <c r="N681">
        <v>1</v>
      </c>
      <c r="O681" t="str">
        <f>IF(financial_fraud_data[[#This Row],[Risk_Score]]&gt;8,"High",IF(financial_fraud_data[[#This Row],[Risk_Score]]&gt;5,"Med","Low"))</f>
        <v>Med</v>
      </c>
      <c r="P681" t="str">
        <f>TEXT(financial_fraud_data[[#This Row],[Transaction_Date]],"MMM")</f>
        <v>Jan</v>
      </c>
      <c r="Q681" t="str">
        <f>IF(financial_fraud_data[[#This Row],[Is_Fraud]]=1,"Yes","No")</f>
        <v>Yes</v>
      </c>
    </row>
    <row r="682" spans="1:17" x14ac:dyDescent="0.2">
      <c r="A682" t="s">
        <v>1100</v>
      </c>
      <c r="B682" t="s">
        <v>1101</v>
      </c>
      <c r="C682" s="1">
        <v>45320.333333333336</v>
      </c>
      <c r="D682">
        <v>40862.75</v>
      </c>
      <c r="E682" t="s">
        <v>34</v>
      </c>
      <c r="F682" t="s">
        <v>47</v>
      </c>
      <c r="G682" t="s">
        <v>56</v>
      </c>
      <c r="H682" t="s">
        <v>23</v>
      </c>
      <c r="I682" t="s">
        <v>19</v>
      </c>
      <c r="J682" t="s">
        <v>51</v>
      </c>
      <c r="K682">
        <v>0</v>
      </c>
      <c r="L682">
        <v>4</v>
      </c>
      <c r="M682">
        <v>11.09</v>
      </c>
      <c r="N682">
        <v>1</v>
      </c>
      <c r="O682" t="str">
        <f>IF(financial_fraud_data[[#This Row],[Risk_Score]]&gt;8,"High",IF(financial_fraud_data[[#This Row],[Risk_Score]]&gt;5,"Med","Low"))</f>
        <v>High</v>
      </c>
      <c r="P682" t="str">
        <f>TEXT(financial_fraud_data[[#This Row],[Transaction_Date]],"MMM")</f>
        <v>Jan</v>
      </c>
      <c r="Q682" t="str">
        <f>IF(financial_fraud_data[[#This Row],[Is_Fraud]]=1,"Yes","No")</f>
        <v>Yes</v>
      </c>
    </row>
    <row r="683" spans="1:17" x14ac:dyDescent="0.2">
      <c r="A683" t="s">
        <v>1102</v>
      </c>
      <c r="B683" t="s">
        <v>944</v>
      </c>
      <c r="C683" s="1">
        <v>45320.375</v>
      </c>
      <c r="D683">
        <v>12932.25</v>
      </c>
      <c r="E683" t="s">
        <v>34</v>
      </c>
      <c r="F683" t="s">
        <v>17</v>
      </c>
      <c r="G683" t="s">
        <v>65</v>
      </c>
      <c r="H683" t="s">
        <v>29</v>
      </c>
      <c r="I683" t="s">
        <v>36</v>
      </c>
      <c r="J683" t="s">
        <v>20</v>
      </c>
      <c r="K683">
        <v>0</v>
      </c>
      <c r="L683">
        <v>2</v>
      </c>
      <c r="M683">
        <v>5.29</v>
      </c>
      <c r="N683">
        <v>1</v>
      </c>
      <c r="O683" t="str">
        <f>IF(financial_fraud_data[[#This Row],[Risk_Score]]&gt;8,"High",IF(financial_fraud_data[[#This Row],[Risk_Score]]&gt;5,"Med","Low"))</f>
        <v>Med</v>
      </c>
      <c r="P683" t="str">
        <f>TEXT(financial_fraud_data[[#This Row],[Transaction_Date]],"MMM")</f>
        <v>Jan</v>
      </c>
      <c r="Q683" t="str">
        <f>IF(financial_fraud_data[[#This Row],[Is_Fraud]]=1,"Yes","No")</f>
        <v>Yes</v>
      </c>
    </row>
    <row r="684" spans="1:17" x14ac:dyDescent="0.2">
      <c r="A684" t="s">
        <v>1103</v>
      </c>
      <c r="B684" t="s">
        <v>249</v>
      </c>
      <c r="C684" s="1">
        <v>45320.416666666664</v>
      </c>
      <c r="D684">
        <v>8585.83</v>
      </c>
      <c r="E684" t="s">
        <v>42</v>
      </c>
      <c r="F684" t="s">
        <v>50</v>
      </c>
      <c r="G684" t="s">
        <v>18</v>
      </c>
      <c r="H684" t="s">
        <v>24</v>
      </c>
      <c r="I684" t="s">
        <v>29</v>
      </c>
      <c r="J684" t="s">
        <v>20</v>
      </c>
      <c r="K684">
        <v>0</v>
      </c>
      <c r="L684">
        <v>0</v>
      </c>
      <c r="M684">
        <v>1.86</v>
      </c>
      <c r="N684">
        <v>0</v>
      </c>
      <c r="O684" t="str">
        <f>IF(financial_fraud_data[[#This Row],[Risk_Score]]&gt;8,"High",IF(financial_fraud_data[[#This Row],[Risk_Score]]&gt;5,"Med","Low"))</f>
        <v>Low</v>
      </c>
      <c r="P684" t="str">
        <f>TEXT(financial_fraud_data[[#This Row],[Transaction_Date]],"MMM")</f>
        <v>Jan</v>
      </c>
      <c r="Q684" t="str">
        <f>IF(financial_fraud_data[[#This Row],[Is_Fraud]]=1,"Yes","No")</f>
        <v>No</v>
      </c>
    </row>
    <row r="685" spans="1:17" x14ac:dyDescent="0.2">
      <c r="A685" t="s">
        <v>1104</v>
      </c>
      <c r="B685" t="s">
        <v>298</v>
      </c>
      <c r="C685" s="1">
        <v>45320.458333333336</v>
      </c>
      <c r="D685">
        <v>33448.730000000003</v>
      </c>
      <c r="E685" t="s">
        <v>80</v>
      </c>
      <c r="F685" t="s">
        <v>17</v>
      </c>
      <c r="G685" t="s">
        <v>56</v>
      </c>
      <c r="H685" t="s">
        <v>23</v>
      </c>
      <c r="I685" t="s">
        <v>24</v>
      </c>
      <c r="J685" t="s">
        <v>37</v>
      </c>
      <c r="K685">
        <v>1</v>
      </c>
      <c r="L685">
        <v>1</v>
      </c>
      <c r="M685">
        <v>7.84</v>
      </c>
      <c r="N685">
        <v>1</v>
      </c>
      <c r="O685" t="str">
        <f>IF(financial_fraud_data[[#This Row],[Risk_Score]]&gt;8,"High",IF(financial_fraud_data[[#This Row],[Risk_Score]]&gt;5,"Med","Low"))</f>
        <v>Med</v>
      </c>
      <c r="P685" t="str">
        <f>TEXT(financial_fraud_data[[#This Row],[Transaction_Date]],"MMM")</f>
        <v>Jan</v>
      </c>
      <c r="Q685" t="str">
        <f>IF(financial_fraud_data[[#This Row],[Is_Fraud]]=1,"Yes","No")</f>
        <v>Yes</v>
      </c>
    </row>
    <row r="686" spans="1:17" x14ac:dyDescent="0.2">
      <c r="A686" t="s">
        <v>1105</v>
      </c>
      <c r="B686" t="s">
        <v>229</v>
      </c>
      <c r="C686" s="1">
        <v>45320.5</v>
      </c>
      <c r="D686">
        <v>46472.33</v>
      </c>
      <c r="E686" t="s">
        <v>16</v>
      </c>
      <c r="F686" t="s">
        <v>50</v>
      </c>
      <c r="G686" t="s">
        <v>28</v>
      </c>
      <c r="H686" t="s">
        <v>23</v>
      </c>
      <c r="I686" t="s">
        <v>19</v>
      </c>
      <c r="J686" t="s">
        <v>51</v>
      </c>
      <c r="K686">
        <v>0</v>
      </c>
      <c r="L686">
        <v>1</v>
      </c>
      <c r="M686">
        <v>7.15</v>
      </c>
      <c r="N686">
        <v>1</v>
      </c>
      <c r="O686" t="str">
        <f>IF(financial_fraud_data[[#This Row],[Risk_Score]]&gt;8,"High",IF(financial_fraud_data[[#This Row],[Risk_Score]]&gt;5,"Med","Low"))</f>
        <v>Med</v>
      </c>
      <c r="P686" t="str">
        <f>TEXT(financial_fraud_data[[#This Row],[Transaction_Date]],"MMM")</f>
        <v>Jan</v>
      </c>
      <c r="Q686" t="str">
        <f>IF(financial_fraud_data[[#This Row],[Is_Fraud]]=1,"Yes","No")</f>
        <v>Yes</v>
      </c>
    </row>
    <row r="687" spans="1:17" x14ac:dyDescent="0.2">
      <c r="A687" t="s">
        <v>1106</v>
      </c>
      <c r="B687" t="s">
        <v>1107</v>
      </c>
      <c r="C687" s="1">
        <v>45320.541666666664</v>
      </c>
      <c r="D687">
        <v>27860.31</v>
      </c>
      <c r="E687" t="s">
        <v>16</v>
      </c>
      <c r="F687" t="s">
        <v>47</v>
      </c>
      <c r="G687" t="s">
        <v>56</v>
      </c>
      <c r="H687" t="s">
        <v>29</v>
      </c>
      <c r="I687" t="s">
        <v>24</v>
      </c>
      <c r="J687" t="s">
        <v>37</v>
      </c>
      <c r="K687">
        <v>0</v>
      </c>
      <c r="L687">
        <v>4</v>
      </c>
      <c r="M687">
        <v>9.7899999999999991</v>
      </c>
      <c r="N687">
        <v>1</v>
      </c>
      <c r="O687" t="str">
        <f>IF(financial_fraud_data[[#This Row],[Risk_Score]]&gt;8,"High",IF(financial_fraud_data[[#This Row],[Risk_Score]]&gt;5,"Med","Low"))</f>
        <v>High</v>
      </c>
      <c r="P687" t="str">
        <f>TEXT(financial_fraud_data[[#This Row],[Transaction_Date]],"MMM")</f>
        <v>Jan</v>
      </c>
      <c r="Q687" t="str">
        <f>IF(financial_fraud_data[[#This Row],[Is_Fraud]]=1,"Yes","No")</f>
        <v>Yes</v>
      </c>
    </row>
    <row r="688" spans="1:17" x14ac:dyDescent="0.2">
      <c r="A688" t="s">
        <v>1108</v>
      </c>
      <c r="B688" t="s">
        <v>44</v>
      </c>
      <c r="C688" s="1">
        <v>45320.583333333336</v>
      </c>
      <c r="D688">
        <v>28602.05</v>
      </c>
      <c r="E688" t="s">
        <v>42</v>
      </c>
      <c r="F688" t="s">
        <v>50</v>
      </c>
      <c r="G688" t="s">
        <v>35</v>
      </c>
      <c r="H688" t="s">
        <v>19</v>
      </c>
      <c r="I688" t="s">
        <v>23</v>
      </c>
      <c r="J688" t="s">
        <v>37</v>
      </c>
      <c r="K688">
        <v>0</v>
      </c>
      <c r="L688">
        <v>2</v>
      </c>
      <c r="M688">
        <v>6.86</v>
      </c>
      <c r="N688">
        <v>1</v>
      </c>
      <c r="O688" t="str">
        <f>IF(financial_fraud_data[[#This Row],[Risk_Score]]&gt;8,"High",IF(financial_fraud_data[[#This Row],[Risk_Score]]&gt;5,"Med","Low"))</f>
        <v>Med</v>
      </c>
      <c r="P688" t="str">
        <f>TEXT(financial_fraud_data[[#This Row],[Transaction_Date]],"MMM")</f>
        <v>Jan</v>
      </c>
      <c r="Q688" t="str">
        <f>IF(financial_fraud_data[[#This Row],[Is_Fraud]]=1,"Yes","No")</f>
        <v>Yes</v>
      </c>
    </row>
    <row r="689" spans="1:17" x14ac:dyDescent="0.2">
      <c r="A689" t="s">
        <v>1109</v>
      </c>
      <c r="B689" t="s">
        <v>390</v>
      </c>
      <c r="C689" s="1">
        <v>45320.625</v>
      </c>
      <c r="D689">
        <v>14034.96</v>
      </c>
      <c r="E689" t="s">
        <v>16</v>
      </c>
      <c r="F689" t="s">
        <v>17</v>
      </c>
      <c r="G689" t="s">
        <v>65</v>
      </c>
      <c r="H689" t="s">
        <v>19</v>
      </c>
      <c r="I689" t="s">
        <v>29</v>
      </c>
      <c r="J689" t="s">
        <v>51</v>
      </c>
      <c r="K689">
        <v>0</v>
      </c>
      <c r="L689">
        <v>2</v>
      </c>
      <c r="M689">
        <v>5.4</v>
      </c>
      <c r="N689">
        <v>1</v>
      </c>
      <c r="O689" t="str">
        <f>IF(financial_fraud_data[[#This Row],[Risk_Score]]&gt;8,"High",IF(financial_fraud_data[[#This Row],[Risk_Score]]&gt;5,"Med","Low"))</f>
        <v>Med</v>
      </c>
      <c r="P689" t="str">
        <f>TEXT(financial_fraud_data[[#This Row],[Transaction_Date]],"MMM")</f>
        <v>Jan</v>
      </c>
      <c r="Q689" t="str">
        <f>IF(financial_fraud_data[[#This Row],[Is_Fraud]]=1,"Yes","No")</f>
        <v>Yes</v>
      </c>
    </row>
    <row r="690" spans="1:17" x14ac:dyDescent="0.2">
      <c r="A690" t="s">
        <v>1110</v>
      </c>
      <c r="B690" t="s">
        <v>127</v>
      </c>
      <c r="C690" s="1">
        <v>45320.666666666664</v>
      </c>
      <c r="D690">
        <v>38486.17</v>
      </c>
      <c r="E690" t="s">
        <v>16</v>
      </c>
      <c r="F690" t="s">
        <v>17</v>
      </c>
      <c r="G690" t="s">
        <v>18</v>
      </c>
      <c r="H690" t="s">
        <v>24</v>
      </c>
      <c r="I690" t="s">
        <v>24</v>
      </c>
      <c r="J690" t="s">
        <v>37</v>
      </c>
      <c r="K690">
        <v>0</v>
      </c>
      <c r="L690">
        <v>2</v>
      </c>
      <c r="M690">
        <v>6.85</v>
      </c>
      <c r="N690">
        <v>1</v>
      </c>
      <c r="O690" t="str">
        <f>IF(financial_fraud_data[[#This Row],[Risk_Score]]&gt;8,"High",IF(financial_fraud_data[[#This Row],[Risk_Score]]&gt;5,"Med","Low"))</f>
        <v>Med</v>
      </c>
      <c r="P690" t="str">
        <f>TEXT(financial_fraud_data[[#This Row],[Transaction_Date]],"MMM")</f>
        <v>Jan</v>
      </c>
      <c r="Q690" t="str">
        <f>IF(financial_fraud_data[[#This Row],[Is_Fraud]]=1,"Yes","No")</f>
        <v>Yes</v>
      </c>
    </row>
    <row r="691" spans="1:17" x14ac:dyDescent="0.2">
      <c r="A691" t="s">
        <v>1111</v>
      </c>
      <c r="B691" t="s">
        <v>1112</v>
      </c>
      <c r="C691" s="1">
        <v>45320.708333333336</v>
      </c>
      <c r="D691">
        <v>9392.84</v>
      </c>
      <c r="E691" t="s">
        <v>80</v>
      </c>
      <c r="F691" t="s">
        <v>47</v>
      </c>
      <c r="G691" t="s">
        <v>35</v>
      </c>
      <c r="H691" t="s">
        <v>24</v>
      </c>
      <c r="I691" t="s">
        <v>19</v>
      </c>
      <c r="J691" t="s">
        <v>37</v>
      </c>
      <c r="K691">
        <v>0</v>
      </c>
      <c r="L691">
        <v>4</v>
      </c>
      <c r="M691">
        <v>7.94</v>
      </c>
      <c r="N691">
        <v>1</v>
      </c>
      <c r="O691" t="str">
        <f>IF(financial_fraud_data[[#This Row],[Risk_Score]]&gt;8,"High",IF(financial_fraud_data[[#This Row],[Risk_Score]]&gt;5,"Med","Low"))</f>
        <v>Med</v>
      </c>
      <c r="P691" t="str">
        <f>TEXT(financial_fraud_data[[#This Row],[Transaction_Date]],"MMM")</f>
        <v>Jan</v>
      </c>
      <c r="Q691" t="str">
        <f>IF(financial_fraud_data[[#This Row],[Is_Fraud]]=1,"Yes","No")</f>
        <v>Yes</v>
      </c>
    </row>
    <row r="692" spans="1:17" x14ac:dyDescent="0.2">
      <c r="A692" t="s">
        <v>1113</v>
      </c>
      <c r="B692" t="s">
        <v>623</v>
      </c>
      <c r="C692" s="1">
        <v>45320.75</v>
      </c>
      <c r="D692">
        <v>16217.78</v>
      </c>
      <c r="E692" t="s">
        <v>80</v>
      </c>
      <c r="F692" t="s">
        <v>17</v>
      </c>
      <c r="G692" t="s">
        <v>28</v>
      </c>
      <c r="H692" t="s">
        <v>29</v>
      </c>
      <c r="I692" t="s">
        <v>29</v>
      </c>
      <c r="J692" t="s">
        <v>20</v>
      </c>
      <c r="K692">
        <v>0</v>
      </c>
      <c r="L692">
        <v>2</v>
      </c>
      <c r="M692">
        <v>4.62</v>
      </c>
      <c r="N692">
        <v>0</v>
      </c>
      <c r="O692" t="str">
        <f>IF(financial_fraud_data[[#This Row],[Risk_Score]]&gt;8,"High",IF(financial_fraud_data[[#This Row],[Risk_Score]]&gt;5,"Med","Low"))</f>
        <v>Low</v>
      </c>
      <c r="P692" t="str">
        <f>TEXT(financial_fraud_data[[#This Row],[Transaction_Date]],"MMM")</f>
        <v>Jan</v>
      </c>
      <c r="Q692" t="str">
        <f>IF(financial_fraud_data[[#This Row],[Is_Fraud]]=1,"Yes","No")</f>
        <v>No</v>
      </c>
    </row>
    <row r="693" spans="1:17" x14ac:dyDescent="0.2">
      <c r="A693" t="s">
        <v>1114</v>
      </c>
      <c r="B693" t="s">
        <v>221</v>
      </c>
      <c r="C693" s="1">
        <v>45320.791666666664</v>
      </c>
      <c r="D693">
        <v>21300.55</v>
      </c>
      <c r="E693" t="s">
        <v>42</v>
      </c>
      <c r="F693" t="s">
        <v>50</v>
      </c>
      <c r="G693" t="s">
        <v>35</v>
      </c>
      <c r="H693" t="s">
        <v>24</v>
      </c>
      <c r="I693" t="s">
        <v>36</v>
      </c>
      <c r="J693" t="s">
        <v>37</v>
      </c>
      <c r="K693">
        <v>0</v>
      </c>
      <c r="L693">
        <v>2</v>
      </c>
      <c r="M693">
        <v>6.13</v>
      </c>
      <c r="N693">
        <v>1</v>
      </c>
      <c r="O693" t="str">
        <f>IF(financial_fraud_data[[#This Row],[Risk_Score]]&gt;8,"High",IF(financial_fraud_data[[#This Row],[Risk_Score]]&gt;5,"Med","Low"))</f>
        <v>Med</v>
      </c>
      <c r="P693" t="str">
        <f>TEXT(financial_fraud_data[[#This Row],[Transaction_Date]],"MMM")</f>
        <v>Jan</v>
      </c>
      <c r="Q693" t="str">
        <f>IF(financial_fraud_data[[#This Row],[Is_Fraud]]=1,"Yes","No")</f>
        <v>Yes</v>
      </c>
    </row>
    <row r="694" spans="1:17" x14ac:dyDescent="0.2">
      <c r="A694" t="s">
        <v>1115</v>
      </c>
      <c r="B694" t="s">
        <v>860</v>
      </c>
      <c r="C694" s="1">
        <v>45320.833333333336</v>
      </c>
      <c r="D694">
        <v>25405.14</v>
      </c>
      <c r="E694" t="s">
        <v>80</v>
      </c>
      <c r="F694" t="s">
        <v>47</v>
      </c>
      <c r="G694" t="s">
        <v>35</v>
      </c>
      <c r="H694" t="s">
        <v>29</v>
      </c>
      <c r="I694" t="s">
        <v>19</v>
      </c>
      <c r="J694" t="s">
        <v>51</v>
      </c>
      <c r="K694">
        <v>0</v>
      </c>
      <c r="L694">
        <v>0</v>
      </c>
      <c r="M694">
        <v>3.54</v>
      </c>
      <c r="N694">
        <v>0</v>
      </c>
      <c r="O694" t="str">
        <f>IF(financial_fraud_data[[#This Row],[Risk_Score]]&gt;8,"High",IF(financial_fraud_data[[#This Row],[Risk_Score]]&gt;5,"Med","Low"))</f>
        <v>Low</v>
      </c>
      <c r="P694" t="str">
        <f>TEXT(financial_fraud_data[[#This Row],[Transaction_Date]],"MMM")</f>
        <v>Jan</v>
      </c>
      <c r="Q694" t="str">
        <f>IF(financial_fraud_data[[#This Row],[Is_Fraud]]=1,"Yes","No")</f>
        <v>No</v>
      </c>
    </row>
    <row r="695" spans="1:17" x14ac:dyDescent="0.2">
      <c r="A695" t="s">
        <v>1116</v>
      </c>
      <c r="B695" t="s">
        <v>1079</v>
      </c>
      <c r="C695" s="1">
        <v>45320.875</v>
      </c>
      <c r="D695">
        <v>12158.37</v>
      </c>
      <c r="E695" t="s">
        <v>42</v>
      </c>
      <c r="F695" t="s">
        <v>50</v>
      </c>
      <c r="G695" t="s">
        <v>28</v>
      </c>
      <c r="H695" t="s">
        <v>23</v>
      </c>
      <c r="I695" t="s">
        <v>24</v>
      </c>
      <c r="J695" t="s">
        <v>37</v>
      </c>
      <c r="K695">
        <v>0</v>
      </c>
      <c r="L695">
        <v>2</v>
      </c>
      <c r="M695">
        <v>5.22</v>
      </c>
      <c r="N695">
        <v>1</v>
      </c>
      <c r="O695" t="str">
        <f>IF(financial_fraud_data[[#This Row],[Risk_Score]]&gt;8,"High",IF(financial_fraud_data[[#This Row],[Risk_Score]]&gt;5,"Med","Low"))</f>
        <v>Med</v>
      </c>
      <c r="P695" t="str">
        <f>TEXT(financial_fraud_data[[#This Row],[Transaction_Date]],"MMM")</f>
        <v>Jan</v>
      </c>
      <c r="Q695" t="str">
        <f>IF(financial_fraud_data[[#This Row],[Is_Fraud]]=1,"Yes","No")</f>
        <v>Yes</v>
      </c>
    </row>
    <row r="696" spans="1:17" x14ac:dyDescent="0.2">
      <c r="A696" t="s">
        <v>1117</v>
      </c>
      <c r="B696" t="s">
        <v>317</v>
      </c>
      <c r="C696" s="1">
        <v>45320.916666666664</v>
      </c>
      <c r="D696">
        <v>5786.1</v>
      </c>
      <c r="E696" t="s">
        <v>34</v>
      </c>
      <c r="F696" t="s">
        <v>17</v>
      </c>
      <c r="G696" t="s">
        <v>35</v>
      </c>
      <c r="H696" t="s">
        <v>24</v>
      </c>
      <c r="I696" t="s">
        <v>29</v>
      </c>
      <c r="J696" t="s">
        <v>20</v>
      </c>
      <c r="K696">
        <v>1</v>
      </c>
      <c r="L696">
        <v>0</v>
      </c>
      <c r="M696">
        <v>3.58</v>
      </c>
      <c r="N696">
        <v>0</v>
      </c>
      <c r="O696" t="str">
        <f>IF(financial_fraud_data[[#This Row],[Risk_Score]]&gt;8,"High",IF(financial_fraud_data[[#This Row],[Risk_Score]]&gt;5,"Med","Low"))</f>
        <v>Low</v>
      </c>
      <c r="P696" t="str">
        <f>TEXT(financial_fraud_data[[#This Row],[Transaction_Date]],"MMM")</f>
        <v>Jan</v>
      </c>
      <c r="Q696" t="str">
        <f>IF(financial_fraud_data[[#This Row],[Is_Fraud]]=1,"Yes","No")</f>
        <v>No</v>
      </c>
    </row>
    <row r="697" spans="1:17" x14ac:dyDescent="0.2">
      <c r="A697" t="s">
        <v>1118</v>
      </c>
      <c r="B697" t="s">
        <v>1075</v>
      </c>
      <c r="C697" s="1">
        <v>45320.958333333336</v>
      </c>
      <c r="D697">
        <v>30550.47</v>
      </c>
      <c r="E697" t="s">
        <v>42</v>
      </c>
      <c r="F697" t="s">
        <v>47</v>
      </c>
      <c r="G697" t="s">
        <v>18</v>
      </c>
      <c r="H697" t="s">
        <v>23</v>
      </c>
      <c r="I697" t="s">
        <v>19</v>
      </c>
      <c r="J697" t="s">
        <v>37</v>
      </c>
      <c r="K697">
        <v>0</v>
      </c>
      <c r="L697">
        <v>0</v>
      </c>
      <c r="M697">
        <v>4.0599999999999996</v>
      </c>
      <c r="N697">
        <v>0</v>
      </c>
      <c r="O697" t="str">
        <f>IF(financial_fraud_data[[#This Row],[Risk_Score]]&gt;8,"High",IF(financial_fraud_data[[#This Row],[Risk_Score]]&gt;5,"Med","Low"))</f>
        <v>Low</v>
      </c>
      <c r="P697" t="str">
        <f>TEXT(financial_fraud_data[[#This Row],[Transaction_Date]],"MMM")</f>
        <v>Jan</v>
      </c>
      <c r="Q697" t="str">
        <f>IF(financial_fraud_data[[#This Row],[Is_Fraud]]=1,"Yes","No")</f>
        <v>No</v>
      </c>
    </row>
    <row r="698" spans="1:17" x14ac:dyDescent="0.2">
      <c r="A698" t="s">
        <v>1119</v>
      </c>
      <c r="B698" t="s">
        <v>1120</v>
      </c>
      <c r="C698" s="1">
        <v>45321</v>
      </c>
      <c r="D698">
        <v>14467.1</v>
      </c>
      <c r="E698" t="s">
        <v>34</v>
      </c>
      <c r="F698" t="s">
        <v>50</v>
      </c>
      <c r="G698" t="s">
        <v>56</v>
      </c>
      <c r="H698" t="s">
        <v>36</v>
      </c>
      <c r="I698" t="s">
        <v>29</v>
      </c>
      <c r="J698" t="s">
        <v>37</v>
      </c>
      <c r="K698">
        <v>0</v>
      </c>
      <c r="L698">
        <v>2</v>
      </c>
      <c r="M698">
        <v>5.45</v>
      </c>
      <c r="N698">
        <v>1</v>
      </c>
      <c r="O698" t="str">
        <f>IF(financial_fraud_data[[#This Row],[Risk_Score]]&gt;8,"High",IF(financial_fraud_data[[#This Row],[Risk_Score]]&gt;5,"Med","Low"))</f>
        <v>Med</v>
      </c>
      <c r="P698" t="str">
        <f>TEXT(financial_fraud_data[[#This Row],[Transaction_Date]],"MMM")</f>
        <v>Jan</v>
      </c>
      <c r="Q698" t="str">
        <f>IF(financial_fraud_data[[#This Row],[Is_Fraud]]=1,"Yes","No")</f>
        <v>Yes</v>
      </c>
    </row>
    <row r="699" spans="1:17" x14ac:dyDescent="0.2">
      <c r="A699" t="s">
        <v>1121</v>
      </c>
      <c r="B699" t="s">
        <v>477</v>
      </c>
      <c r="C699" s="1">
        <v>45321.041666666664</v>
      </c>
      <c r="D699">
        <v>29082.85</v>
      </c>
      <c r="E699" t="s">
        <v>42</v>
      </c>
      <c r="F699" t="s">
        <v>17</v>
      </c>
      <c r="G699" t="s">
        <v>35</v>
      </c>
      <c r="H699" t="s">
        <v>29</v>
      </c>
      <c r="I699" t="s">
        <v>29</v>
      </c>
      <c r="J699" t="s">
        <v>37</v>
      </c>
      <c r="K699">
        <v>0</v>
      </c>
      <c r="L699">
        <v>1</v>
      </c>
      <c r="M699">
        <v>4.41</v>
      </c>
      <c r="N699">
        <v>0</v>
      </c>
      <c r="O699" t="str">
        <f>IF(financial_fraud_data[[#This Row],[Risk_Score]]&gt;8,"High",IF(financial_fraud_data[[#This Row],[Risk_Score]]&gt;5,"Med","Low"))</f>
        <v>Low</v>
      </c>
      <c r="P699" t="str">
        <f>TEXT(financial_fraud_data[[#This Row],[Transaction_Date]],"MMM")</f>
        <v>Jan</v>
      </c>
      <c r="Q699" t="str">
        <f>IF(financial_fraud_data[[#This Row],[Is_Fraud]]=1,"Yes","No")</f>
        <v>No</v>
      </c>
    </row>
    <row r="700" spans="1:17" x14ac:dyDescent="0.2">
      <c r="A700" t="s">
        <v>1122</v>
      </c>
      <c r="B700" t="s">
        <v>111</v>
      </c>
      <c r="C700" s="1">
        <v>45321.083333333336</v>
      </c>
      <c r="D700">
        <v>7760.42</v>
      </c>
      <c r="E700" t="s">
        <v>16</v>
      </c>
      <c r="F700" t="s">
        <v>17</v>
      </c>
      <c r="G700" t="s">
        <v>18</v>
      </c>
      <c r="H700" t="s">
        <v>36</v>
      </c>
      <c r="I700" t="s">
        <v>29</v>
      </c>
      <c r="J700" t="s">
        <v>20</v>
      </c>
      <c r="K700">
        <v>1</v>
      </c>
      <c r="L700">
        <v>3</v>
      </c>
      <c r="M700">
        <v>8.2799999999999994</v>
      </c>
      <c r="N700">
        <v>1</v>
      </c>
      <c r="O700" t="str">
        <f>IF(financial_fraud_data[[#This Row],[Risk_Score]]&gt;8,"High",IF(financial_fraud_data[[#This Row],[Risk_Score]]&gt;5,"Med","Low"))</f>
        <v>High</v>
      </c>
      <c r="P700" t="str">
        <f>TEXT(financial_fraud_data[[#This Row],[Transaction_Date]],"MMM")</f>
        <v>Jan</v>
      </c>
      <c r="Q700" t="str">
        <f>IF(financial_fraud_data[[#This Row],[Is_Fraud]]=1,"Yes","No")</f>
        <v>Yes</v>
      </c>
    </row>
    <row r="701" spans="1:17" x14ac:dyDescent="0.2">
      <c r="A701" t="s">
        <v>1123</v>
      </c>
      <c r="B701" t="s">
        <v>898</v>
      </c>
      <c r="C701" s="1">
        <v>45321.125</v>
      </c>
      <c r="D701">
        <v>24082.95</v>
      </c>
      <c r="E701" t="s">
        <v>80</v>
      </c>
      <c r="F701" t="s">
        <v>27</v>
      </c>
      <c r="G701" t="s">
        <v>56</v>
      </c>
      <c r="H701" t="s">
        <v>24</v>
      </c>
      <c r="I701" t="s">
        <v>24</v>
      </c>
      <c r="J701" t="s">
        <v>51</v>
      </c>
      <c r="K701">
        <v>0</v>
      </c>
      <c r="L701">
        <v>1</v>
      </c>
      <c r="M701">
        <v>3.91</v>
      </c>
      <c r="N701">
        <v>0</v>
      </c>
      <c r="O701" t="str">
        <f>IF(financial_fraud_data[[#This Row],[Risk_Score]]&gt;8,"High",IF(financial_fraud_data[[#This Row],[Risk_Score]]&gt;5,"Med","Low"))</f>
        <v>Low</v>
      </c>
      <c r="P701" t="str">
        <f>TEXT(financial_fraud_data[[#This Row],[Transaction_Date]],"MMM")</f>
        <v>Jan</v>
      </c>
      <c r="Q701" t="str">
        <f>IF(financial_fraud_data[[#This Row],[Is_Fraud]]=1,"Yes","No")</f>
        <v>No</v>
      </c>
    </row>
    <row r="702" spans="1:17" x14ac:dyDescent="0.2">
      <c r="A702" t="s">
        <v>1124</v>
      </c>
      <c r="B702" t="s">
        <v>1125</v>
      </c>
      <c r="C702" s="1">
        <v>45321.166666666664</v>
      </c>
      <c r="D702">
        <v>26652.84</v>
      </c>
      <c r="E702" t="s">
        <v>34</v>
      </c>
      <c r="F702" t="s">
        <v>17</v>
      </c>
      <c r="G702" t="s">
        <v>56</v>
      </c>
      <c r="H702" t="s">
        <v>23</v>
      </c>
      <c r="I702" t="s">
        <v>19</v>
      </c>
      <c r="J702" t="s">
        <v>51</v>
      </c>
      <c r="K702">
        <v>0</v>
      </c>
      <c r="L702">
        <v>2</v>
      </c>
      <c r="M702">
        <v>6.67</v>
      </c>
      <c r="N702">
        <v>1</v>
      </c>
      <c r="O702" t="str">
        <f>IF(financial_fraud_data[[#This Row],[Risk_Score]]&gt;8,"High",IF(financial_fraud_data[[#This Row],[Risk_Score]]&gt;5,"Med","Low"))</f>
        <v>Med</v>
      </c>
      <c r="P702" t="str">
        <f>TEXT(financial_fraud_data[[#This Row],[Transaction_Date]],"MMM")</f>
        <v>Jan</v>
      </c>
      <c r="Q702" t="str">
        <f>IF(financial_fraud_data[[#This Row],[Is_Fraud]]=1,"Yes","No")</f>
        <v>Yes</v>
      </c>
    </row>
    <row r="703" spans="1:17" x14ac:dyDescent="0.2">
      <c r="A703" t="s">
        <v>1126</v>
      </c>
      <c r="B703" t="s">
        <v>247</v>
      </c>
      <c r="C703" s="1">
        <v>45321.208333333336</v>
      </c>
      <c r="D703">
        <v>2638.59</v>
      </c>
      <c r="E703" t="s">
        <v>42</v>
      </c>
      <c r="F703" t="s">
        <v>50</v>
      </c>
      <c r="G703" t="s">
        <v>35</v>
      </c>
      <c r="H703" t="s">
        <v>24</v>
      </c>
      <c r="I703" t="s">
        <v>23</v>
      </c>
      <c r="J703" t="s">
        <v>20</v>
      </c>
      <c r="K703">
        <v>1</v>
      </c>
      <c r="L703">
        <v>2</v>
      </c>
      <c r="M703">
        <v>6.26</v>
      </c>
      <c r="N703">
        <v>1</v>
      </c>
      <c r="O703" t="str">
        <f>IF(financial_fraud_data[[#This Row],[Risk_Score]]&gt;8,"High",IF(financial_fraud_data[[#This Row],[Risk_Score]]&gt;5,"Med","Low"))</f>
        <v>Med</v>
      </c>
      <c r="P703" t="str">
        <f>TEXT(financial_fraud_data[[#This Row],[Transaction_Date]],"MMM")</f>
        <v>Jan</v>
      </c>
      <c r="Q703" t="str">
        <f>IF(financial_fraud_data[[#This Row],[Is_Fraud]]=1,"Yes","No")</f>
        <v>Yes</v>
      </c>
    </row>
    <row r="704" spans="1:17" x14ac:dyDescent="0.2">
      <c r="A704" t="s">
        <v>1127</v>
      </c>
      <c r="B704" t="s">
        <v>885</v>
      </c>
      <c r="C704" s="1">
        <v>45321.25</v>
      </c>
      <c r="D704">
        <v>16863.38</v>
      </c>
      <c r="E704" t="s">
        <v>80</v>
      </c>
      <c r="F704" t="s">
        <v>47</v>
      </c>
      <c r="G704" t="s">
        <v>18</v>
      </c>
      <c r="H704" t="s">
        <v>36</v>
      </c>
      <c r="I704" t="s">
        <v>23</v>
      </c>
      <c r="J704" t="s">
        <v>20</v>
      </c>
      <c r="K704">
        <v>0</v>
      </c>
      <c r="L704">
        <v>1</v>
      </c>
      <c r="M704">
        <v>4.1900000000000004</v>
      </c>
      <c r="N704">
        <v>0</v>
      </c>
      <c r="O704" t="str">
        <f>IF(financial_fraud_data[[#This Row],[Risk_Score]]&gt;8,"High",IF(financial_fraud_data[[#This Row],[Risk_Score]]&gt;5,"Med","Low"))</f>
        <v>Low</v>
      </c>
      <c r="P704" t="str">
        <f>TEXT(financial_fraud_data[[#This Row],[Transaction_Date]],"MMM")</f>
        <v>Jan</v>
      </c>
      <c r="Q704" t="str">
        <f>IF(financial_fraud_data[[#This Row],[Is_Fraud]]=1,"Yes","No")</f>
        <v>No</v>
      </c>
    </row>
    <row r="705" spans="1:17" x14ac:dyDescent="0.2">
      <c r="A705" t="s">
        <v>1128</v>
      </c>
      <c r="B705" t="s">
        <v>444</v>
      </c>
      <c r="C705" s="1">
        <v>45321.291666666664</v>
      </c>
      <c r="D705">
        <v>6764.01</v>
      </c>
      <c r="E705" t="s">
        <v>42</v>
      </c>
      <c r="F705" t="s">
        <v>27</v>
      </c>
      <c r="G705" t="s">
        <v>35</v>
      </c>
      <c r="H705" t="s">
        <v>24</v>
      </c>
      <c r="I705" t="s">
        <v>24</v>
      </c>
      <c r="J705" t="s">
        <v>37</v>
      </c>
      <c r="K705">
        <v>0</v>
      </c>
      <c r="L705">
        <v>2</v>
      </c>
      <c r="M705">
        <v>3.68</v>
      </c>
      <c r="N705">
        <v>0</v>
      </c>
      <c r="O705" t="str">
        <f>IF(financial_fraud_data[[#This Row],[Risk_Score]]&gt;8,"High",IF(financial_fraud_data[[#This Row],[Risk_Score]]&gt;5,"Med","Low"))</f>
        <v>Low</v>
      </c>
      <c r="P705" t="str">
        <f>TEXT(financial_fraud_data[[#This Row],[Transaction_Date]],"MMM")</f>
        <v>Jan</v>
      </c>
      <c r="Q705" t="str">
        <f>IF(financial_fraud_data[[#This Row],[Is_Fraud]]=1,"Yes","No")</f>
        <v>No</v>
      </c>
    </row>
    <row r="706" spans="1:17" x14ac:dyDescent="0.2">
      <c r="A706" t="s">
        <v>1129</v>
      </c>
      <c r="B706" t="s">
        <v>219</v>
      </c>
      <c r="C706" s="1">
        <v>45321.333333333336</v>
      </c>
      <c r="D706">
        <v>3215.58</v>
      </c>
      <c r="E706" t="s">
        <v>80</v>
      </c>
      <c r="F706" t="s">
        <v>17</v>
      </c>
      <c r="G706" t="s">
        <v>28</v>
      </c>
      <c r="H706" t="s">
        <v>19</v>
      </c>
      <c r="I706" t="s">
        <v>24</v>
      </c>
      <c r="J706" t="s">
        <v>51</v>
      </c>
      <c r="K706">
        <v>0</v>
      </c>
      <c r="L706">
        <v>0</v>
      </c>
      <c r="M706">
        <v>1.32</v>
      </c>
      <c r="N706">
        <v>0</v>
      </c>
      <c r="O706" t="str">
        <f>IF(financial_fraud_data[[#This Row],[Risk_Score]]&gt;8,"High",IF(financial_fraud_data[[#This Row],[Risk_Score]]&gt;5,"Med","Low"))</f>
        <v>Low</v>
      </c>
      <c r="P706" t="str">
        <f>TEXT(financial_fraud_data[[#This Row],[Transaction_Date]],"MMM")</f>
        <v>Jan</v>
      </c>
      <c r="Q706" t="str">
        <f>IF(financial_fraud_data[[#This Row],[Is_Fraud]]=1,"Yes","No")</f>
        <v>No</v>
      </c>
    </row>
    <row r="707" spans="1:17" x14ac:dyDescent="0.2">
      <c r="A707" t="s">
        <v>1130</v>
      </c>
      <c r="B707" t="s">
        <v>352</v>
      </c>
      <c r="C707" s="1">
        <v>45321.375</v>
      </c>
      <c r="D707">
        <v>49498.51</v>
      </c>
      <c r="E707" t="s">
        <v>80</v>
      </c>
      <c r="F707" t="s">
        <v>17</v>
      </c>
      <c r="G707" t="s">
        <v>56</v>
      </c>
      <c r="H707" t="s">
        <v>36</v>
      </c>
      <c r="I707" t="s">
        <v>29</v>
      </c>
      <c r="J707" t="s">
        <v>20</v>
      </c>
      <c r="K707">
        <v>0</v>
      </c>
      <c r="L707">
        <v>4</v>
      </c>
      <c r="M707">
        <v>11.95</v>
      </c>
      <c r="N707">
        <v>1</v>
      </c>
      <c r="O707" t="str">
        <f>IF(financial_fraud_data[[#This Row],[Risk_Score]]&gt;8,"High",IF(financial_fraud_data[[#This Row],[Risk_Score]]&gt;5,"Med","Low"))</f>
        <v>High</v>
      </c>
      <c r="P707" t="str">
        <f>TEXT(financial_fraud_data[[#This Row],[Transaction_Date]],"MMM")</f>
        <v>Jan</v>
      </c>
      <c r="Q707" t="str">
        <f>IF(financial_fraud_data[[#This Row],[Is_Fraud]]=1,"Yes","No")</f>
        <v>Yes</v>
      </c>
    </row>
    <row r="708" spans="1:17" x14ac:dyDescent="0.2">
      <c r="A708" t="s">
        <v>1131</v>
      </c>
      <c r="B708" t="s">
        <v>894</v>
      </c>
      <c r="C708" s="1">
        <v>45321.416666666664</v>
      </c>
      <c r="D708">
        <v>16151.57</v>
      </c>
      <c r="E708" t="s">
        <v>42</v>
      </c>
      <c r="F708" t="s">
        <v>17</v>
      </c>
      <c r="G708" t="s">
        <v>35</v>
      </c>
      <c r="H708" t="s">
        <v>24</v>
      </c>
      <c r="I708" t="s">
        <v>19</v>
      </c>
      <c r="J708" t="s">
        <v>51</v>
      </c>
      <c r="K708">
        <v>0</v>
      </c>
      <c r="L708">
        <v>2</v>
      </c>
      <c r="M708">
        <v>5.62</v>
      </c>
      <c r="N708">
        <v>1</v>
      </c>
      <c r="O708" t="str">
        <f>IF(financial_fraud_data[[#This Row],[Risk_Score]]&gt;8,"High",IF(financial_fraud_data[[#This Row],[Risk_Score]]&gt;5,"Med","Low"))</f>
        <v>Med</v>
      </c>
      <c r="P708" t="str">
        <f>TEXT(financial_fraud_data[[#This Row],[Transaction_Date]],"MMM")</f>
        <v>Jan</v>
      </c>
      <c r="Q708" t="str">
        <f>IF(financial_fraud_data[[#This Row],[Is_Fraud]]=1,"Yes","No")</f>
        <v>Yes</v>
      </c>
    </row>
    <row r="709" spans="1:17" x14ac:dyDescent="0.2">
      <c r="A709" t="s">
        <v>1132</v>
      </c>
      <c r="B709" t="s">
        <v>1073</v>
      </c>
      <c r="C709" s="1">
        <v>45321.458333333336</v>
      </c>
      <c r="D709">
        <v>40503.230000000003</v>
      </c>
      <c r="E709" t="s">
        <v>34</v>
      </c>
      <c r="F709" t="s">
        <v>50</v>
      </c>
      <c r="G709" t="s">
        <v>56</v>
      </c>
      <c r="H709" t="s">
        <v>23</v>
      </c>
      <c r="I709" t="s">
        <v>19</v>
      </c>
      <c r="J709" t="s">
        <v>37</v>
      </c>
      <c r="K709">
        <v>0</v>
      </c>
      <c r="L709">
        <v>2</v>
      </c>
      <c r="M709">
        <v>8.0500000000000007</v>
      </c>
      <c r="N709">
        <v>1</v>
      </c>
      <c r="O709" t="str">
        <f>IF(financial_fraud_data[[#This Row],[Risk_Score]]&gt;8,"High",IF(financial_fraud_data[[#This Row],[Risk_Score]]&gt;5,"Med","Low"))</f>
        <v>High</v>
      </c>
      <c r="P709" t="str">
        <f>TEXT(financial_fraud_data[[#This Row],[Transaction_Date]],"MMM")</f>
        <v>Jan</v>
      </c>
      <c r="Q709" t="str">
        <f>IF(financial_fraud_data[[#This Row],[Is_Fraud]]=1,"Yes","No")</f>
        <v>Yes</v>
      </c>
    </row>
    <row r="710" spans="1:17" x14ac:dyDescent="0.2">
      <c r="A710" t="s">
        <v>1133</v>
      </c>
      <c r="B710" t="s">
        <v>1001</v>
      </c>
      <c r="C710" s="1">
        <v>45321.5</v>
      </c>
      <c r="D710">
        <v>12769.3</v>
      </c>
      <c r="E710" t="s">
        <v>34</v>
      </c>
      <c r="F710" t="s">
        <v>27</v>
      </c>
      <c r="G710" t="s">
        <v>18</v>
      </c>
      <c r="H710" t="s">
        <v>24</v>
      </c>
      <c r="I710" t="s">
        <v>36</v>
      </c>
      <c r="J710" t="s">
        <v>20</v>
      </c>
      <c r="K710">
        <v>0</v>
      </c>
      <c r="L710">
        <v>1</v>
      </c>
      <c r="M710">
        <v>3.78</v>
      </c>
      <c r="N710">
        <v>0</v>
      </c>
      <c r="O710" t="str">
        <f>IF(financial_fraud_data[[#This Row],[Risk_Score]]&gt;8,"High",IF(financial_fraud_data[[#This Row],[Risk_Score]]&gt;5,"Med","Low"))</f>
        <v>Low</v>
      </c>
      <c r="P710" t="str">
        <f>TEXT(financial_fraud_data[[#This Row],[Transaction_Date]],"MMM")</f>
        <v>Jan</v>
      </c>
      <c r="Q710" t="str">
        <f>IF(financial_fraud_data[[#This Row],[Is_Fraud]]=1,"Yes","No")</f>
        <v>No</v>
      </c>
    </row>
    <row r="711" spans="1:17" x14ac:dyDescent="0.2">
      <c r="A711" t="s">
        <v>1134</v>
      </c>
      <c r="B711" t="s">
        <v>842</v>
      </c>
      <c r="C711" s="1">
        <v>45321.541666666664</v>
      </c>
      <c r="D711">
        <v>34091.06</v>
      </c>
      <c r="E711" t="s">
        <v>16</v>
      </c>
      <c r="F711" t="s">
        <v>50</v>
      </c>
      <c r="G711" t="s">
        <v>65</v>
      </c>
      <c r="H711" t="s">
        <v>23</v>
      </c>
      <c r="I711" t="s">
        <v>36</v>
      </c>
      <c r="J711" t="s">
        <v>51</v>
      </c>
      <c r="K711">
        <v>0</v>
      </c>
      <c r="L711">
        <v>0</v>
      </c>
      <c r="M711">
        <v>4.41</v>
      </c>
      <c r="N711">
        <v>0</v>
      </c>
      <c r="O711" t="str">
        <f>IF(financial_fraud_data[[#This Row],[Risk_Score]]&gt;8,"High",IF(financial_fraud_data[[#This Row],[Risk_Score]]&gt;5,"Med","Low"))</f>
        <v>Low</v>
      </c>
      <c r="P711" t="str">
        <f>TEXT(financial_fraud_data[[#This Row],[Transaction_Date]],"MMM")</f>
        <v>Jan</v>
      </c>
      <c r="Q711" t="str">
        <f>IF(financial_fraud_data[[#This Row],[Is_Fraud]]=1,"Yes","No")</f>
        <v>No</v>
      </c>
    </row>
    <row r="712" spans="1:17" x14ac:dyDescent="0.2">
      <c r="A712" t="s">
        <v>1135</v>
      </c>
      <c r="B712" t="s">
        <v>106</v>
      </c>
      <c r="C712" s="1">
        <v>45321.583333333336</v>
      </c>
      <c r="D712">
        <v>38023.379999999997</v>
      </c>
      <c r="E712" t="s">
        <v>80</v>
      </c>
      <c r="F712" t="s">
        <v>27</v>
      </c>
      <c r="G712" t="s">
        <v>35</v>
      </c>
      <c r="H712" t="s">
        <v>19</v>
      </c>
      <c r="I712" t="s">
        <v>23</v>
      </c>
      <c r="J712" t="s">
        <v>51</v>
      </c>
      <c r="K712">
        <v>0</v>
      </c>
      <c r="L712">
        <v>1</v>
      </c>
      <c r="M712">
        <v>6.3</v>
      </c>
      <c r="N712">
        <v>1</v>
      </c>
      <c r="O712" t="str">
        <f>IF(financial_fraud_data[[#This Row],[Risk_Score]]&gt;8,"High",IF(financial_fraud_data[[#This Row],[Risk_Score]]&gt;5,"Med","Low"))</f>
        <v>Med</v>
      </c>
      <c r="P712" t="str">
        <f>TEXT(financial_fraud_data[[#This Row],[Transaction_Date]],"MMM")</f>
        <v>Jan</v>
      </c>
      <c r="Q712" t="str">
        <f>IF(financial_fraud_data[[#This Row],[Is_Fraud]]=1,"Yes","No")</f>
        <v>Yes</v>
      </c>
    </row>
    <row r="713" spans="1:17" x14ac:dyDescent="0.2">
      <c r="A713" t="s">
        <v>1136</v>
      </c>
      <c r="B713" t="s">
        <v>974</v>
      </c>
      <c r="C713" s="1">
        <v>45321.625</v>
      </c>
      <c r="D713">
        <v>29802.16</v>
      </c>
      <c r="E713" t="s">
        <v>16</v>
      </c>
      <c r="F713" t="s">
        <v>47</v>
      </c>
      <c r="G713" t="s">
        <v>35</v>
      </c>
      <c r="H713" t="s">
        <v>24</v>
      </c>
      <c r="I713" t="s">
        <v>36</v>
      </c>
      <c r="J713" t="s">
        <v>37</v>
      </c>
      <c r="K713">
        <v>0</v>
      </c>
      <c r="L713">
        <v>1</v>
      </c>
      <c r="M713">
        <v>5.48</v>
      </c>
      <c r="N713">
        <v>1</v>
      </c>
      <c r="O713" t="str">
        <f>IF(financial_fraud_data[[#This Row],[Risk_Score]]&gt;8,"High",IF(financial_fraud_data[[#This Row],[Risk_Score]]&gt;5,"Med","Low"))</f>
        <v>Med</v>
      </c>
      <c r="P713" t="str">
        <f>TEXT(financial_fraud_data[[#This Row],[Transaction_Date]],"MMM")</f>
        <v>Jan</v>
      </c>
      <c r="Q713" t="str">
        <f>IF(financial_fraud_data[[#This Row],[Is_Fraud]]=1,"Yes","No")</f>
        <v>Yes</v>
      </c>
    </row>
    <row r="714" spans="1:17" x14ac:dyDescent="0.2">
      <c r="A714" t="s">
        <v>1137</v>
      </c>
      <c r="B714" t="s">
        <v>807</v>
      </c>
      <c r="C714" s="1">
        <v>45321.666666666664</v>
      </c>
      <c r="D714">
        <v>23605.23</v>
      </c>
      <c r="E714" t="s">
        <v>16</v>
      </c>
      <c r="F714" t="s">
        <v>50</v>
      </c>
      <c r="G714" t="s">
        <v>56</v>
      </c>
      <c r="H714" t="s">
        <v>19</v>
      </c>
      <c r="I714" t="s">
        <v>36</v>
      </c>
      <c r="J714" t="s">
        <v>20</v>
      </c>
      <c r="K714">
        <v>0</v>
      </c>
      <c r="L714">
        <v>2</v>
      </c>
      <c r="M714">
        <v>6.36</v>
      </c>
      <c r="N714">
        <v>1</v>
      </c>
      <c r="O714" t="str">
        <f>IF(financial_fraud_data[[#This Row],[Risk_Score]]&gt;8,"High",IF(financial_fraud_data[[#This Row],[Risk_Score]]&gt;5,"Med","Low"))</f>
        <v>Med</v>
      </c>
      <c r="P714" t="str">
        <f>TEXT(financial_fraud_data[[#This Row],[Transaction_Date]],"MMM")</f>
        <v>Jan</v>
      </c>
      <c r="Q714" t="str">
        <f>IF(financial_fraud_data[[#This Row],[Is_Fraud]]=1,"Yes","No")</f>
        <v>Yes</v>
      </c>
    </row>
    <row r="715" spans="1:17" x14ac:dyDescent="0.2">
      <c r="A715" t="s">
        <v>1138</v>
      </c>
      <c r="B715" t="s">
        <v>468</v>
      </c>
      <c r="C715" s="1">
        <v>45321.708333333336</v>
      </c>
      <c r="D715">
        <v>20621.45</v>
      </c>
      <c r="E715" t="s">
        <v>42</v>
      </c>
      <c r="F715" t="s">
        <v>50</v>
      </c>
      <c r="G715" t="s">
        <v>18</v>
      </c>
      <c r="H715" t="s">
        <v>36</v>
      </c>
      <c r="I715" t="s">
        <v>23</v>
      </c>
      <c r="J715" t="s">
        <v>51</v>
      </c>
      <c r="K715">
        <v>0</v>
      </c>
      <c r="L715">
        <v>0</v>
      </c>
      <c r="M715">
        <v>3.06</v>
      </c>
      <c r="N715">
        <v>0</v>
      </c>
      <c r="O715" t="str">
        <f>IF(financial_fraud_data[[#This Row],[Risk_Score]]&gt;8,"High",IF(financial_fraud_data[[#This Row],[Risk_Score]]&gt;5,"Med","Low"))</f>
        <v>Low</v>
      </c>
      <c r="P715" t="str">
        <f>TEXT(financial_fraud_data[[#This Row],[Transaction_Date]],"MMM")</f>
        <v>Jan</v>
      </c>
      <c r="Q715" t="str">
        <f>IF(financial_fraud_data[[#This Row],[Is_Fraud]]=1,"Yes","No")</f>
        <v>No</v>
      </c>
    </row>
    <row r="716" spans="1:17" x14ac:dyDescent="0.2">
      <c r="A716" t="s">
        <v>1139</v>
      </c>
      <c r="B716" t="s">
        <v>690</v>
      </c>
      <c r="C716" s="1">
        <v>45321.75</v>
      </c>
      <c r="D716">
        <v>17475.97</v>
      </c>
      <c r="E716" t="s">
        <v>42</v>
      </c>
      <c r="F716" t="s">
        <v>47</v>
      </c>
      <c r="G716" t="s">
        <v>28</v>
      </c>
      <c r="H716" t="s">
        <v>23</v>
      </c>
      <c r="I716" t="s">
        <v>23</v>
      </c>
      <c r="J716" t="s">
        <v>37</v>
      </c>
      <c r="K716">
        <v>0</v>
      </c>
      <c r="L716">
        <v>2</v>
      </c>
      <c r="M716">
        <v>4.75</v>
      </c>
      <c r="N716">
        <v>0</v>
      </c>
      <c r="O716" t="str">
        <f>IF(financial_fraud_data[[#This Row],[Risk_Score]]&gt;8,"High",IF(financial_fraud_data[[#This Row],[Risk_Score]]&gt;5,"Med","Low"))</f>
        <v>Low</v>
      </c>
      <c r="P716" t="str">
        <f>TEXT(financial_fraud_data[[#This Row],[Transaction_Date]],"MMM")</f>
        <v>Jan</v>
      </c>
      <c r="Q716" t="str">
        <f>IF(financial_fraud_data[[#This Row],[Is_Fraud]]=1,"Yes","No")</f>
        <v>No</v>
      </c>
    </row>
    <row r="717" spans="1:17" x14ac:dyDescent="0.2">
      <c r="A717" t="s">
        <v>1140</v>
      </c>
      <c r="B717" t="s">
        <v>210</v>
      </c>
      <c r="C717" s="1">
        <v>45321.791666666664</v>
      </c>
      <c r="D717">
        <v>46479.98</v>
      </c>
      <c r="E717" t="s">
        <v>42</v>
      </c>
      <c r="F717" t="s">
        <v>27</v>
      </c>
      <c r="G717" t="s">
        <v>18</v>
      </c>
      <c r="H717" t="s">
        <v>36</v>
      </c>
      <c r="I717" t="s">
        <v>36</v>
      </c>
      <c r="J717" t="s">
        <v>51</v>
      </c>
      <c r="K717">
        <v>1</v>
      </c>
      <c r="L717">
        <v>2</v>
      </c>
      <c r="M717">
        <v>9.65</v>
      </c>
      <c r="N717">
        <v>1</v>
      </c>
      <c r="O717" t="str">
        <f>IF(financial_fraud_data[[#This Row],[Risk_Score]]&gt;8,"High",IF(financial_fraud_data[[#This Row],[Risk_Score]]&gt;5,"Med","Low"))</f>
        <v>High</v>
      </c>
      <c r="P717" t="str">
        <f>TEXT(financial_fraud_data[[#This Row],[Transaction_Date]],"MMM")</f>
        <v>Jan</v>
      </c>
      <c r="Q717" t="str">
        <f>IF(financial_fraud_data[[#This Row],[Is_Fraud]]=1,"Yes","No")</f>
        <v>Yes</v>
      </c>
    </row>
    <row r="718" spans="1:17" x14ac:dyDescent="0.2">
      <c r="A718" t="s">
        <v>1141</v>
      </c>
      <c r="B718" t="s">
        <v>88</v>
      </c>
      <c r="C718" s="1">
        <v>45321.833333333336</v>
      </c>
      <c r="D718">
        <v>41539.440000000002</v>
      </c>
      <c r="E718" t="s">
        <v>80</v>
      </c>
      <c r="F718" t="s">
        <v>17</v>
      </c>
      <c r="G718" t="s">
        <v>35</v>
      </c>
      <c r="H718" t="s">
        <v>23</v>
      </c>
      <c r="I718" t="s">
        <v>19</v>
      </c>
      <c r="J718" t="s">
        <v>37</v>
      </c>
      <c r="K718">
        <v>0</v>
      </c>
      <c r="L718">
        <v>2</v>
      </c>
      <c r="M718">
        <v>8.15</v>
      </c>
      <c r="N718">
        <v>1</v>
      </c>
      <c r="O718" t="str">
        <f>IF(financial_fraud_data[[#This Row],[Risk_Score]]&gt;8,"High",IF(financial_fraud_data[[#This Row],[Risk_Score]]&gt;5,"Med","Low"))</f>
        <v>High</v>
      </c>
      <c r="P718" t="str">
        <f>TEXT(financial_fraud_data[[#This Row],[Transaction_Date]],"MMM")</f>
        <v>Jan</v>
      </c>
      <c r="Q718" t="str">
        <f>IF(financial_fraud_data[[#This Row],[Is_Fraud]]=1,"Yes","No")</f>
        <v>Yes</v>
      </c>
    </row>
    <row r="719" spans="1:17" x14ac:dyDescent="0.2">
      <c r="A719" t="s">
        <v>1142</v>
      </c>
      <c r="B719" t="s">
        <v>1083</v>
      </c>
      <c r="C719" s="1">
        <v>45321.875</v>
      </c>
      <c r="D719">
        <v>48253.09</v>
      </c>
      <c r="E719" t="s">
        <v>42</v>
      </c>
      <c r="F719" t="s">
        <v>47</v>
      </c>
      <c r="G719" t="s">
        <v>28</v>
      </c>
      <c r="H719" t="s">
        <v>19</v>
      </c>
      <c r="I719" t="s">
        <v>36</v>
      </c>
      <c r="J719" t="s">
        <v>51</v>
      </c>
      <c r="K719">
        <v>1</v>
      </c>
      <c r="L719">
        <v>2</v>
      </c>
      <c r="M719">
        <v>10.83</v>
      </c>
      <c r="N719">
        <v>1</v>
      </c>
      <c r="O719" t="str">
        <f>IF(financial_fraud_data[[#This Row],[Risk_Score]]&gt;8,"High",IF(financial_fraud_data[[#This Row],[Risk_Score]]&gt;5,"Med","Low"))</f>
        <v>High</v>
      </c>
      <c r="P719" t="str">
        <f>TEXT(financial_fraud_data[[#This Row],[Transaction_Date]],"MMM")</f>
        <v>Jan</v>
      </c>
      <c r="Q719" t="str">
        <f>IF(financial_fraud_data[[#This Row],[Is_Fraud]]=1,"Yes","No")</f>
        <v>Yes</v>
      </c>
    </row>
    <row r="720" spans="1:17" x14ac:dyDescent="0.2">
      <c r="A720" t="s">
        <v>1143</v>
      </c>
      <c r="B720" t="s">
        <v>117</v>
      </c>
      <c r="C720" s="1">
        <v>45321.916666666664</v>
      </c>
      <c r="D720">
        <v>6258.65</v>
      </c>
      <c r="E720" t="s">
        <v>42</v>
      </c>
      <c r="F720" t="s">
        <v>17</v>
      </c>
      <c r="G720" t="s">
        <v>18</v>
      </c>
      <c r="H720" t="s">
        <v>29</v>
      </c>
      <c r="I720" t="s">
        <v>29</v>
      </c>
      <c r="J720" t="s">
        <v>51</v>
      </c>
      <c r="K720">
        <v>0</v>
      </c>
      <c r="L720">
        <v>4</v>
      </c>
      <c r="M720">
        <v>6.63</v>
      </c>
      <c r="N720">
        <v>1</v>
      </c>
      <c r="O720" t="str">
        <f>IF(financial_fraud_data[[#This Row],[Risk_Score]]&gt;8,"High",IF(financial_fraud_data[[#This Row],[Risk_Score]]&gt;5,"Med","Low"))</f>
        <v>Med</v>
      </c>
      <c r="P720" t="str">
        <f>TEXT(financial_fraud_data[[#This Row],[Transaction_Date]],"MMM")</f>
        <v>Jan</v>
      </c>
      <c r="Q720" t="str">
        <f>IF(financial_fraud_data[[#This Row],[Is_Fraud]]=1,"Yes","No")</f>
        <v>Yes</v>
      </c>
    </row>
    <row r="721" spans="1:17" x14ac:dyDescent="0.2">
      <c r="A721" t="s">
        <v>1144</v>
      </c>
      <c r="B721" t="s">
        <v>502</v>
      </c>
      <c r="C721" s="1">
        <v>45321.958333333336</v>
      </c>
      <c r="D721">
        <v>36556.83</v>
      </c>
      <c r="E721" t="s">
        <v>80</v>
      </c>
      <c r="F721" t="s">
        <v>17</v>
      </c>
      <c r="G721" t="s">
        <v>65</v>
      </c>
      <c r="H721" t="s">
        <v>24</v>
      </c>
      <c r="I721" t="s">
        <v>29</v>
      </c>
      <c r="J721" t="s">
        <v>37</v>
      </c>
      <c r="K721">
        <v>0</v>
      </c>
      <c r="L721">
        <v>3</v>
      </c>
      <c r="M721">
        <v>9.16</v>
      </c>
      <c r="N721">
        <v>1</v>
      </c>
      <c r="O721" t="str">
        <f>IF(financial_fraud_data[[#This Row],[Risk_Score]]&gt;8,"High",IF(financial_fraud_data[[#This Row],[Risk_Score]]&gt;5,"Med","Low"))</f>
        <v>High</v>
      </c>
      <c r="P721" t="str">
        <f>TEXT(financial_fraud_data[[#This Row],[Transaction_Date]],"MMM")</f>
        <v>Jan</v>
      </c>
      <c r="Q721" t="str">
        <f>IF(financial_fraud_data[[#This Row],[Is_Fraud]]=1,"Yes","No")</f>
        <v>Yes</v>
      </c>
    </row>
    <row r="722" spans="1:17" x14ac:dyDescent="0.2">
      <c r="A722" t="s">
        <v>1145</v>
      </c>
      <c r="B722" t="s">
        <v>705</v>
      </c>
      <c r="C722" s="1">
        <v>45322</v>
      </c>
      <c r="D722">
        <v>46920.11</v>
      </c>
      <c r="E722" t="s">
        <v>80</v>
      </c>
      <c r="F722" t="s">
        <v>47</v>
      </c>
      <c r="G722" t="s">
        <v>56</v>
      </c>
      <c r="H722" t="s">
        <v>19</v>
      </c>
      <c r="I722" t="s">
        <v>29</v>
      </c>
      <c r="J722" t="s">
        <v>20</v>
      </c>
      <c r="K722">
        <v>0</v>
      </c>
      <c r="L722">
        <v>0</v>
      </c>
      <c r="M722">
        <v>5.69</v>
      </c>
      <c r="N722">
        <v>1</v>
      </c>
      <c r="O722" t="str">
        <f>IF(financial_fraud_data[[#This Row],[Risk_Score]]&gt;8,"High",IF(financial_fraud_data[[#This Row],[Risk_Score]]&gt;5,"Med","Low"))</f>
        <v>Med</v>
      </c>
      <c r="P722" t="str">
        <f>TEXT(financial_fraud_data[[#This Row],[Transaction_Date]],"MMM")</f>
        <v>Jan</v>
      </c>
      <c r="Q722" t="str">
        <f>IF(financial_fraud_data[[#This Row],[Is_Fraud]]=1,"Yes","No")</f>
        <v>Yes</v>
      </c>
    </row>
    <row r="723" spans="1:17" x14ac:dyDescent="0.2">
      <c r="A723" t="s">
        <v>1146</v>
      </c>
      <c r="B723" t="s">
        <v>84</v>
      </c>
      <c r="C723" s="1">
        <v>45322.041666666664</v>
      </c>
      <c r="D723">
        <v>9102.59</v>
      </c>
      <c r="E723" t="s">
        <v>34</v>
      </c>
      <c r="F723" t="s">
        <v>27</v>
      </c>
      <c r="G723" t="s">
        <v>18</v>
      </c>
      <c r="H723" t="s">
        <v>23</v>
      </c>
      <c r="I723" t="s">
        <v>24</v>
      </c>
      <c r="J723" t="s">
        <v>37</v>
      </c>
      <c r="K723">
        <v>0</v>
      </c>
      <c r="L723">
        <v>4</v>
      </c>
      <c r="M723">
        <v>7.91</v>
      </c>
      <c r="N723">
        <v>1</v>
      </c>
      <c r="O723" t="str">
        <f>IF(financial_fraud_data[[#This Row],[Risk_Score]]&gt;8,"High",IF(financial_fraud_data[[#This Row],[Risk_Score]]&gt;5,"Med","Low"))</f>
        <v>Med</v>
      </c>
      <c r="P723" t="str">
        <f>TEXT(financial_fraud_data[[#This Row],[Transaction_Date]],"MMM")</f>
        <v>Jan</v>
      </c>
      <c r="Q723" t="str">
        <f>IF(financial_fraud_data[[#This Row],[Is_Fraud]]=1,"Yes","No")</f>
        <v>Yes</v>
      </c>
    </row>
    <row r="724" spans="1:17" x14ac:dyDescent="0.2">
      <c r="A724" t="s">
        <v>1147</v>
      </c>
      <c r="B724" t="s">
        <v>158</v>
      </c>
      <c r="C724" s="1">
        <v>45322.083333333336</v>
      </c>
      <c r="D724">
        <v>3371.49</v>
      </c>
      <c r="E724" t="s">
        <v>42</v>
      </c>
      <c r="F724" t="s">
        <v>17</v>
      </c>
      <c r="G724" t="s">
        <v>18</v>
      </c>
      <c r="H724" t="s">
        <v>23</v>
      </c>
      <c r="I724" t="s">
        <v>29</v>
      </c>
      <c r="J724" t="s">
        <v>20</v>
      </c>
      <c r="K724">
        <v>1</v>
      </c>
      <c r="L724">
        <v>3</v>
      </c>
      <c r="M724">
        <v>7.84</v>
      </c>
      <c r="N724">
        <v>1</v>
      </c>
      <c r="O724" t="str">
        <f>IF(financial_fraud_data[[#This Row],[Risk_Score]]&gt;8,"High",IF(financial_fraud_data[[#This Row],[Risk_Score]]&gt;5,"Med","Low"))</f>
        <v>Med</v>
      </c>
      <c r="P724" t="str">
        <f>TEXT(financial_fraud_data[[#This Row],[Transaction_Date]],"MMM")</f>
        <v>Jan</v>
      </c>
      <c r="Q724" t="str">
        <f>IF(financial_fraud_data[[#This Row],[Is_Fraud]]=1,"Yes","No")</f>
        <v>Yes</v>
      </c>
    </row>
    <row r="725" spans="1:17" x14ac:dyDescent="0.2">
      <c r="A725" t="s">
        <v>1148</v>
      </c>
      <c r="B725" t="s">
        <v>289</v>
      </c>
      <c r="C725" s="1">
        <v>45322.125</v>
      </c>
      <c r="D725">
        <v>37068.980000000003</v>
      </c>
      <c r="E725" t="s">
        <v>42</v>
      </c>
      <c r="F725" t="s">
        <v>47</v>
      </c>
      <c r="G725" t="s">
        <v>65</v>
      </c>
      <c r="H725" t="s">
        <v>23</v>
      </c>
      <c r="I725" t="s">
        <v>19</v>
      </c>
      <c r="J725" t="s">
        <v>51</v>
      </c>
      <c r="K725">
        <v>1</v>
      </c>
      <c r="L725">
        <v>3</v>
      </c>
      <c r="M725">
        <v>11.21</v>
      </c>
      <c r="N725">
        <v>1</v>
      </c>
      <c r="O725" t="str">
        <f>IF(financial_fraud_data[[#This Row],[Risk_Score]]&gt;8,"High",IF(financial_fraud_data[[#This Row],[Risk_Score]]&gt;5,"Med","Low"))</f>
        <v>High</v>
      </c>
      <c r="P725" t="str">
        <f>TEXT(financial_fraud_data[[#This Row],[Transaction_Date]],"MMM")</f>
        <v>Jan</v>
      </c>
      <c r="Q725" t="str">
        <f>IF(financial_fraud_data[[#This Row],[Is_Fraud]]=1,"Yes","No")</f>
        <v>Yes</v>
      </c>
    </row>
    <row r="726" spans="1:17" x14ac:dyDescent="0.2">
      <c r="A726" t="s">
        <v>1149</v>
      </c>
      <c r="B726" t="s">
        <v>1150</v>
      </c>
      <c r="C726" s="1">
        <v>45322.166666666664</v>
      </c>
      <c r="D726">
        <v>28744.93</v>
      </c>
      <c r="E726" t="s">
        <v>42</v>
      </c>
      <c r="F726" t="s">
        <v>50</v>
      </c>
      <c r="G726" t="s">
        <v>35</v>
      </c>
      <c r="H726" t="s">
        <v>23</v>
      </c>
      <c r="I726" t="s">
        <v>24</v>
      </c>
      <c r="J726" t="s">
        <v>51</v>
      </c>
      <c r="K726">
        <v>0</v>
      </c>
      <c r="L726">
        <v>3</v>
      </c>
      <c r="M726">
        <v>8.3699999999999992</v>
      </c>
      <c r="N726">
        <v>1</v>
      </c>
      <c r="O726" t="str">
        <f>IF(financial_fraud_data[[#This Row],[Risk_Score]]&gt;8,"High",IF(financial_fraud_data[[#This Row],[Risk_Score]]&gt;5,"Med","Low"))</f>
        <v>High</v>
      </c>
      <c r="P726" t="str">
        <f>TEXT(financial_fraud_data[[#This Row],[Transaction_Date]],"MMM")</f>
        <v>Jan</v>
      </c>
      <c r="Q726" t="str">
        <f>IF(financial_fraud_data[[#This Row],[Is_Fraud]]=1,"Yes","No")</f>
        <v>Yes</v>
      </c>
    </row>
    <row r="727" spans="1:17" x14ac:dyDescent="0.2">
      <c r="A727" t="s">
        <v>1151</v>
      </c>
      <c r="B727" t="s">
        <v>306</v>
      </c>
      <c r="C727" s="1">
        <v>45322.208333333336</v>
      </c>
      <c r="D727">
        <v>42099.35</v>
      </c>
      <c r="E727" t="s">
        <v>34</v>
      </c>
      <c r="F727" t="s">
        <v>50</v>
      </c>
      <c r="G727" t="s">
        <v>56</v>
      </c>
      <c r="H727" t="s">
        <v>24</v>
      </c>
      <c r="I727" t="s">
        <v>24</v>
      </c>
      <c r="J727" t="s">
        <v>37</v>
      </c>
      <c r="K727">
        <v>0</v>
      </c>
      <c r="L727">
        <v>4</v>
      </c>
      <c r="M727">
        <v>10.210000000000001</v>
      </c>
      <c r="N727">
        <v>1</v>
      </c>
      <c r="O727" t="str">
        <f>IF(financial_fraud_data[[#This Row],[Risk_Score]]&gt;8,"High",IF(financial_fraud_data[[#This Row],[Risk_Score]]&gt;5,"Med","Low"))</f>
        <v>High</v>
      </c>
      <c r="P727" t="str">
        <f>TEXT(financial_fraud_data[[#This Row],[Transaction_Date]],"MMM")</f>
        <v>Jan</v>
      </c>
      <c r="Q727" t="str">
        <f>IF(financial_fraud_data[[#This Row],[Is_Fraud]]=1,"Yes","No")</f>
        <v>Yes</v>
      </c>
    </row>
    <row r="728" spans="1:17" x14ac:dyDescent="0.2">
      <c r="A728" t="s">
        <v>1152</v>
      </c>
      <c r="B728" t="s">
        <v>156</v>
      </c>
      <c r="C728" s="1">
        <v>45322.25</v>
      </c>
      <c r="D728">
        <v>7031.63</v>
      </c>
      <c r="E728" t="s">
        <v>42</v>
      </c>
      <c r="F728" t="s">
        <v>50</v>
      </c>
      <c r="G728" t="s">
        <v>18</v>
      </c>
      <c r="H728" t="s">
        <v>36</v>
      </c>
      <c r="I728" t="s">
        <v>29</v>
      </c>
      <c r="J728" t="s">
        <v>37</v>
      </c>
      <c r="K728">
        <v>0</v>
      </c>
      <c r="L728">
        <v>0</v>
      </c>
      <c r="M728">
        <v>1.7</v>
      </c>
      <c r="N728">
        <v>0</v>
      </c>
      <c r="O728" t="str">
        <f>IF(financial_fraud_data[[#This Row],[Risk_Score]]&gt;8,"High",IF(financial_fraud_data[[#This Row],[Risk_Score]]&gt;5,"Med","Low"))</f>
        <v>Low</v>
      </c>
      <c r="P728" t="str">
        <f>TEXT(financial_fraud_data[[#This Row],[Transaction_Date]],"MMM")</f>
        <v>Jan</v>
      </c>
      <c r="Q728" t="str">
        <f>IF(financial_fraud_data[[#This Row],[Is_Fraud]]=1,"Yes","No")</f>
        <v>No</v>
      </c>
    </row>
    <row r="729" spans="1:17" x14ac:dyDescent="0.2">
      <c r="A729" t="s">
        <v>1153</v>
      </c>
      <c r="B729" t="s">
        <v>957</v>
      </c>
      <c r="C729" s="1">
        <v>45322.291666666664</v>
      </c>
      <c r="D729">
        <v>39773.599999999999</v>
      </c>
      <c r="E729" t="s">
        <v>34</v>
      </c>
      <c r="F729" t="s">
        <v>47</v>
      </c>
      <c r="G729" t="s">
        <v>28</v>
      </c>
      <c r="H729" t="s">
        <v>29</v>
      </c>
      <c r="I729" t="s">
        <v>36</v>
      </c>
      <c r="J729" t="s">
        <v>20</v>
      </c>
      <c r="K729">
        <v>0</v>
      </c>
      <c r="L729">
        <v>1</v>
      </c>
      <c r="M729">
        <v>6.48</v>
      </c>
      <c r="N729">
        <v>1</v>
      </c>
      <c r="O729" t="str">
        <f>IF(financial_fraud_data[[#This Row],[Risk_Score]]&gt;8,"High",IF(financial_fraud_data[[#This Row],[Risk_Score]]&gt;5,"Med","Low"))</f>
        <v>Med</v>
      </c>
      <c r="P729" t="str">
        <f>TEXT(financial_fraud_data[[#This Row],[Transaction_Date]],"MMM")</f>
        <v>Jan</v>
      </c>
      <c r="Q729" t="str">
        <f>IF(financial_fraud_data[[#This Row],[Is_Fraud]]=1,"Yes","No")</f>
        <v>Yes</v>
      </c>
    </row>
    <row r="730" spans="1:17" x14ac:dyDescent="0.2">
      <c r="A730" t="s">
        <v>1154</v>
      </c>
      <c r="B730" t="s">
        <v>567</v>
      </c>
      <c r="C730" s="1">
        <v>45322.333333333336</v>
      </c>
      <c r="D730">
        <v>10121.280000000001</v>
      </c>
      <c r="E730" t="s">
        <v>16</v>
      </c>
      <c r="F730" t="s">
        <v>50</v>
      </c>
      <c r="G730" t="s">
        <v>18</v>
      </c>
      <c r="H730" t="s">
        <v>24</v>
      </c>
      <c r="I730" t="s">
        <v>23</v>
      </c>
      <c r="J730" t="s">
        <v>20</v>
      </c>
      <c r="K730">
        <v>0</v>
      </c>
      <c r="L730">
        <v>3</v>
      </c>
      <c r="M730">
        <v>6.51</v>
      </c>
      <c r="N730">
        <v>1</v>
      </c>
      <c r="O730" t="str">
        <f>IF(financial_fraud_data[[#This Row],[Risk_Score]]&gt;8,"High",IF(financial_fraud_data[[#This Row],[Risk_Score]]&gt;5,"Med","Low"))</f>
        <v>Med</v>
      </c>
      <c r="P730" t="str">
        <f>TEXT(financial_fraud_data[[#This Row],[Transaction_Date]],"MMM")</f>
        <v>Jan</v>
      </c>
      <c r="Q730" t="str">
        <f>IF(financial_fraud_data[[#This Row],[Is_Fraud]]=1,"Yes","No")</f>
        <v>Yes</v>
      </c>
    </row>
    <row r="731" spans="1:17" x14ac:dyDescent="0.2">
      <c r="A731" t="s">
        <v>1155</v>
      </c>
      <c r="B731" t="s">
        <v>251</v>
      </c>
      <c r="C731" s="1">
        <v>45322.375</v>
      </c>
      <c r="D731">
        <v>8224.61</v>
      </c>
      <c r="E731" t="s">
        <v>34</v>
      </c>
      <c r="F731" t="s">
        <v>17</v>
      </c>
      <c r="G731" t="s">
        <v>56</v>
      </c>
      <c r="H731" t="s">
        <v>23</v>
      </c>
      <c r="I731" t="s">
        <v>36</v>
      </c>
      <c r="J731" t="s">
        <v>20</v>
      </c>
      <c r="K731">
        <v>0</v>
      </c>
      <c r="L731">
        <v>1</v>
      </c>
      <c r="M731">
        <v>3.32</v>
      </c>
      <c r="N731">
        <v>0</v>
      </c>
      <c r="O731" t="str">
        <f>IF(financial_fraud_data[[#This Row],[Risk_Score]]&gt;8,"High",IF(financial_fraud_data[[#This Row],[Risk_Score]]&gt;5,"Med","Low"))</f>
        <v>Low</v>
      </c>
      <c r="P731" t="str">
        <f>TEXT(financial_fraud_data[[#This Row],[Transaction_Date]],"MMM")</f>
        <v>Jan</v>
      </c>
      <c r="Q731" t="str">
        <f>IF(financial_fraud_data[[#This Row],[Is_Fraud]]=1,"Yes","No")</f>
        <v>No</v>
      </c>
    </row>
    <row r="732" spans="1:17" x14ac:dyDescent="0.2">
      <c r="A732" t="s">
        <v>1156</v>
      </c>
      <c r="B732" t="s">
        <v>1157</v>
      </c>
      <c r="C732" s="1">
        <v>45322.416666666664</v>
      </c>
      <c r="D732">
        <v>8255.08</v>
      </c>
      <c r="E732" t="s">
        <v>16</v>
      </c>
      <c r="F732" t="s">
        <v>50</v>
      </c>
      <c r="G732" t="s">
        <v>18</v>
      </c>
      <c r="H732" t="s">
        <v>24</v>
      </c>
      <c r="I732" t="s">
        <v>36</v>
      </c>
      <c r="J732" t="s">
        <v>37</v>
      </c>
      <c r="K732">
        <v>0</v>
      </c>
      <c r="L732">
        <v>1</v>
      </c>
      <c r="M732">
        <v>3.33</v>
      </c>
      <c r="N732">
        <v>0</v>
      </c>
      <c r="O732" t="str">
        <f>IF(financial_fraud_data[[#This Row],[Risk_Score]]&gt;8,"High",IF(financial_fraud_data[[#This Row],[Risk_Score]]&gt;5,"Med","Low"))</f>
        <v>Low</v>
      </c>
      <c r="P732" t="str">
        <f>TEXT(financial_fraud_data[[#This Row],[Transaction_Date]],"MMM")</f>
        <v>Jan</v>
      </c>
      <c r="Q732" t="str">
        <f>IF(financial_fraud_data[[#This Row],[Is_Fraud]]=1,"Yes","No")</f>
        <v>No</v>
      </c>
    </row>
    <row r="733" spans="1:17" x14ac:dyDescent="0.2">
      <c r="A733" t="s">
        <v>1158</v>
      </c>
      <c r="B733" t="s">
        <v>588</v>
      </c>
      <c r="C733" s="1">
        <v>45322.458333333336</v>
      </c>
      <c r="D733">
        <v>40738.01</v>
      </c>
      <c r="E733" t="s">
        <v>42</v>
      </c>
      <c r="F733" t="s">
        <v>50</v>
      </c>
      <c r="G733" t="s">
        <v>65</v>
      </c>
      <c r="H733" t="s">
        <v>19</v>
      </c>
      <c r="I733" t="s">
        <v>24</v>
      </c>
      <c r="J733" t="s">
        <v>51</v>
      </c>
      <c r="K733">
        <v>0</v>
      </c>
      <c r="L733">
        <v>2</v>
      </c>
      <c r="M733">
        <v>8.07</v>
      </c>
      <c r="N733">
        <v>1</v>
      </c>
      <c r="O733" t="str">
        <f>IF(financial_fraud_data[[#This Row],[Risk_Score]]&gt;8,"High",IF(financial_fraud_data[[#This Row],[Risk_Score]]&gt;5,"Med","Low"))</f>
        <v>High</v>
      </c>
      <c r="P733" t="str">
        <f>TEXT(financial_fraud_data[[#This Row],[Transaction_Date]],"MMM")</f>
        <v>Jan</v>
      </c>
      <c r="Q733" t="str">
        <f>IF(financial_fraud_data[[#This Row],[Is_Fraud]]=1,"Yes","No")</f>
        <v>Yes</v>
      </c>
    </row>
    <row r="734" spans="1:17" x14ac:dyDescent="0.2">
      <c r="A734" t="s">
        <v>1159</v>
      </c>
      <c r="B734" t="s">
        <v>39</v>
      </c>
      <c r="C734" s="1">
        <v>45322.5</v>
      </c>
      <c r="D734">
        <v>33276.6</v>
      </c>
      <c r="E734" t="s">
        <v>16</v>
      </c>
      <c r="F734" t="s">
        <v>17</v>
      </c>
      <c r="G734" t="s">
        <v>18</v>
      </c>
      <c r="H734" t="s">
        <v>23</v>
      </c>
      <c r="I734" t="s">
        <v>24</v>
      </c>
      <c r="J734" t="s">
        <v>37</v>
      </c>
      <c r="K734">
        <v>0</v>
      </c>
      <c r="L734">
        <v>1</v>
      </c>
      <c r="M734">
        <v>5.83</v>
      </c>
      <c r="N734">
        <v>1</v>
      </c>
      <c r="O734" t="str">
        <f>IF(financial_fraud_data[[#This Row],[Risk_Score]]&gt;8,"High",IF(financial_fraud_data[[#This Row],[Risk_Score]]&gt;5,"Med","Low"))</f>
        <v>Med</v>
      </c>
      <c r="P734" t="str">
        <f>TEXT(financial_fraud_data[[#This Row],[Transaction_Date]],"MMM")</f>
        <v>Jan</v>
      </c>
      <c r="Q734" t="str">
        <f>IF(financial_fraud_data[[#This Row],[Is_Fraud]]=1,"Yes","No")</f>
        <v>Yes</v>
      </c>
    </row>
    <row r="735" spans="1:17" x14ac:dyDescent="0.2">
      <c r="A735" t="s">
        <v>1160</v>
      </c>
      <c r="B735" t="s">
        <v>136</v>
      </c>
      <c r="C735" s="1">
        <v>45322.541666666664</v>
      </c>
      <c r="D735">
        <v>26177.119999999999</v>
      </c>
      <c r="E735" t="s">
        <v>34</v>
      </c>
      <c r="F735" t="s">
        <v>50</v>
      </c>
      <c r="G735" t="s">
        <v>18</v>
      </c>
      <c r="H735" t="s">
        <v>29</v>
      </c>
      <c r="I735" t="s">
        <v>24</v>
      </c>
      <c r="J735" t="s">
        <v>51</v>
      </c>
      <c r="K735">
        <v>0</v>
      </c>
      <c r="L735">
        <v>2</v>
      </c>
      <c r="M735">
        <v>6.62</v>
      </c>
      <c r="N735">
        <v>1</v>
      </c>
      <c r="O735" t="str">
        <f>IF(financial_fraud_data[[#This Row],[Risk_Score]]&gt;8,"High",IF(financial_fraud_data[[#This Row],[Risk_Score]]&gt;5,"Med","Low"))</f>
        <v>Med</v>
      </c>
      <c r="P735" t="str">
        <f>TEXT(financial_fraud_data[[#This Row],[Transaction_Date]],"MMM")</f>
        <v>Jan</v>
      </c>
      <c r="Q735" t="str">
        <f>IF(financial_fraud_data[[#This Row],[Is_Fraud]]=1,"Yes","No")</f>
        <v>Yes</v>
      </c>
    </row>
    <row r="736" spans="1:17" x14ac:dyDescent="0.2">
      <c r="A736" t="s">
        <v>1161</v>
      </c>
      <c r="B736" t="s">
        <v>166</v>
      </c>
      <c r="C736" s="1">
        <v>45322.583333333336</v>
      </c>
      <c r="D736">
        <v>17973.580000000002</v>
      </c>
      <c r="E736" t="s">
        <v>80</v>
      </c>
      <c r="F736" t="s">
        <v>17</v>
      </c>
      <c r="G736" t="s">
        <v>28</v>
      </c>
      <c r="H736" t="s">
        <v>23</v>
      </c>
      <c r="I736" t="s">
        <v>19</v>
      </c>
      <c r="J736" t="s">
        <v>37</v>
      </c>
      <c r="K736">
        <v>0</v>
      </c>
      <c r="L736">
        <v>0</v>
      </c>
      <c r="M736">
        <v>2.8</v>
      </c>
      <c r="N736">
        <v>0</v>
      </c>
      <c r="O736" t="str">
        <f>IF(financial_fraud_data[[#This Row],[Risk_Score]]&gt;8,"High",IF(financial_fraud_data[[#This Row],[Risk_Score]]&gt;5,"Med","Low"))</f>
        <v>Low</v>
      </c>
      <c r="P736" t="str">
        <f>TEXT(financial_fraud_data[[#This Row],[Transaction_Date]],"MMM")</f>
        <v>Jan</v>
      </c>
      <c r="Q736" t="str">
        <f>IF(financial_fraud_data[[#This Row],[Is_Fraud]]=1,"Yes","No")</f>
        <v>No</v>
      </c>
    </row>
    <row r="737" spans="1:17" x14ac:dyDescent="0.2">
      <c r="A737" t="s">
        <v>1162</v>
      </c>
      <c r="B737" t="s">
        <v>686</v>
      </c>
      <c r="C737" s="1">
        <v>45322.625</v>
      </c>
      <c r="D737">
        <v>43866.17</v>
      </c>
      <c r="E737" t="s">
        <v>16</v>
      </c>
      <c r="F737" t="s">
        <v>50</v>
      </c>
      <c r="G737" t="s">
        <v>65</v>
      </c>
      <c r="H737" t="s">
        <v>29</v>
      </c>
      <c r="I737" t="s">
        <v>19</v>
      </c>
      <c r="J737" t="s">
        <v>37</v>
      </c>
      <c r="K737">
        <v>1</v>
      </c>
      <c r="L737">
        <v>0</v>
      </c>
      <c r="M737">
        <v>7.39</v>
      </c>
      <c r="N737">
        <v>1</v>
      </c>
      <c r="O737" t="str">
        <f>IF(financial_fraud_data[[#This Row],[Risk_Score]]&gt;8,"High",IF(financial_fraud_data[[#This Row],[Risk_Score]]&gt;5,"Med","Low"))</f>
        <v>Med</v>
      </c>
      <c r="P737" t="str">
        <f>TEXT(financial_fraud_data[[#This Row],[Transaction_Date]],"MMM")</f>
        <v>Jan</v>
      </c>
      <c r="Q737" t="str">
        <f>IF(financial_fraud_data[[#This Row],[Is_Fraud]]=1,"Yes","No")</f>
        <v>Yes</v>
      </c>
    </row>
    <row r="738" spans="1:17" x14ac:dyDescent="0.2">
      <c r="A738" t="s">
        <v>1163</v>
      </c>
      <c r="B738" t="s">
        <v>1075</v>
      </c>
      <c r="C738" s="1">
        <v>45322.666666666664</v>
      </c>
      <c r="D738">
        <v>19652.63</v>
      </c>
      <c r="E738" t="s">
        <v>16</v>
      </c>
      <c r="F738" t="s">
        <v>17</v>
      </c>
      <c r="G738" t="s">
        <v>65</v>
      </c>
      <c r="H738" t="s">
        <v>29</v>
      </c>
      <c r="I738" t="s">
        <v>23</v>
      </c>
      <c r="J738" t="s">
        <v>20</v>
      </c>
      <c r="K738">
        <v>0</v>
      </c>
      <c r="L738">
        <v>2</v>
      </c>
      <c r="M738">
        <v>5.97</v>
      </c>
      <c r="N738">
        <v>1</v>
      </c>
      <c r="O738" t="str">
        <f>IF(financial_fraud_data[[#This Row],[Risk_Score]]&gt;8,"High",IF(financial_fraud_data[[#This Row],[Risk_Score]]&gt;5,"Med","Low"))</f>
        <v>Med</v>
      </c>
      <c r="P738" t="str">
        <f>TEXT(financial_fraud_data[[#This Row],[Transaction_Date]],"MMM")</f>
        <v>Jan</v>
      </c>
      <c r="Q738" t="str">
        <f>IF(financial_fraud_data[[#This Row],[Is_Fraud]]=1,"Yes","No")</f>
        <v>Yes</v>
      </c>
    </row>
    <row r="739" spans="1:17" x14ac:dyDescent="0.2">
      <c r="A739" t="s">
        <v>1164</v>
      </c>
      <c r="B739" t="s">
        <v>621</v>
      </c>
      <c r="C739" s="1">
        <v>45322.708333333336</v>
      </c>
      <c r="D739">
        <v>40839.14</v>
      </c>
      <c r="E739" t="s">
        <v>42</v>
      </c>
      <c r="F739" t="s">
        <v>50</v>
      </c>
      <c r="G739" t="s">
        <v>18</v>
      </c>
      <c r="H739" t="s">
        <v>36</v>
      </c>
      <c r="I739" t="s">
        <v>24</v>
      </c>
      <c r="J739" t="s">
        <v>51</v>
      </c>
      <c r="K739">
        <v>0</v>
      </c>
      <c r="L739">
        <v>0</v>
      </c>
      <c r="M739">
        <v>5.08</v>
      </c>
      <c r="N739">
        <v>1</v>
      </c>
      <c r="O739" t="str">
        <f>IF(financial_fraud_data[[#This Row],[Risk_Score]]&gt;8,"High",IF(financial_fraud_data[[#This Row],[Risk_Score]]&gt;5,"Med","Low"))</f>
        <v>Med</v>
      </c>
      <c r="P739" t="str">
        <f>TEXT(financial_fraud_data[[#This Row],[Transaction_Date]],"MMM")</f>
        <v>Jan</v>
      </c>
      <c r="Q739" t="str">
        <f>IF(financial_fraud_data[[#This Row],[Is_Fraud]]=1,"Yes","No")</f>
        <v>Yes</v>
      </c>
    </row>
    <row r="740" spans="1:17" x14ac:dyDescent="0.2">
      <c r="A740" t="s">
        <v>1165</v>
      </c>
      <c r="B740" t="s">
        <v>736</v>
      </c>
      <c r="C740" s="1">
        <v>45322.75</v>
      </c>
      <c r="D740">
        <v>21984.79</v>
      </c>
      <c r="E740" t="s">
        <v>34</v>
      </c>
      <c r="F740" t="s">
        <v>17</v>
      </c>
      <c r="G740" t="s">
        <v>28</v>
      </c>
      <c r="H740" t="s">
        <v>36</v>
      </c>
      <c r="I740" t="s">
        <v>29</v>
      </c>
      <c r="J740" t="s">
        <v>37</v>
      </c>
      <c r="K740">
        <v>0</v>
      </c>
      <c r="L740">
        <v>3</v>
      </c>
      <c r="M740">
        <v>7.7</v>
      </c>
      <c r="N740">
        <v>1</v>
      </c>
      <c r="O740" t="str">
        <f>IF(financial_fraud_data[[#This Row],[Risk_Score]]&gt;8,"High",IF(financial_fraud_data[[#This Row],[Risk_Score]]&gt;5,"Med","Low"))</f>
        <v>Med</v>
      </c>
      <c r="P740" t="str">
        <f>TEXT(financial_fraud_data[[#This Row],[Transaction_Date]],"MMM")</f>
        <v>Jan</v>
      </c>
      <c r="Q740" t="str">
        <f>IF(financial_fraud_data[[#This Row],[Is_Fraud]]=1,"Yes","No")</f>
        <v>Yes</v>
      </c>
    </row>
    <row r="741" spans="1:17" x14ac:dyDescent="0.2">
      <c r="A741" t="s">
        <v>1166</v>
      </c>
      <c r="B741" t="s">
        <v>286</v>
      </c>
      <c r="C741" s="1">
        <v>45322.791666666664</v>
      </c>
      <c r="D741">
        <v>18878.37</v>
      </c>
      <c r="E741" t="s">
        <v>16</v>
      </c>
      <c r="F741" t="s">
        <v>47</v>
      </c>
      <c r="G741" t="s">
        <v>18</v>
      </c>
      <c r="H741" t="s">
        <v>24</v>
      </c>
      <c r="I741" t="s">
        <v>24</v>
      </c>
      <c r="J741" t="s">
        <v>37</v>
      </c>
      <c r="K741">
        <v>0</v>
      </c>
      <c r="L741">
        <v>0</v>
      </c>
      <c r="M741">
        <v>1.89</v>
      </c>
      <c r="N741">
        <v>0</v>
      </c>
      <c r="O741" t="str">
        <f>IF(financial_fraud_data[[#This Row],[Risk_Score]]&gt;8,"High",IF(financial_fraud_data[[#This Row],[Risk_Score]]&gt;5,"Med","Low"))</f>
        <v>Low</v>
      </c>
      <c r="P741" t="str">
        <f>TEXT(financial_fraud_data[[#This Row],[Transaction_Date]],"MMM")</f>
        <v>Jan</v>
      </c>
      <c r="Q741" t="str">
        <f>IF(financial_fraud_data[[#This Row],[Is_Fraud]]=1,"Yes","No")</f>
        <v>No</v>
      </c>
    </row>
    <row r="742" spans="1:17" x14ac:dyDescent="0.2">
      <c r="A742" t="s">
        <v>1167</v>
      </c>
      <c r="B742" t="s">
        <v>1168</v>
      </c>
      <c r="C742" s="1">
        <v>45322.833333333336</v>
      </c>
      <c r="D742">
        <v>23160.86</v>
      </c>
      <c r="E742" t="s">
        <v>16</v>
      </c>
      <c r="F742" t="s">
        <v>17</v>
      </c>
      <c r="G742" t="s">
        <v>18</v>
      </c>
      <c r="H742" t="s">
        <v>24</v>
      </c>
      <c r="I742" t="s">
        <v>19</v>
      </c>
      <c r="J742" t="s">
        <v>51</v>
      </c>
      <c r="K742">
        <v>0</v>
      </c>
      <c r="L742">
        <v>2</v>
      </c>
      <c r="M742">
        <v>6.32</v>
      </c>
      <c r="N742">
        <v>1</v>
      </c>
      <c r="O742" t="str">
        <f>IF(financial_fraud_data[[#This Row],[Risk_Score]]&gt;8,"High",IF(financial_fraud_data[[#This Row],[Risk_Score]]&gt;5,"Med","Low"))</f>
        <v>Med</v>
      </c>
      <c r="P742" t="str">
        <f>TEXT(financial_fraud_data[[#This Row],[Transaction_Date]],"MMM")</f>
        <v>Jan</v>
      </c>
      <c r="Q742" t="str">
        <f>IF(financial_fraud_data[[#This Row],[Is_Fraud]]=1,"Yes","No")</f>
        <v>Yes</v>
      </c>
    </row>
    <row r="743" spans="1:17" x14ac:dyDescent="0.2">
      <c r="A743" t="s">
        <v>1169</v>
      </c>
      <c r="B743" t="s">
        <v>567</v>
      </c>
      <c r="C743" s="1">
        <v>45322.875</v>
      </c>
      <c r="D743">
        <v>15103.82</v>
      </c>
      <c r="E743" t="s">
        <v>16</v>
      </c>
      <c r="F743" t="s">
        <v>50</v>
      </c>
      <c r="G743" t="s">
        <v>56</v>
      </c>
      <c r="H743" t="s">
        <v>29</v>
      </c>
      <c r="I743" t="s">
        <v>24</v>
      </c>
      <c r="J743" t="s">
        <v>37</v>
      </c>
      <c r="K743">
        <v>1</v>
      </c>
      <c r="L743">
        <v>3</v>
      </c>
      <c r="M743">
        <v>9.01</v>
      </c>
      <c r="N743">
        <v>1</v>
      </c>
      <c r="O743" t="str">
        <f>IF(financial_fraud_data[[#This Row],[Risk_Score]]&gt;8,"High",IF(financial_fraud_data[[#This Row],[Risk_Score]]&gt;5,"Med","Low"))</f>
        <v>High</v>
      </c>
      <c r="P743" t="str">
        <f>TEXT(financial_fraud_data[[#This Row],[Transaction_Date]],"MMM")</f>
        <v>Jan</v>
      </c>
      <c r="Q743" t="str">
        <f>IF(financial_fraud_data[[#This Row],[Is_Fraud]]=1,"Yes","No")</f>
        <v>Yes</v>
      </c>
    </row>
    <row r="744" spans="1:17" x14ac:dyDescent="0.2">
      <c r="A744" t="s">
        <v>1170</v>
      </c>
      <c r="B744" t="s">
        <v>191</v>
      </c>
      <c r="C744" s="1">
        <v>45322.916666666664</v>
      </c>
      <c r="D744">
        <v>37393.089999999997</v>
      </c>
      <c r="E744" t="s">
        <v>16</v>
      </c>
      <c r="F744" t="s">
        <v>50</v>
      </c>
      <c r="G744" t="s">
        <v>56</v>
      </c>
      <c r="H744" t="s">
        <v>23</v>
      </c>
      <c r="I744" t="s">
        <v>19</v>
      </c>
      <c r="J744" t="s">
        <v>51</v>
      </c>
      <c r="K744">
        <v>1</v>
      </c>
      <c r="L744">
        <v>1</v>
      </c>
      <c r="M744">
        <v>8.24</v>
      </c>
      <c r="N744">
        <v>1</v>
      </c>
      <c r="O744" t="str">
        <f>IF(financial_fraud_data[[#This Row],[Risk_Score]]&gt;8,"High",IF(financial_fraud_data[[#This Row],[Risk_Score]]&gt;5,"Med","Low"))</f>
        <v>High</v>
      </c>
      <c r="P744" t="str">
        <f>TEXT(financial_fraud_data[[#This Row],[Transaction_Date]],"MMM")</f>
        <v>Jan</v>
      </c>
      <c r="Q744" t="str">
        <f>IF(financial_fraud_data[[#This Row],[Is_Fraud]]=1,"Yes","No")</f>
        <v>Yes</v>
      </c>
    </row>
    <row r="745" spans="1:17" x14ac:dyDescent="0.2">
      <c r="A745" t="s">
        <v>1171</v>
      </c>
      <c r="B745" t="s">
        <v>1172</v>
      </c>
      <c r="C745" s="1">
        <v>45322.958333333336</v>
      </c>
      <c r="D745">
        <v>25160.880000000001</v>
      </c>
      <c r="E745" t="s">
        <v>80</v>
      </c>
      <c r="F745" t="s">
        <v>27</v>
      </c>
      <c r="G745" t="s">
        <v>28</v>
      </c>
      <c r="H745" t="s">
        <v>19</v>
      </c>
      <c r="I745" t="s">
        <v>24</v>
      </c>
      <c r="J745" t="s">
        <v>20</v>
      </c>
      <c r="K745">
        <v>0</v>
      </c>
      <c r="L745">
        <v>1</v>
      </c>
      <c r="M745">
        <v>5.0199999999999996</v>
      </c>
      <c r="N745">
        <v>1</v>
      </c>
      <c r="O745" t="str">
        <f>IF(financial_fraud_data[[#This Row],[Risk_Score]]&gt;8,"High",IF(financial_fraud_data[[#This Row],[Risk_Score]]&gt;5,"Med","Low"))</f>
        <v>Med</v>
      </c>
      <c r="P745" t="str">
        <f>TEXT(financial_fraud_data[[#This Row],[Transaction_Date]],"MMM")</f>
        <v>Jan</v>
      </c>
      <c r="Q745" t="str">
        <f>IF(financial_fraud_data[[#This Row],[Is_Fraud]]=1,"Yes","No")</f>
        <v>Yes</v>
      </c>
    </row>
    <row r="746" spans="1:17" x14ac:dyDescent="0.2">
      <c r="A746" t="s">
        <v>1173</v>
      </c>
      <c r="B746" t="s">
        <v>367</v>
      </c>
      <c r="C746" s="1">
        <v>45323</v>
      </c>
      <c r="D746">
        <v>11649.02</v>
      </c>
      <c r="E746" t="s">
        <v>34</v>
      </c>
      <c r="F746" t="s">
        <v>17</v>
      </c>
      <c r="G746" t="s">
        <v>35</v>
      </c>
      <c r="H746" t="s">
        <v>19</v>
      </c>
      <c r="I746" t="s">
        <v>29</v>
      </c>
      <c r="J746" t="s">
        <v>20</v>
      </c>
      <c r="K746">
        <v>0</v>
      </c>
      <c r="L746">
        <v>1</v>
      </c>
      <c r="M746">
        <v>3.66</v>
      </c>
      <c r="N746">
        <v>0</v>
      </c>
      <c r="O746" t="str">
        <f>IF(financial_fraud_data[[#This Row],[Risk_Score]]&gt;8,"High",IF(financial_fraud_data[[#This Row],[Risk_Score]]&gt;5,"Med","Low"))</f>
        <v>Low</v>
      </c>
      <c r="P746" t="str">
        <f>TEXT(financial_fraud_data[[#This Row],[Transaction_Date]],"MMM")</f>
        <v>Feb</v>
      </c>
      <c r="Q746" t="str">
        <f>IF(financial_fraud_data[[#This Row],[Is_Fraud]]=1,"Yes","No")</f>
        <v>No</v>
      </c>
    </row>
    <row r="747" spans="1:17" x14ac:dyDescent="0.2">
      <c r="A747" t="s">
        <v>1174</v>
      </c>
      <c r="B747" t="s">
        <v>1175</v>
      </c>
      <c r="C747" s="1">
        <v>45323.041666666664</v>
      </c>
      <c r="D747">
        <v>44983.75</v>
      </c>
      <c r="E747" t="s">
        <v>42</v>
      </c>
      <c r="F747" t="s">
        <v>47</v>
      </c>
      <c r="G747" t="s">
        <v>56</v>
      </c>
      <c r="H747" t="s">
        <v>23</v>
      </c>
      <c r="I747" t="s">
        <v>23</v>
      </c>
      <c r="J747" t="s">
        <v>51</v>
      </c>
      <c r="K747">
        <v>0</v>
      </c>
      <c r="L747">
        <v>2</v>
      </c>
      <c r="M747">
        <v>7.5</v>
      </c>
      <c r="N747">
        <v>1</v>
      </c>
      <c r="O747" t="str">
        <f>IF(financial_fraud_data[[#This Row],[Risk_Score]]&gt;8,"High",IF(financial_fraud_data[[#This Row],[Risk_Score]]&gt;5,"Med","Low"))</f>
        <v>Med</v>
      </c>
      <c r="P747" t="str">
        <f>TEXT(financial_fraud_data[[#This Row],[Transaction_Date]],"MMM")</f>
        <v>Feb</v>
      </c>
      <c r="Q747" t="str">
        <f>IF(financial_fraud_data[[#This Row],[Is_Fraud]]=1,"Yes","No")</f>
        <v>Yes</v>
      </c>
    </row>
    <row r="748" spans="1:17" x14ac:dyDescent="0.2">
      <c r="A748" t="s">
        <v>1176</v>
      </c>
      <c r="B748" t="s">
        <v>450</v>
      </c>
      <c r="C748" s="1">
        <v>45323.083333333336</v>
      </c>
      <c r="D748">
        <v>19225.37</v>
      </c>
      <c r="E748" t="s">
        <v>42</v>
      </c>
      <c r="F748" t="s">
        <v>17</v>
      </c>
      <c r="G748" t="s">
        <v>35</v>
      </c>
      <c r="H748" t="s">
        <v>23</v>
      </c>
      <c r="I748" t="s">
        <v>29</v>
      </c>
      <c r="J748" t="s">
        <v>20</v>
      </c>
      <c r="K748">
        <v>0</v>
      </c>
      <c r="L748">
        <v>1</v>
      </c>
      <c r="M748">
        <v>4.42</v>
      </c>
      <c r="N748">
        <v>0</v>
      </c>
      <c r="O748" t="str">
        <f>IF(financial_fraud_data[[#This Row],[Risk_Score]]&gt;8,"High",IF(financial_fraud_data[[#This Row],[Risk_Score]]&gt;5,"Med","Low"))</f>
        <v>Low</v>
      </c>
      <c r="P748" t="str">
        <f>TEXT(financial_fraud_data[[#This Row],[Transaction_Date]],"MMM")</f>
        <v>Feb</v>
      </c>
      <c r="Q748" t="str">
        <f>IF(financial_fraud_data[[#This Row],[Is_Fraud]]=1,"Yes","No")</f>
        <v>No</v>
      </c>
    </row>
    <row r="749" spans="1:17" x14ac:dyDescent="0.2">
      <c r="A749" t="s">
        <v>1177</v>
      </c>
      <c r="B749" t="s">
        <v>92</v>
      </c>
      <c r="C749" s="1">
        <v>45323.125</v>
      </c>
      <c r="D749">
        <v>27200.47</v>
      </c>
      <c r="E749" t="s">
        <v>80</v>
      </c>
      <c r="F749" t="s">
        <v>17</v>
      </c>
      <c r="G749" t="s">
        <v>65</v>
      </c>
      <c r="H749" t="s">
        <v>36</v>
      </c>
      <c r="I749" t="s">
        <v>19</v>
      </c>
      <c r="J749" t="s">
        <v>51</v>
      </c>
      <c r="K749">
        <v>0</v>
      </c>
      <c r="L749">
        <v>0</v>
      </c>
      <c r="M749">
        <v>3.72</v>
      </c>
      <c r="N749">
        <v>0</v>
      </c>
      <c r="O749" t="str">
        <f>IF(financial_fraud_data[[#This Row],[Risk_Score]]&gt;8,"High",IF(financial_fraud_data[[#This Row],[Risk_Score]]&gt;5,"Med","Low"))</f>
        <v>Low</v>
      </c>
      <c r="P749" t="str">
        <f>TEXT(financial_fraud_data[[#This Row],[Transaction_Date]],"MMM")</f>
        <v>Feb</v>
      </c>
      <c r="Q749" t="str">
        <f>IF(financial_fraud_data[[#This Row],[Is_Fraud]]=1,"Yes","No")</f>
        <v>No</v>
      </c>
    </row>
    <row r="750" spans="1:17" x14ac:dyDescent="0.2">
      <c r="A750" t="s">
        <v>1178</v>
      </c>
      <c r="B750" t="s">
        <v>736</v>
      </c>
      <c r="C750" s="1">
        <v>45323.166666666664</v>
      </c>
      <c r="D750">
        <v>45328.28</v>
      </c>
      <c r="E750" t="s">
        <v>34</v>
      </c>
      <c r="F750" t="s">
        <v>47</v>
      </c>
      <c r="G750" t="s">
        <v>56</v>
      </c>
      <c r="H750" t="s">
        <v>19</v>
      </c>
      <c r="I750" t="s">
        <v>36</v>
      </c>
      <c r="J750" t="s">
        <v>37</v>
      </c>
      <c r="K750">
        <v>0</v>
      </c>
      <c r="L750">
        <v>1</v>
      </c>
      <c r="M750">
        <v>7.03</v>
      </c>
      <c r="N750">
        <v>1</v>
      </c>
      <c r="O750" t="str">
        <f>IF(financial_fraud_data[[#This Row],[Risk_Score]]&gt;8,"High",IF(financial_fraud_data[[#This Row],[Risk_Score]]&gt;5,"Med","Low"))</f>
        <v>Med</v>
      </c>
      <c r="P750" t="str">
        <f>TEXT(financial_fraud_data[[#This Row],[Transaction_Date]],"MMM")</f>
        <v>Feb</v>
      </c>
      <c r="Q750" t="str">
        <f>IF(financial_fraud_data[[#This Row],[Is_Fraud]]=1,"Yes","No")</f>
        <v>Yes</v>
      </c>
    </row>
    <row r="751" spans="1:17" x14ac:dyDescent="0.2">
      <c r="A751" t="s">
        <v>1179</v>
      </c>
      <c r="B751" t="s">
        <v>315</v>
      </c>
      <c r="C751" s="1">
        <v>45323.208333333336</v>
      </c>
      <c r="D751">
        <v>31230.69</v>
      </c>
      <c r="E751" t="s">
        <v>16</v>
      </c>
      <c r="F751" t="s">
        <v>17</v>
      </c>
      <c r="G751" t="s">
        <v>56</v>
      </c>
      <c r="H751" t="s">
        <v>29</v>
      </c>
      <c r="I751" t="s">
        <v>29</v>
      </c>
      <c r="J751" t="s">
        <v>37</v>
      </c>
      <c r="K751">
        <v>0</v>
      </c>
      <c r="L751">
        <v>4</v>
      </c>
      <c r="M751">
        <v>9.1199999999999992</v>
      </c>
      <c r="N751">
        <v>1</v>
      </c>
      <c r="O751" t="str">
        <f>IF(financial_fraud_data[[#This Row],[Risk_Score]]&gt;8,"High",IF(financial_fraud_data[[#This Row],[Risk_Score]]&gt;5,"Med","Low"))</f>
        <v>High</v>
      </c>
      <c r="P751" t="str">
        <f>TEXT(financial_fraud_data[[#This Row],[Transaction_Date]],"MMM")</f>
        <v>Feb</v>
      </c>
      <c r="Q751" t="str">
        <f>IF(financial_fraud_data[[#This Row],[Is_Fraud]]=1,"Yes","No")</f>
        <v>Yes</v>
      </c>
    </row>
    <row r="752" spans="1:17" x14ac:dyDescent="0.2">
      <c r="A752" t="s">
        <v>1180</v>
      </c>
      <c r="B752" t="s">
        <v>1181</v>
      </c>
      <c r="C752" s="1">
        <v>45323.25</v>
      </c>
      <c r="D752">
        <v>5889.06</v>
      </c>
      <c r="E752" t="s">
        <v>80</v>
      </c>
      <c r="F752" t="s">
        <v>47</v>
      </c>
      <c r="G752" t="s">
        <v>28</v>
      </c>
      <c r="H752" t="s">
        <v>24</v>
      </c>
      <c r="I752" t="s">
        <v>24</v>
      </c>
      <c r="J752" t="s">
        <v>51</v>
      </c>
      <c r="K752">
        <v>0</v>
      </c>
      <c r="L752">
        <v>4</v>
      </c>
      <c r="M752">
        <v>6.59</v>
      </c>
      <c r="N752">
        <v>1</v>
      </c>
      <c r="O752" t="str">
        <f>IF(financial_fraud_data[[#This Row],[Risk_Score]]&gt;8,"High",IF(financial_fraud_data[[#This Row],[Risk_Score]]&gt;5,"Med","Low"))</f>
        <v>Med</v>
      </c>
      <c r="P752" t="str">
        <f>TEXT(financial_fraud_data[[#This Row],[Transaction_Date]],"MMM")</f>
        <v>Feb</v>
      </c>
      <c r="Q752" t="str">
        <f>IF(financial_fraud_data[[#This Row],[Is_Fraud]]=1,"Yes","No")</f>
        <v>Yes</v>
      </c>
    </row>
    <row r="753" spans="1:17" x14ac:dyDescent="0.2">
      <c r="A753" t="s">
        <v>1182</v>
      </c>
      <c r="B753" t="s">
        <v>1183</v>
      </c>
      <c r="C753" s="1">
        <v>45323.291666666664</v>
      </c>
      <c r="D753">
        <v>46994.61</v>
      </c>
      <c r="E753" t="s">
        <v>34</v>
      </c>
      <c r="F753" t="s">
        <v>47</v>
      </c>
      <c r="G753" t="s">
        <v>35</v>
      </c>
      <c r="H753" t="s">
        <v>36</v>
      </c>
      <c r="I753" t="s">
        <v>23</v>
      </c>
      <c r="J753" t="s">
        <v>37</v>
      </c>
      <c r="K753">
        <v>0</v>
      </c>
      <c r="L753">
        <v>1</v>
      </c>
      <c r="M753">
        <v>7.2</v>
      </c>
      <c r="N753">
        <v>1</v>
      </c>
      <c r="O753" t="str">
        <f>IF(financial_fraud_data[[#This Row],[Risk_Score]]&gt;8,"High",IF(financial_fraud_data[[#This Row],[Risk_Score]]&gt;5,"Med","Low"))</f>
        <v>Med</v>
      </c>
      <c r="P753" t="str">
        <f>TEXT(financial_fraud_data[[#This Row],[Transaction_Date]],"MMM")</f>
        <v>Feb</v>
      </c>
      <c r="Q753" t="str">
        <f>IF(financial_fraud_data[[#This Row],[Is_Fraud]]=1,"Yes","No")</f>
        <v>Yes</v>
      </c>
    </row>
    <row r="754" spans="1:17" x14ac:dyDescent="0.2">
      <c r="A754" t="s">
        <v>1184</v>
      </c>
      <c r="B754" t="s">
        <v>1077</v>
      </c>
      <c r="C754" s="1">
        <v>45323.333333333336</v>
      </c>
      <c r="D754">
        <v>31404.02</v>
      </c>
      <c r="E754" t="s">
        <v>16</v>
      </c>
      <c r="F754" t="s">
        <v>17</v>
      </c>
      <c r="G754" t="s">
        <v>56</v>
      </c>
      <c r="H754" t="s">
        <v>19</v>
      </c>
      <c r="I754" t="s">
        <v>24</v>
      </c>
      <c r="J754" t="s">
        <v>20</v>
      </c>
      <c r="K754">
        <v>0</v>
      </c>
      <c r="L754">
        <v>1</v>
      </c>
      <c r="M754">
        <v>5.64</v>
      </c>
      <c r="N754">
        <v>1</v>
      </c>
      <c r="O754" t="str">
        <f>IF(financial_fraud_data[[#This Row],[Risk_Score]]&gt;8,"High",IF(financial_fraud_data[[#This Row],[Risk_Score]]&gt;5,"Med","Low"))</f>
        <v>Med</v>
      </c>
      <c r="P754" t="str">
        <f>TEXT(financial_fraud_data[[#This Row],[Transaction_Date]],"MMM")</f>
        <v>Feb</v>
      </c>
      <c r="Q754" t="str">
        <f>IF(financial_fraud_data[[#This Row],[Is_Fraud]]=1,"Yes","No")</f>
        <v>Yes</v>
      </c>
    </row>
    <row r="755" spans="1:17" x14ac:dyDescent="0.2">
      <c r="A755" t="s">
        <v>1185</v>
      </c>
      <c r="B755" t="s">
        <v>392</v>
      </c>
      <c r="C755" s="1">
        <v>45323.375</v>
      </c>
      <c r="D755">
        <v>16778.54</v>
      </c>
      <c r="E755" t="s">
        <v>80</v>
      </c>
      <c r="F755" t="s">
        <v>17</v>
      </c>
      <c r="G755" t="s">
        <v>56</v>
      </c>
      <c r="H755" t="s">
        <v>23</v>
      </c>
      <c r="I755" t="s">
        <v>24</v>
      </c>
      <c r="J755" t="s">
        <v>37</v>
      </c>
      <c r="K755">
        <v>0</v>
      </c>
      <c r="L755">
        <v>4</v>
      </c>
      <c r="M755">
        <v>8.68</v>
      </c>
      <c r="N755">
        <v>1</v>
      </c>
      <c r="O755" t="str">
        <f>IF(financial_fraud_data[[#This Row],[Risk_Score]]&gt;8,"High",IF(financial_fraud_data[[#This Row],[Risk_Score]]&gt;5,"Med","Low"))</f>
        <v>High</v>
      </c>
      <c r="P755" t="str">
        <f>TEXT(financial_fraud_data[[#This Row],[Transaction_Date]],"MMM")</f>
        <v>Feb</v>
      </c>
      <c r="Q755" t="str">
        <f>IF(financial_fraud_data[[#This Row],[Is_Fraud]]=1,"Yes","No")</f>
        <v>Yes</v>
      </c>
    </row>
    <row r="756" spans="1:17" x14ac:dyDescent="0.2">
      <c r="A756" t="s">
        <v>1186</v>
      </c>
      <c r="B756" t="s">
        <v>580</v>
      </c>
      <c r="C756" s="1">
        <v>45323.416666666664</v>
      </c>
      <c r="D756">
        <v>7006.64</v>
      </c>
      <c r="E756" t="s">
        <v>34</v>
      </c>
      <c r="F756" t="s">
        <v>50</v>
      </c>
      <c r="G756" t="s">
        <v>28</v>
      </c>
      <c r="H756" t="s">
        <v>19</v>
      </c>
      <c r="I756" t="s">
        <v>29</v>
      </c>
      <c r="J756" t="s">
        <v>37</v>
      </c>
      <c r="K756">
        <v>0</v>
      </c>
      <c r="L756">
        <v>1</v>
      </c>
      <c r="M756">
        <v>3.2</v>
      </c>
      <c r="N756">
        <v>0</v>
      </c>
      <c r="O756" t="str">
        <f>IF(financial_fraud_data[[#This Row],[Risk_Score]]&gt;8,"High",IF(financial_fraud_data[[#This Row],[Risk_Score]]&gt;5,"Med","Low"))</f>
        <v>Low</v>
      </c>
      <c r="P756" t="str">
        <f>TEXT(financial_fraud_data[[#This Row],[Transaction_Date]],"MMM")</f>
        <v>Feb</v>
      </c>
      <c r="Q756" t="str">
        <f>IF(financial_fraud_data[[#This Row],[Is_Fraud]]=1,"Yes","No")</f>
        <v>No</v>
      </c>
    </row>
    <row r="757" spans="1:17" x14ac:dyDescent="0.2">
      <c r="A757" t="s">
        <v>1187</v>
      </c>
      <c r="B757" t="s">
        <v>481</v>
      </c>
      <c r="C757" s="1">
        <v>45323.458333333336</v>
      </c>
      <c r="D757">
        <v>39711.56</v>
      </c>
      <c r="E757" t="s">
        <v>42</v>
      </c>
      <c r="F757" t="s">
        <v>50</v>
      </c>
      <c r="G757" t="s">
        <v>28</v>
      </c>
      <c r="H757" t="s">
        <v>29</v>
      </c>
      <c r="I757" t="s">
        <v>23</v>
      </c>
      <c r="J757" t="s">
        <v>51</v>
      </c>
      <c r="K757">
        <v>0</v>
      </c>
      <c r="L757">
        <v>3</v>
      </c>
      <c r="M757">
        <v>9.4700000000000006</v>
      </c>
      <c r="N757">
        <v>1</v>
      </c>
      <c r="O757" t="str">
        <f>IF(financial_fraud_data[[#This Row],[Risk_Score]]&gt;8,"High",IF(financial_fraud_data[[#This Row],[Risk_Score]]&gt;5,"Med","Low"))</f>
        <v>High</v>
      </c>
      <c r="P757" t="str">
        <f>TEXT(financial_fraud_data[[#This Row],[Transaction_Date]],"MMM")</f>
        <v>Feb</v>
      </c>
      <c r="Q757" t="str">
        <f>IF(financial_fraud_data[[#This Row],[Is_Fraud]]=1,"Yes","No")</f>
        <v>Yes</v>
      </c>
    </row>
    <row r="758" spans="1:17" x14ac:dyDescent="0.2">
      <c r="A758" t="s">
        <v>1188</v>
      </c>
      <c r="B758" t="s">
        <v>1189</v>
      </c>
      <c r="C758" s="1">
        <v>45323.5</v>
      </c>
      <c r="D758">
        <v>31022.63</v>
      </c>
      <c r="E758" t="s">
        <v>42</v>
      </c>
      <c r="F758" t="s">
        <v>27</v>
      </c>
      <c r="G758" t="s">
        <v>35</v>
      </c>
      <c r="H758" t="s">
        <v>36</v>
      </c>
      <c r="I758" t="s">
        <v>36</v>
      </c>
      <c r="J758" t="s">
        <v>20</v>
      </c>
      <c r="K758">
        <v>0</v>
      </c>
      <c r="L758">
        <v>4</v>
      </c>
      <c r="M758">
        <v>9.1</v>
      </c>
      <c r="N758">
        <v>1</v>
      </c>
      <c r="O758" t="str">
        <f>IF(financial_fraud_data[[#This Row],[Risk_Score]]&gt;8,"High",IF(financial_fraud_data[[#This Row],[Risk_Score]]&gt;5,"Med","Low"))</f>
        <v>High</v>
      </c>
      <c r="P758" t="str">
        <f>TEXT(financial_fraud_data[[#This Row],[Transaction_Date]],"MMM")</f>
        <v>Feb</v>
      </c>
      <c r="Q758" t="str">
        <f>IF(financial_fraud_data[[#This Row],[Is_Fraud]]=1,"Yes","No")</f>
        <v>Yes</v>
      </c>
    </row>
    <row r="759" spans="1:17" x14ac:dyDescent="0.2">
      <c r="A759" t="s">
        <v>1190</v>
      </c>
      <c r="B759" t="s">
        <v>1191</v>
      </c>
      <c r="C759" s="1">
        <v>45323.541666666664</v>
      </c>
      <c r="D759">
        <v>26696.38</v>
      </c>
      <c r="E759" t="s">
        <v>34</v>
      </c>
      <c r="F759" t="s">
        <v>27</v>
      </c>
      <c r="G759" t="s">
        <v>65</v>
      </c>
      <c r="H759" t="s">
        <v>23</v>
      </c>
      <c r="I759" t="s">
        <v>24</v>
      </c>
      <c r="J759" t="s">
        <v>37</v>
      </c>
      <c r="K759">
        <v>0</v>
      </c>
      <c r="L759">
        <v>2</v>
      </c>
      <c r="M759">
        <v>6.67</v>
      </c>
      <c r="N759">
        <v>1</v>
      </c>
      <c r="O759" t="str">
        <f>IF(financial_fraud_data[[#This Row],[Risk_Score]]&gt;8,"High",IF(financial_fraud_data[[#This Row],[Risk_Score]]&gt;5,"Med","Low"))</f>
        <v>Med</v>
      </c>
      <c r="P759" t="str">
        <f>TEXT(financial_fraud_data[[#This Row],[Transaction_Date]],"MMM")</f>
        <v>Feb</v>
      </c>
      <c r="Q759" t="str">
        <f>IF(financial_fraud_data[[#This Row],[Is_Fraud]]=1,"Yes","No")</f>
        <v>Yes</v>
      </c>
    </row>
    <row r="760" spans="1:17" x14ac:dyDescent="0.2">
      <c r="A760" t="s">
        <v>1192</v>
      </c>
      <c r="B760" t="s">
        <v>1047</v>
      </c>
      <c r="C760" s="1">
        <v>45323.583333333336</v>
      </c>
      <c r="D760">
        <v>44699.93</v>
      </c>
      <c r="E760" t="s">
        <v>42</v>
      </c>
      <c r="F760" t="s">
        <v>17</v>
      </c>
      <c r="G760" t="s">
        <v>65</v>
      </c>
      <c r="H760" t="s">
        <v>29</v>
      </c>
      <c r="I760" t="s">
        <v>23</v>
      </c>
      <c r="J760" t="s">
        <v>37</v>
      </c>
      <c r="K760">
        <v>1</v>
      </c>
      <c r="L760">
        <v>4</v>
      </c>
      <c r="M760">
        <v>13.47</v>
      </c>
      <c r="N760">
        <v>1</v>
      </c>
      <c r="O760" t="str">
        <f>IF(financial_fraud_data[[#This Row],[Risk_Score]]&gt;8,"High",IF(financial_fraud_data[[#This Row],[Risk_Score]]&gt;5,"Med","Low"))</f>
        <v>High</v>
      </c>
      <c r="P760" t="str">
        <f>TEXT(financial_fraud_data[[#This Row],[Transaction_Date]],"MMM")</f>
        <v>Feb</v>
      </c>
      <c r="Q760" t="str">
        <f>IF(financial_fraud_data[[#This Row],[Is_Fraud]]=1,"Yes","No")</f>
        <v>Yes</v>
      </c>
    </row>
    <row r="761" spans="1:17" x14ac:dyDescent="0.2">
      <c r="A761" t="s">
        <v>1193</v>
      </c>
      <c r="B761" t="s">
        <v>1194</v>
      </c>
      <c r="C761" s="1">
        <v>45323.625</v>
      </c>
      <c r="D761">
        <v>39440.43</v>
      </c>
      <c r="E761" t="s">
        <v>34</v>
      </c>
      <c r="F761" t="s">
        <v>47</v>
      </c>
      <c r="G761" t="s">
        <v>18</v>
      </c>
      <c r="H761" t="s">
        <v>24</v>
      </c>
      <c r="I761" t="s">
        <v>36</v>
      </c>
      <c r="J761" t="s">
        <v>51</v>
      </c>
      <c r="K761">
        <v>0</v>
      </c>
      <c r="L761">
        <v>0</v>
      </c>
      <c r="M761">
        <v>4.9400000000000004</v>
      </c>
      <c r="N761">
        <v>0</v>
      </c>
      <c r="O761" t="str">
        <f>IF(financial_fraud_data[[#This Row],[Risk_Score]]&gt;8,"High",IF(financial_fraud_data[[#This Row],[Risk_Score]]&gt;5,"Med","Low"))</f>
        <v>Low</v>
      </c>
      <c r="P761" t="str">
        <f>TEXT(financial_fraud_data[[#This Row],[Transaction_Date]],"MMM")</f>
        <v>Feb</v>
      </c>
      <c r="Q761" t="str">
        <f>IF(financial_fraud_data[[#This Row],[Is_Fraud]]=1,"Yes","No")</f>
        <v>No</v>
      </c>
    </row>
    <row r="762" spans="1:17" x14ac:dyDescent="0.2">
      <c r="A762" t="s">
        <v>1195</v>
      </c>
      <c r="B762" t="s">
        <v>627</v>
      </c>
      <c r="C762" s="1">
        <v>45323.666666666664</v>
      </c>
      <c r="D762">
        <v>7626.16</v>
      </c>
      <c r="E762" t="s">
        <v>16</v>
      </c>
      <c r="F762" t="s">
        <v>27</v>
      </c>
      <c r="G762" t="s">
        <v>56</v>
      </c>
      <c r="H762" t="s">
        <v>36</v>
      </c>
      <c r="I762" t="s">
        <v>24</v>
      </c>
      <c r="J762" t="s">
        <v>51</v>
      </c>
      <c r="K762">
        <v>0</v>
      </c>
      <c r="L762">
        <v>3</v>
      </c>
      <c r="M762">
        <v>6.26</v>
      </c>
      <c r="N762">
        <v>1</v>
      </c>
      <c r="O762" t="str">
        <f>IF(financial_fraud_data[[#This Row],[Risk_Score]]&gt;8,"High",IF(financial_fraud_data[[#This Row],[Risk_Score]]&gt;5,"Med","Low"))</f>
        <v>Med</v>
      </c>
      <c r="P762" t="str">
        <f>TEXT(financial_fraud_data[[#This Row],[Transaction_Date]],"MMM")</f>
        <v>Feb</v>
      </c>
      <c r="Q762" t="str">
        <f>IF(financial_fraud_data[[#This Row],[Is_Fraud]]=1,"Yes","No")</f>
        <v>Yes</v>
      </c>
    </row>
    <row r="763" spans="1:17" x14ac:dyDescent="0.2">
      <c r="A763" t="s">
        <v>1196</v>
      </c>
      <c r="B763" t="s">
        <v>1003</v>
      </c>
      <c r="C763" s="1">
        <v>45323.708333333336</v>
      </c>
      <c r="D763">
        <v>15620.52</v>
      </c>
      <c r="E763" t="s">
        <v>34</v>
      </c>
      <c r="F763" t="s">
        <v>17</v>
      </c>
      <c r="G763" t="s">
        <v>35</v>
      </c>
      <c r="H763" t="s">
        <v>29</v>
      </c>
      <c r="I763" t="s">
        <v>23</v>
      </c>
      <c r="J763" t="s">
        <v>20</v>
      </c>
      <c r="K763">
        <v>0</v>
      </c>
      <c r="L763">
        <v>2</v>
      </c>
      <c r="M763">
        <v>5.56</v>
      </c>
      <c r="N763">
        <v>1</v>
      </c>
      <c r="O763" t="str">
        <f>IF(financial_fraud_data[[#This Row],[Risk_Score]]&gt;8,"High",IF(financial_fraud_data[[#This Row],[Risk_Score]]&gt;5,"Med","Low"))</f>
        <v>Med</v>
      </c>
      <c r="P763" t="str">
        <f>TEXT(financial_fraud_data[[#This Row],[Transaction_Date]],"MMM")</f>
        <v>Feb</v>
      </c>
      <c r="Q763" t="str">
        <f>IF(financial_fraud_data[[#This Row],[Is_Fraud]]=1,"Yes","No")</f>
        <v>Yes</v>
      </c>
    </row>
    <row r="764" spans="1:17" x14ac:dyDescent="0.2">
      <c r="A764" t="s">
        <v>1197</v>
      </c>
      <c r="B764" t="s">
        <v>257</v>
      </c>
      <c r="C764" s="1">
        <v>45323.75</v>
      </c>
      <c r="D764">
        <v>12462.03</v>
      </c>
      <c r="E764" t="s">
        <v>16</v>
      </c>
      <c r="F764" t="s">
        <v>27</v>
      </c>
      <c r="G764" t="s">
        <v>56</v>
      </c>
      <c r="H764" t="s">
        <v>29</v>
      </c>
      <c r="I764" t="s">
        <v>29</v>
      </c>
      <c r="J764" t="s">
        <v>37</v>
      </c>
      <c r="K764">
        <v>0</v>
      </c>
      <c r="L764">
        <v>1</v>
      </c>
      <c r="M764">
        <v>2.75</v>
      </c>
      <c r="N764">
        <v>0</v>
      </c>
      <c r="O764" t="str">
        <f>IF(financial_fraud_data[[#This Row],[Risk_Score]]&gt;8,"High",IF(financial_fraud_data[[#This Row],[Risk_Score]]&gt;5,"Med","Low"))</f>
        <v>Low</v>
      </c>
      <c r="P764" t="str">
        <f>TEXT(financial_fraud_data[[#This Row],[Transaction_Date]],"MMM")</f>
        <v>Feb</v>
      </c>
      <c r="Q764" t="str">
        <f>IF(financial_fraud_data[[#This Row],[Is_Fraud]]=1,"Yes","No")</f>
        <v>No</v>
      </c>
    </row>
    <row r="765" spans="1:17" x14ac:dyDescent="0.2">
      <c r="A765" t="s">
        <v>1198</v>
      </c>
      <c r="B765" t="s">
        <v>724</v>
      </c>
      <c r="C765" s="1">
        <v>45323.791666666664</v>
      </c>
      <c r="D765">
        <v>37210.120000000003</v>
      </c>
      <c r="E765" t="s">
        <v>80</v>
      </c>
      <c r="F765" t="s">
        <v>47</v>
      </c>
      <c r="G765" t="s">
        <v>35</v>
      </c>
      <c r="H765" t="s">
        <v>23</v>
      </c>
      <c r="I765" t="s">
        <v>24</v>
      </c>
      <c r="J765" t="s">
        <v>51</v>
      </c>
      <c r="K765">
        <v>0</v>
      </c>
      <c r="L765">
        <v>0</v>
      </c>
      <c r="M765">
        <v>4.72</v>
      </c>
      <c r="N765">
        <v>0</v>
      </c>
      <c r="O765" t="str">
        <f>IF(financial_fraud_data[[#This Row],[Risk_Score]]&gt;8,"High",IF(financial_fraud_data[[#This Row],[Risk_Score]]&gt;5,"Med","Low"))</f>
        <v>Low</v>
      </c>
      <c r="P765" t="str">
        <f>TEXT(financial_fraud_data[[#This Row],[Transaction_Date]],"MMM")</f>
        <v>Feb</v>
      </c>
      <c r="Q765" t="str">
        <f>IF(financial_fraud_data[[#This Row],[Is_Fraud]]=1,"Yes","No")</f>
        <v>No</v>
      </c>
    </row>
    <row r="766" spans="1:17" x14ac:dyDescent="0.2">
      <c r="A766" t="s">
        <v>1199</v>
      </c>
      <c r="B766" t="s">
        <v>655</v>
      </c>
      <c r="C766" s="1">
        <v>45323.833333333336</v>
      </c>
      <c r="D766">
        <v>1724.95</v>
      </c>
      <c r="E766" t="s">
        <v>34</v>
      </c>
      <c r="F766" t="s">
        <v>17</v>
      </c>
      <c r="G766" t="s">
        <v>35</v>
      </c>
      <c r="H766" t="s">
        <v>24</v>
      </c>
      <c r="I766" t="s">
        <v>24</v>
      </c>
      <c r="J766" t="s">
        <v>51</v>
      </c>
      <c r="K766">
        <v>0</v>
      </c>
      <c r="L766">
        <v>0</v>
      </c>
      <c r="M766">
        <v>0.17</v>
      </c>
      <c r="N766">
        <v>0</v>
      </c>
      <c r="O766" t="str">
        <f>IF(financial_fraud_data[[#This Row],[Risk_Score]]&gt;8,"High",IF(financial_fraud_data[[#This Row],[Risk_Score]]&gt;5,"Med","Low"))</f>
        <v>Low</v>
      </c>
      <c r="P766" t="str">
        <f>TEXT(financial_fraud_data[[#This Row],[Transaction_Date]],"MMM")</f>
        <v>Feb</v>
      </c>
      <c r="Q766" t="str">
        <f>IF(financial_fraud_data[[#This Row],[Is_Fraud]]=1,"Yes","No")</f>
        <v>No</v>
      </c>
    </row>
    <row r="767" spans="1:17" x14ac:dyDescent="0.2">
      <c r="A767" t="s">
        <v>1200</v>
      </c>
      <c r="B767" t="s">
        <v>823</v>
      </c>
      <c r="C767" s="1">
        <v>45323.875</v>
      </c>
      <c r="D767">
        <v>28515.99</v>
      </c>
      <c r="E767" t="s">
        <v>80</v>
      </c>
      <c r="F767" t="s">
        <v>47</v>
      </c>
      <c r="G767" t="s">
        <v>35</v>
      </c>
      <c r="H767" t="s">
        <v>29</v>
      </c>
      <c r="I767" t="s">
        <v>23</v>
      </c>
      <c r="J767" t="s">
        <v>51</v>
      </c>
      <c r="K767">
        <v>1</v>
      </c>
      <c r="L767">
        <v>3</v>
      </c>
      <c r="M767">
        <v>10.35</v>
      </c>
      <c r="N767">
        <v>1</v>
      </c>
      <c r="O767" t="str">
        <f>IF(financial_fraud_data[[#This Row],[Risk_Score]]&gt;8,"High",IF(financial_fraud_data[[#This Row],[Risk_Score]]&gt;5,"Med","Low"))</f>
        <v>High</v>
      </c>
      <c r="P767" t="str">
        <f>TEXT(financial_fraud_data[[#This Row],[Transaction_Date]],"MMM")</f>
        <v>Feb</v>
      </c>
      <c r="Q767" t="str">
        <f>IF(financial_fraud_data[[#This Row],[Is_Fraud]]=1,"Yes","No")</f>
        <v>Yes</v>
      </c>
    </row>
    <row r="768" spans="1:17" x14ac:dyDescent="0.2">
      <c r="A768" t="s">
        <v>1201</v>
      </c>
      <c r="B768" t="s">
        <v>55</v>
      </c>
      <c r="C768" s="1">
        <v>45323.916666666664</v>
      </c>
      <c r="D768">
        <v>38134.81</v>
      </c>
      <c r="E768" t="s">
        <v>42</v>
      </c>
      <c r="F768" t="s">
        <v>17</v>
      </c>
      <c r="G768" t="s">
        <v>56</v>
      </c>
      <c r="H768" t="s">
        <v>36</v>
      </c>
      <c r="I768" t="s">
        <v>24</v>
      </c>
      <c r="J768" t="s">
        <v>20</v>
      </c>
      <c r="K768">
        <v>0</v>
      </c>
      <c r="L768">
        <v>2</v>
      </c>
      <c r="M768">
        <v>7.81</v>
      </c>
      <c r="N768">
        <v>1</v>
      </c>
      <c r="O768" t="str">
        <f>IF(financial_fraud_data[[#This Row],[Risk_Score]]&gt;8,"High",IF(financial_fraud_data[[#This Row],[Risk_Score]]&gt;5,"Med","Low"))</f>
        <v>Med</v>
      </c>
      <c r="P768" t="str">
        <f>TEXT(financial_fraud_data[[#This Row],[Transaction_Date]],"MMM")</f>
        <v>Feb</v>
      </c>
      <c r="Q768" t="str">
        <f>IF(financial_fraud_data[[#This Row],[Is_Fraud]]=1,"Yes","No")</f>
        <v>Yes</v>
      </c>
    </row>
    <row r="769" spans="1:17" x14ac:dyDescent="0.2">
      <c r="A769" t="s">
        <v>1202</v>
      </c>
      <c r="B769" t="s">
        <v>380</v>
      </c>
      <c r="C769" s="1">
        <v>45323.958333333336</v>
      </c>
      <c r="D769">
        <v>43844.44</v>
      </c>
      <c r="E769" t="s">
        <v>16</v>
      </c>
      <c r="F769" t="s">
        <v>27</v>
      </c>
      <c r="G769" t="s">
        <v>28</v>
      </c>
      <c r="H769" t="s">
        <v>29</v>
      </c>
      <c r="I769" t="s">
        <v>36</v>
      </c>
      <c r="J769" t="s">
        <v>51</v>
      </c>
      <c r="K769">
        <v>0</v>
      </c>
      <c r="L769">
        <v>0</v>
      </c>
      <c r="M769">
        <v>5.38</v>
      </c>
      <c r="N769">
        <v>1</v>
      </c>
      <c r="O769" t="str">
        <f>IF(financial_fraud_data[[#This Row],[Risk_Score]]&gt;8,"High",IF(financial_fraud_data[[#This Row],[Risk_Score]]&gt;5,"Med","Low"))</f>
        <v>Med</v>
      </c>
      <c r="P769" t="str">
        <f>TEXT(financial_fraud_data[[#This Row],[Transaction_Date]],"MMM")</f>
        <v>Feb</v>
      </c>
      <c r="Q769" t="str">
        <f>IF(financial_fraud_data[[#This Row],[Is_Fraud]]=1,"Yes","No")</f>
        <v>Yes</v>
      </c>
    </row>
    <row r="770" spans="1:17" x14ac:dyDescent="0.2">
      <c r="A770" t="s">
        <v>1203</v>
      </c>
      <c r="B770" t="s">
        <v>633</v>
      </c>
      <c r="C770" s="1">
        <v>45324</v>
      </c>
      <c r="D770">
        <v>17136.98</v>
      </c>
      <c r="E770" t="s">
        <v>34</v>
      </c>
      <c r="F770" t="s">
        <v>50</v>
      </c>
      <c r="G770" t="s">
        <v>56</v>
      </c>
      <c r="H770" t="s">
        <v>19</v>
      </c>
      <c r="I770" t="s">
        <v>24</v>
      </c>
      <c r="J770" t="s">
        <v>20</v>
      </c>
      <c r="K770">
        <v>0</v>
      </c>
      <c r="L770">
        <v>2</v>
      </c>
      <c r="M770">
        <v>5.71</v>
      </c>
      <c r="N770">
        <v>1</v>
      </c>
      <c r="O770" t="str">
        <f>IF(financial_fraud_data[[#This Row],[Risk_Score]]&gt;8,"High",IF(financial_fraud_data[[#This Row],[Risk_Score]]&gt;5,"Med","Low"))</f>
        <v>Med</v>
      </c>
      <c r="P770" t="str">
        <f>TEXT(financial_fraud_data[[#This Row],[Transaction_Date]],"MMM")</f>
        <v>Feb</v>
      </c>
      <c r="Q770" t="str">
        <f>IF(financial_fraud_data[[#This Row],[Is_Fraud]]=1,"Yes","No")</f>
        <v>Yes</v>
      </c>
    </row>
    <row r="771" spans="1:17" x14ac:dyDescent="0.2">
      <c r="A771" t="s">
        <v>1204</v>
      </c>
      <c r="B771" t="s">
        <v>1175</v>
      </c>
      <c r="C771" s="1">
        <v>45324.041666666664</v>
      </c>
      <c r="D771">
        <v>41071.800000000003</v>
      </c>
      <c r="E771" t="s">
        <v>80</v>
      </c>
      <c r="F771" t="s">
        <v>27</v>
      </c>
      <c r="G771" t="s">
        <v>35</v>
      </c>
      <c r="H771" t="s">
        <v>36</v>
      </c>
      <c r="I771" t="s">
        <v>19</v>
      </c>
      <c r="J771" t="s">
        <v>20</v>
      </c>
      <c r="K771">
        <v>0</v>
      </c>
      <c r="L771">
        <v>2</v>
      </c>
      <c r="M771">
        <v>8.11</v>
      </c>
      <c r="N771">
        <v>1</v>
      </c>
      <c r="O771" t="str">
        <f>IF(financial_fraud_data[[#This Row],[Risk_Score]]&gt;8,"High",IF(financial_fraud_data[[#This Row],[Risk_Score]]&gt;5,"Med","Low"))</f>
        <v>High</v>
      </c>
      <c r="P771" t="str">
        <f>TEXT(financial_fraud_data[[#This Row],[Transaction_Date]],"MMM")</f>
        <v>Feb</v>
      </c>
      <c r="Q771" t="str">
        <f>IF(financial_fraud_data[[#This Row],[Is_Fraud]]=1,"Yes","No")</f>
        <v>Yes</v>
      </c>
    </row>
    <row r="772" spans="1:17" x14ac:dyDescent="0.2">
      <c r="A772" t="s">
        <v>1205</v>
      </c>
      <c r="B772" t="s">
        <v>217</v>
      </c>
      <c r="C772" s="1">
        <v>45324.083333333336</v>
      </c>
      <c r="D772">
        <v>5576.06</v>
      </c>
      <c r="E772" t="s">
        <v>16</v>
      </c>
      <c r="F772" t="s">
        <v>27</v>
      </c>
      <c r="G772" t="s">
        <v>18</v>
      </c>
      <c r="H772" t="s">
        <v>36</v>
      </c>
      <c r="I772" t="s">
        <v>36</v>
      </c>
      <c r="J772" t="s">
        <v>37</v>
      </c>
      <c r="K772">
        <v>0</v>
      </c>
      <c r="L772">
        <v>0</v>
      </c>
      <c r="M772">
        <v>0.56000000000000005</v>
      </c>
      <c r="N772">
        <v>0</v>
      </c>
      <c r="O772" t="str">
        <f>IF(financial_fraud_data[[#This Row],[Risk_Score]]&gt;8,"High",IF(financial_fraud_data[[#This Row],[Risk_Score]]&gt;5,"Med","Low"))</f>
        <v>Low</v>
      </c>
      <c r="P772" t="str">
        <f>TEXT(financial_fraud_data[[#This Row],[Transaction_Date]],"MMM")</f>
        <v>Feb</v>
      </c>
      <c r="Q772" t="str">
        <f>IF(financial_fraud_data[[#This Row],[Is_Fraud]]=1,"Yes","No")</f>
        <v>No</v>
      </c>
    </row>
    <row r="773" spans="1:17" x14ac:dyDescent="0.2">
      <c r="A773" t="s">
        <v>1206</v>
      </c>
      <c r="B773" t="s">
        <v>1207</v>
      </c>
      <c r="C773" s="1">
        <v>45324.125</v>
      </c>
      <c r="D773">
        <v>42330.29</v>
      </c>
      <c r="E773" t="s">
        <v>16</v>
      </c>
      <c r="F773" t="s">
        <v>50</v>
      </c>
      <c r="G773" t="s">
        <v>65</v>
      </c>
      <c r="H773" t="s">
        <v>29</v>
      </c>
      <c r="I773" t="s">
        <v>23</v>
      </c>
      <c r="J773" t="s">
        <v>37</v>
      </c>
      <c r="K773">
        <v>0</v>
      </c>
      <c r="L773">
        <v>2</v>
      </c>
      <c r="M773">
        <v>8.23</v>
      </c>
      <c r="N773">
        <v>1</v>
      </c>
      <c r="O773" t="str">
        <f>IF(financial_fraud_data[[#This Row],[Risk_Score]]&gt;8,"High",IF(financial_fraud_data[[#This Row],[Risk_Score]]&gt;5,"Med","Low"))</f>
        <v>High</v>
      </c>
      <c r="P773" t="str">
        <f>TEXT(financial_fraud_data[[#This Row],[Transaction_Date]],"MMM")</f>
        <v>Feb</v>
      </c>
      <c r="Q773" t="str">
        <f>IF(financial_fraud_data[[#This Row],[Is_Fraud]]=1,"Yes","No")</f>
        <v>Yes</v>
      </c>
    </row>
    <row r="774" spans="1:17" x14ac:dyDescent="0.2">
      <c r="A774" t="s">
        <v>1208</v>
      </c>
      <c r="B774" t="s">
        <v>31</v>
      </c>
      <c r="C774" s="1">
        <v>45324.166666666664</v>
      </c>
      <c r="D774">
        <v>6418.06</v>
      </c>
      <c r="E774" t="s">
        <v>42</v>
      </c>
      <c r="F774" t="s">
        <v>50</v>
      </c>
      <c r="G774" t="s">
        <v>35</v>
      </c>
      <c r="H774" t="s">
        <v>23</v>
      </c>
      <c r="I774" t="s">
        <v>36</v>
      </c>
      <c r="J774" t="s">
        <v>20</v>
      </c>
      <c r="K774">
        <v>1</v>
      </c>
      <c r="L774">
        <v>3</v>
      </c>
      <c r="M774">
        <v>8.14</v>
      </c>
      <c r="N774">
        <v>1</v>
      </c>
      <c r="O774" t="str">
        <f>IF(financial_fraud_data[[#This Row],[Risk_Score]]&gt;8,"High",IF(financial_fraud_data[[#This Row],[Risk_Score]]&gt;5,"Med","Low"))</f>
        <v>High</v>
      </c>
      <c r="P774" t="str">
        <f>TEXT(financial_fraud_data[[#This Row],[Transaction_Date]],"MMM")</f>
        <v>Feb</v>
      </c>
      <c r="Q774" t="str">
        <f>IF(financial_fraud_data[[#This Row],[Is_Fraud]]=1,"Yes","No")</f>
        <v>Yes</v>
      </c>
    </row>
    <row r="775" spans="1:17" x14ac:dyDescent="0.2">
      <c r="A775" t="s">
        <v>1209</v>
      </c>
      <c r="B775" t="s">
        <v>1210</v>
      </c>
      <c r="C775" s="1">
        <v>45324.208333333336</v>
      </c>
      <c r="D775">
        <v>19894.5</v>
      </c>
      <c r="E775" t="s">
        <v>42</v>
      </c>
      <c r="F775" t="s">
        <v>17</v>
      </c>
      <c r="G775" t="s">
        <v>18</v>
      </c>
      <c r="H775" t="s">
        <v>36</v>
      </c>
      <c r="I775" t="s">
        <v>19</v>
      </c>
      <c r="J775" t="s">
        <v>37</v>
      </c>
      <c r="K775">
        <v>0</v>
      </c>
      <c r="L775">
        <v>0</v>
      </c>
      <c r="M775">
        <v>2.99</v>
      </c>
      <c r="N775">
        <v>0</v>
      </c>
      <c r="O775" t="str">
        <f>IF(financial_fraud_data[[#This Row],[Risk_Score]]&gt;8,"High",IF(financial_fraud_data[[#This Row],[Risk_Score]]&gt;5,"Med","Low"))</f>
        <v>Low</v>
      </c>
      <c r="P775" t="str">
        <f>TEXT(financial_fraud_data[[#This Row],[Transaction_Date]],"MMM")</f>
        <v>Feb</v>
      </c>
      <c r="Q775" t="str">
        <f>IF(financial_fraud_data[[#This Row],[Is_Fraud]]=1,"Yes","No")</f>
        <v>No</v>
      </c>
    </row>
    <row r="776" spans="1:17" x14ac:dyDescent="0.2">
      <c r="A776" t="s">
        <v>1211</v>
      </c>
      <c r="B776" t="s">
        <v>477</v>
      </c>
      <c r="C776" s="1">
        <v>45324.25</v>
      </c>
      <c r="D776">
        <v>39874.9</v>
      </c>
      <c r="E776" t="s">
        <v>16</v>
      </c>
      <c r="F776" t="s">
        <v>17</v>
      </c>
      <c r="G776" t="s">
        <v>28</v>
      </c>
      <c r="H776" t="s">
        <v>19</v>
      </c>
      <c r="I776" t="s">
        <v>19</v>
      </c>
      <c r="J776" t="s">
        <v>37</v>
      </c>
      <c r="K776">
        <v>0</v>
      </c>
      <c r="L776">
        <v>3</v>
      </c>
      <c r="M776">
        <v>8.49</v>
      </c>
      <c r="N776">
        <v>1</v>
      </c>
      <c r="O776" t="str">
        <f>IF(financial_fraud_data[[#This Row],[Risk_Score]]&gt;8,"High",IF(financial_fraud_data[[#This Row],[Risk_Score]]&gt;5,"Med","Low"))</f>
        <v>High</v>
      </c>
      <c r="P776" t="str">
        <f>TEXT(financial_fraud_data[[#This Row],[Transaction_Date]],"MMM")</f>
        <v>Feb</v>
      </c>
      <c r="Q776" t="str">
        <f>IF(financial_fraud_data[[#This Row],[Is_Fraud]]=1,"Yes","No")</f>
        <v>Yes</v>
      </c>
    </row>
    <row r="777" spans="1:17" x14ac:dyDescent="0.2">
      <c r="A777" t="s">
        <v>1212</v>
      </c>
      <c r="B777" t="s">
        <v>1183</v>
      </c>
      <c r="C777" s="1">
        <v>45324.291666666664</v>
      </c>
      <c r="D777">
        <v>7538.38</v>
      </c>
      <c r="E777" t="s">
        <v>16</v>
      </c>
      <c r="F777" t="s">
        <v>47</v>
      </c>
      <c r="G777" t="s">
        <v>35</v>
      </c>
      <c r="H777" t="s">
        <v>23</v>
      </c>
      <c r="I777" t="s">
        <v>24</v>
      </c>
      <c r="J777" t="s">
        <v>51</v>
      </c>
      <c r="K777">
        <v>0</v>
      </c>
      <c r="L777">
        <v>3</v>
      </c>
      <c r="M777">
        <v>6.25</v>
      </c>
      <c r="N777">
        <v>1</v>
      </c>
      <c r="O777" t="str">
        <f>IF(financial_fraud_data[[#This Row],[Risk_Score]]&gt;8,"High",IF(financial_fraud_data[[#This Row],[Risk_Score]]&gt;5,"Med","Low"))</f>
        <v>Med</v>
      </c>
      <c r="P777" t="str">
        <f>TEXT(financial_fraud_data[[#This Row],[Transaction_Date]],"MMM")</f>
        <v>Feb</v>
      </c>
      <c r="Q777" t="str">
        <f>IF(financial_fraud_data[[#This Row],[Is_Fraud]]=1,"Yes","No")</f>
        <v>Yes</v>
      </c>
    </row>
    <row r="778" spans="1:17" x14ac:dyDescent="0.2">
      <c r="A778" t="s">
        <v>1213</v>
      </c>
      <c r="B778" t="s">
        <v>115</v>
      </c>
      <c r="C778" s="1">
        <v>45324.333333333336</v>
      </c>
      <c r="D778">
        <v>11501.11</v>
      </c>
      <c r="E778" t="s">
        <v>34</v>
      </c>
      <c r="F778" t="s">
        <v>47</v>
      </c>
      <c r="G778" t="s">
        <v>18</v>
      </c>
      <c r="H778" t="s">
        <v>23</v>
      </c>
      <c r="I778" t="s">
        <v>24</v>
      </c>
      <c r="J778" t="s">
        <v>37</v>
      </c>
      <c r="K778">
        <v>0</v>
      </c>
      <c r="L778">
        <v>2</v>
      </c>
      <c r="M778">
        <v>5.15</v>
      </c>
      <c r="N778">
        <v>1</v>
      </c>
      <c r="O778" t="str">
        <f>IF(financial_fraud_data[[#This Row],[Risk_Score]]&gt;8,"High",IF(financial_fraud_data[[#This Row],[Risk_Score]]&gt;5,"Med","Low"))</f>
        <v>Med</v>
      </c>
      <c r="P778" t="str">
        <f>TEXT(financial_fraud_data[[#This Row],[Transaction_Date]],"MMM")</f>
        <v>Feb</v>
      </c>
      <c r="Q778" t="str">
        <f>IF(financial_fraud_data[[#This Row],[Is_Fraud]]=1,"Yes","No")</f>
        <v>Yes</v>
      </c>
    </row>
    <row r="779" spans="1:17" x14ac:dyDescent="0.2">
      <c r="A779" t="s">
        <v>1214</v>
      </c>
      <c r="B779" t="s">
        <v>555</v>
      </c>
      <c r="C779" s="1">
        <v>45324.375</v>
      </c>
      <c r="D779">
        <v>36126.519999999997</v>
      </c>
      <c r="E779" t="s">
        <v>16</v>
      </c>
      <c r="F779" t="s">
        <v>27</v>
      </c>
      <c r="G779" t="s">
        <v>35</v>
      </c>
      <c r="H779" t="s">
        <v>23</v>
      </c>
      <c r="I779" t="s">
        <v>29</v>
      </c>
      <c r="J779" t="s">
        <v>20</v>
      </c>
      <c r="K779">
        <v>0</v>
      </c>
      <c r="L779">
        <v>2</v>
      </c>
      <c r="M779">
        <v>7.61</v>
      </c>
      <c r="N779">
        <v>1</v>
      </c>
      <c r="O779" t="str">
        <f>IF(financial_fraud_data[[#This Row],[Risk_Score]]&gt;8,"High",IF(financial_fraud_data[[#This Row],[Risk_Score]]&gt;5,"Med","Low"))</f>
        <v>Med</v>
      </c>
      <c r="P779" t="str">
        <f>TEXT(financial_fraud_data[[#This Row],[Transaction_Date]],"MMM")</f>
        <v>Feb</v>
      </c>
      <c r="Q779" t="str">
        <f>IF(financial_fraud_data[[#This Row],[Is_Fraud]]=1,"Yes","No")</f>
        <v>Yes</v>
      </c>
    </row>
    <row r="780" spans="1:17" x14ac:dyDescent="0.2">
      <c r="A780" t="s">
        <v>1215</v>
      </c>
      <c r="B780" t="s">
        <v>1216</v>
      </c>
      <c r="C780" s="1">
        <v>45324.416666666664</v>
      </c>
      <c r="D780">
        <v>36015.83</v>
      </c>
      <c r="E780" t="s">
        <v>34</v>
      </c>
      <c r="F780" t="s">
        <v>50</v>
      </c>
      <c r="G780" t="s">
        <v>56</v>
      </c>
      <c r="H780" t="s">
        <v>36</v>
      </c>
      <c r="I780" t="s">
        <v>36</v>
      </c>
      <c r="J780" t="s">
        <v>37</v>
      </c>
      <c r="K780">
        <v>0</v>
      </c>
      <c r="L780">
        <v>0</v>
      </c>
      <c r="M780">
        <v>3.6</v>
      </c>
      <c r="N780">
        <v>0</v>
      </c>
      <c r="O780" t="str">
        <f>IF(financial_fraud_data[[#This Row],[Risk_Score]]&gt;8,"High",IF(financial_fraud_data[[#This Row],[Risk_Score]]&gt;5,"Med","Low"))</f>
        <v>Low</v>
      </c>
      <c r="P780" t="str">
        <f>TEXT(financial_fraud_data[[#This Row],[Transaction_Date]],"MMM")</f>
        <v>Feb</v>
      </c>
      <c r="Q780" t="str">
        <f>IF(financial_fraud_data[[#This Row],[Is_Fraud]]=1,"Yes","No")</f>
        <v>No</v>
      </c>
    </row>
    <row r="781" spans="1:17" x14ac:dyDescent="0.2">
      <c r="A781" t="s">
        <v>1217</v>
      </c>
      <c r="B781" t="s">
        <v>31</v>
      </c>
      <c r="C781" s="1">
        <v>45324.458333333336</v>
      </c>
      <c r="D781">
        <v>32075.32</v>
      </c>
      <c r="E781" t="s">
        <v>16</v>
      </c>
      <c r="F781" t="s">
        <v>47</v>
      </c>
      <c r="G781" t="s">
        <v>18</v>
      </c>
      <c r="H781" t="s">
        <v>23</v>
      </c>
      <c r="I781" t="s">
        <v>29</v>
      </c>
      <c r="J781" t="s">
        <v>51</v>
      </c>
      <c r="K781">
        <v>1</v>
      </c>
      <c r="L781">
        <v>1</v>
      </c>
      <c r="M781">
        <v>7.71</v>
      </c>
      <c r="N781">
        <v>1</v>
      </c>
      <c r="O781" t="str">
        <f>IF(financial_fraud_data[[#This Row],[Risk_Score]]&gt;8,"High",IF(financial_fraud_data[[#This Row],[Risk_Score]]&gt;5,"Med","Low"))</f>
        <v>Med</v>
      </c>
      <c r="P781" t="str">
        <f>TEXT(financial_fraud_data[[#This Row],[Transaction_Date]],"MMM")</f>
        <v>Feb</v>
      </c>
      <c r="Q781" t="str">
        <f>IF(financial_fraud_data[[#This Row],[Is_Fraud]]=1,"Yes","No")</f>
        <v>Yes</v>
      </c>
    </row>
    <row r="782" spans="1:17" x14ac:dyDescent="0.2">
      <c r="A782" t="s">
        <v>1218</v>
      </c>
      <c r="B782" t="s">
        <v>1219</v>
      </c>
      <c r="C782" s="1">
        <v>45324.5</v>
      </c>
      <c r="D782">
        <v>34712.720000000001</v>
      </c>
      <c r="E782" t="s">
        <v>42</v>
      </c>
      <c r="F782" t="s">
        <v>27</v>
      </c>
      <c r="G782" t="s">
        <v>56</v>
      </c>
      <c r="H782" t="s">
        <v>29</v>
      </c>
      <c r="I782" t="s">
        <v>19</v>
      </c>
      <c r="J782" t="s">
        <v>20</v>
      </c>
      <c r="K782">
        <v>0</v>
      </c>
      <c r="L782">
        <v>0</v>
      </c>
      <c r="M782">
        <v>4.47</v>
      </c>
      <c r="N782">
        <v>0</v>
      </c>
      <c r="O782" t="str">
        <f>IF(financial_fraud_data[[#This Row],[Risk_Score]]&gt;8,"High",IF(financial_fraud_data[[#This Row],[Risk_Score]]&gt;5,"Med","Low"))</f>
        <v>Low</v>
      </c>
      <c r="P782" t="str">
        <f>TEXT(financial_fraud_data[[#This Row],[Transaction_Date]],"MMM")</f>
        <v>Feb</v>
      </c>
      <c r="Q782" t="str">
        <f>IF(financial_fraud_data[[#This Row],[Is_Fraud]]=1,"Yes","No")</f>
        <v>No</v>
      </c>
    </row>
    <row r="783" spans="1:17" x14ac:dyDescent="0.2">
      <c r="A783" t="s">
        <v>1220</v>
      </c>
      <c r="B783" t="s">
        <v>486</v>
      </c>
      <c r="C783" s="1">
        <v>45324.541666666664</v>
      </c>
      <c r="D783">
        <v>27159.09</v>
      </c>
      <c r="E783" t="s">
        <v>34</v>
      </c>
      <c r="F783" t="s">
        <v>50</v>
      </c>
      <c r="G783" t="s">
        <v>56</v>
      </c>
      <c r="H783" t="s">
        <v>23</v>
      </c>
      <c r="I783" t="s">
        <v>24</v>
      </c>
      <c r="J783" t="s">
        <v>37</v>
      </c>
      <c r="K783">
        <v>0</v>
      </c>
      <c r="L783">
        <v>3</v>
      </c>
      <c r="M783">
        <v>8.2200000000000006</v>
      </c>
      <c r="N783">
        <v>1</v>
      </c>
      <c r="O783" t="str">
        <f>IF(financial_fraud_data[[#This Row],[Risk_Score]]&gt;8,"High",IF(financial_fraud_data[[#This Row],[Risk_Score]]&gt;5,"Med","Low"))</f>
        <v>High</v>
      </c>
      <c r="P783" t="str">
        <f>TEXT(financial_fraud_data[[#This Row],[Transaction_Date]],"MMM")</f>
        <v>Feb</v>
      </c>
      <c r="Q783" t="str">
        <f>IF(financial_fraud_data[[#This Row],[Is_Fraud]]=1,"Yes","No")</f>
        <v>Yes</v>
      </c>
    </row>
    <row r="784" spans="1:17" x14ac:dyDescent="0.2">
      <c r="A784" t="s">
        <v>1221</v>
      </c>
      <c r="B784" t="s">
        <v>570</v>
      </c>
      <c r="C784" s="1">
        <v>45324.583333333336</v>
      </c>
      <c r="D784">
        <v>12627.36</v>
      </c>
      <c r="E784" t="s">
        <v>80</v>
      </c>
      <c r="F784" t="s">
        <v>17</v>
      </c>
      <c r="G784" t="s">
        <v>18</v>
      </c>
      <c r="H784" t="s">
        <v>19</v>
      </c>
      <c r="I784" t="s">
        <v>24</v>
      </c>
      <c r="J784" t="s">
        <v>20</v>
      </c>
      <c r="K784">
        <v>1</v>
      </c>
      <c r="L784">
        <v>2</v>
      </c>
      <c r="M784">
        <v>7.26</v>
      </c>
      <c r="N784">
        <v>1</v>
      </c>
      <c r="O784" t="str">
        <f>IF(financial_fraud_data[[#This Row],[Risk_Score]]&gt;8,"High",IF(financial_fraud_data[[#This Row],[Risk_Score]]&gt;5,"Med","Low"))</f>
        <v>Med</v>
      </c>
      <c r="P784" t="str">
        <f>TEXT(financial_fraud_data[[#This Row],[Transaction_Date]],"MMM")</f>
        <v>Feb</v>
      </c>
      <c r="Q784" t="str">
        <f>IF(financial_fraud_data[[#This Row],[Is_Fraud]]=1,"Yes","No")</f>
        <v>Yes</v>
      </c>
    </row>
    <row r="785" spans="1:17" x14ac:dyDescent="0.2">
      <c r="A785" t="s">
        <v>1222</v>
      </c>
      <c r="B785" t="s">
        <v>891</v>
      </c>
      <c r="C785" s="1">
        <v>45324.625</v>
      </c>
      <c r="D785">
        <v>17317.509999999998</v>
      </c>
      <c r="E785" t="s">
        <v>42</v>
      </c>
      <c r="F785" t="s">
        <v>27</v>
      </c>
      <c r="G785" t="s">
        <v>65</v>
      </c>
      <c r="H785" t="s">
        <v>24</v>
      </c>
      <c r="I785" t="s">
        <v>24</v>
      </c>
      <c r="J785" t="s">
        <v>37</v>
      </c>
      <c r="K785">
        <v>1</v>
      </c>
      <c r="L785">
        <v>3</v>
      </c>
      <c r="M785">
        <v>8.23</v>
      </c>
      <c r="N785">
        <v>1</v>
      </c>
      <c r="O785" t="str">
        <f>IF(financial_fraud_data[[#This Row],[Risk_Score]]&gt;8,"High",IF(financial_fraud_data[[#This Row],[Risk_Score]]&gt;5,"Med","Low"))</f>
        <v>High</v>
      </c>
      <c r="P785" t="str">
        <f>TEXT(financial_fraud_data[[#This Row],[Transaction_Date]],"MMM")</f>
        <v>Feb</v>
      </c>
      <c r="Q785" t="str">
        <f>IF(financial_fraud_data[[#This Row],[Is_Fraud]]=1,"Yes","No")</f>
        <v>Yes</v>
      </c>
    </row>
    <row r="786" spans="1:17" x14ac:dyDescent="0.2">
      <c r="A786" t="s">
        <v>1223</v>
      </c>
      <c r="B786" t="s">
        <v>286</v>
      </c>
      <c r="C786" s="1">
        <v>45324.666666666664</v>
      </c>
      <c r="D786">
        <v>9120.81</v>
      </c>
      <c r="E786" t="s">
        <v>34</v>
      </c>
      <c r="F786" t="s">
        <v>17</v>
      </c>
      <c r="G786" t="s">
        <v>18</v>
      </c>
      <c r="H786" t="s">
        <v>19</v>
      </c>
      <c r="I786" t="s">
        <v>23</v>
      </c>
      <c r="J786" t="s">
        <v>51</v>
      </c>
      <c r="K786">
        <v>0</v>
      </c>
      <c r="L786">
        <v>4</v>
      </c>
      <c r="M786">
        <v>7.91</v>
      </c>
      <c r="N786">
        <v>1</v>
      </c>
      <c r="O786" t="str">
        <f>IF(financial_fraud_data[[#This Row],[Risk_Score]]&gt;8,"High",IF(financial_fraud_data[[#This Row],[Risk_Score]]&gt;5,"Med","Low"))</f>
        <v>Med</v>
      </c>
      <c r="P786" t="str">
        <f>TEXT(financial_fraud_data[[#This Row],[Transaction_Date]],"MMM")</f>
        <v>Feb</v>
      </c>
      <c r="Q786" t="str">
        <f>IF(financial_fraud_data[[#This Row],[Is_Fraud]]=1,"Yes","No")</f>
        <v>Yes</v>
      </c>
    </row>
    <row r="787" spans="1:17" x14ac:dyDescent="0.2">
      <c r="A787" t="s">
        <v>1224</v>
      </c>
      <c r="B787" t="s">
        <v>308</v>
      </c>
      <c r="C787" s="1">
        <v>45324.708333333336</v>
      </c>
      <c r="D787">
        <v>45427.11</v>
      </c>
      <c r="E787" t="s">
        <v>34</v>
      </c>
      <c r="F787" t="s">
        <v>47</v>
      </c>
      <c r="G787" t="s">
        <v>65</v>
      </c>
      <c r="H787" t="s">
        <v>36</v>
      </c>
      <c r="I787" t="s">
        <v>19</v>
      </c>
      <c r="J787" t="s">
        <v>37</v>
      </c>
      <c r="K787">
        <v>1</v>
      </c>
      <c r="L787">
        <v>4</v>
      </c>
      <c r="M787">
        <v>13.54</v>
      </c>
      <c r="N787">
        <v>1</v>
      </c>
      <c r="O787" t="str">
        <f>IF(financial_fraud_data[[#This Row],[Risk_Score]]&gt;8,"High",IF(financial_fraud_data[[#This Row],[Risk_Score]]&gt;5,"Med","Low"))</f>
        <v>High</v>
      </c>
      <c r="P787" t="str">
        <f>TEXT(financial_fraud_data[[#This Row],[Transaction_Date]],"MMM")</f>
        <v>Feb</v>
      </c>
      <c r="Q787" t="str">
        <f>IF(financial_fraud_data[[#This Row],[Is_Fraud]]=1,"Yes","No")</f>
        <v>Yes</v>
      </c>
    </row>
    <row r="788" spans="1:17" x14ac:dyDescent="0.2">
      <c r="A788" t="s">
        <v>1225</v>
      </c>
      <c r="B788" t="s">
        <v>1226</v>
      </c>
      <c r="C788" s="1">
        <v>45324.75</v>
      </c>
      <c r="D788">
        <v>29190.42</v>
      </c>
      <c r="E788" t="s">
        <v>80</v>
      </c>
      <c r="F788" t="s">
        <v>47</v>
      </c>
      <c r="G788" t="s">
        <v>35</v>
      </c>
      <c r="H788" t="s">
        <v>23</v>
      </c>
      <c r="I788" t="s">
        <v>24</v>
      </c>
      <c r="J788" t="s">
        <v>20</v>
      </c>
      <c r="K788">
        <v>0</v>
      </c>
      <c r="L788">
        <v>3</v>
      </c>
      <c r="M788">
        <v>8.42</v>
      </c>
      <c r="N788">
        <v>1</v>
      </c>
      <c r="O788" t="str">
        <f>IF(financial_fraud_data[[#This Row],[Risk_Score]]&gt;8,"High",IF(financial_fraud_data[[#This Row],[Risk_Score]]&gt;5,"Med","Low"))</f>
        <v>High</v>
      </c>
      <c r="P788" t="str">
        <f>TEXT(financial_fraud_data[[#This Row],[Transaction_Date]],"MMM")</f>
        <v>Feb</v>
      </c>
      <c r="Q788" t="str">
        <f>IF(financial_fraud_data[[#This Row],[Is_Fraud]]=1,"Yes","No")</f>
        <v>Yes</v>
      </c>
    </row>
    <row r="789" spans="1:17" x14ac:dyDescent="0.2">
      <c r="A789" t="s">
        <v>1227</v>
      </c>
      <c r="B789" t="s">
        <v>879</v>
      </c>
      <c r="C789" s="1">
        <v>45324.791666666664</v>
      </c>
      <c r="D789">
        <v>20072.53</v>
      </c>
      <c r="E789" t="s">
        <v>34</v>
      </c>
      <c r="F789" t="s">
        <v>50</v>
      </c>
      <c r="G789" t="s">
        <v>35</v>
      </c>
      <c r="H789" t="s">
        <v>23</v>
      </c>
      <c r="I789" t="s">
        <v>19</v>
      </c>
      <c r="J789" t="s">
        <v>20</v>
      </c>
      <c r="K789">
        <v>0</v>
      </c>
      <c r="L789">
        <v>1</v>
      </c>
      <c r="M789">
        <v>4.51</v>
      </c>
      <c r="N789">
        <v>0</v>
      </c>
      <c r="O789" t="str">
        <f>IF(financial_fraud_data[[#This Row],[Risk_Score]]&gt;8,"High",IF(financial_fraud_data[[#This Row],[Risk_Score]]&gt;5,"Med","Low"))</f>
        <v>Low</v>
      </c>
      <c r="P789" t="str">
        <f>TEXT(financial_fraud_data[[#This Row],[Transaction_Date]],"MMM")</f>
        <v>Feb</v>
      </c>
      <c r="Q789" t="str">
        <f>IF(financial_fraud_data[[#This Row],[Is_Fraud]]=1,"Yes","No")</f>
        <v>No</v>
      </c>
    </row>
    <row r="790" spans="1:17" x14ac:dyDescent="0.2">
      <c r="A790" t="s">
        <v>1228</v>
      </c>
      <c r="B790" t="s">
        <v>1075</v>
      </c>
      <c r="C790" s="1">
        <v>45324.833333333336</v>
      </c>
      <c r="D790">
        <v>23127.19</v>
      </c>
      <c r="E790" t="s">
        <v>16</v>
      </c>
      <c r="F790" t="s">
        <v>27</v>
      </c>
      <c r="G790" t="s">
        <v>18</v>
      </c>
      <c r="H790" t="s">
        <v>29</v>
      </c>
      <c r="I790" t="s">
        <v>24</v>
      </c>
      <c r="J790" t="s">
        <v>20</v>
      </c>
      <c r="K790">
        <v>0</v>
      </c>
      <c r="L790">
        <v>1</v>
      </c>
      <c r="M790">
        <v>4.8099999999999996</v>
      </c>
      <c r="N790">
        <v>0</v>
      </c>
      <c r="O790" t="str">
        <f>IF(financial_fraud_data[[#This Row],[Risk_Score]]&gt;8,"High",IF(financial_fraud_data[[#This Row],[Risk_Score]]&gt;5,"Med","Low"))</f>
        <v>Low</v>
      </c>
      <c r="P790" t="str">
        <f>TEXT(financial_fraud_data[[#This Row],[Transaction_Date]],"MMM")</f>
        <v>Feb</v>
      </c>
      <c r="Q790" t="str">
        <f>IF(financial_fraud_data[[#This Row],[Is_Fraud]]=1,"Yes","No")</f>
        <v>No</v>
      </c>
    </row>
    <row r="791" spans="1:17" x14ac:dyDescent="0.2">
      <c r="A791" t="s">
        <v>1229</v>
      </c>
      <c r="B791" t="s">
        <v>1172</v>
      </c>
      <c r="C791" s="1">
        <v>45324.875</v>
      </c>
      <c r="D791">
        <v>47366.8</v>
      </c>
      <c r="E791" t="s">
        <v>80</v>
      </c>
      <c r="F791" t="s">
        <v>17</v>
      </c>
      <c r="G791" t="s">
        <v>35</v>
      </c>
      <c r="H791" t="s">
        <v>23</v>
      </c>
      <c r="I791" t="s">
        <v>36</v>
      </c>
      <c r="J791" t="s">
        <v>37</v>
      </c>
      <c r="K791">
        <v>1</v>
      </c>
      <c r="L791">
        <v>0</v>
      </c>
      <c r="M791">
        <v>7.74</v>
      </c>
      <c r="N791">
        <v>1</v>
      </c>
      <c r="O791" t="str">
        <f>IF(financial_fraud_data[[#This Row],[Risk_Score]]&gt;8,"High",IF(financial_fraud_data[[#This Row],[Risk_Score]]&gt;5,"Med","Low"))</f>
        <v>Med</v>
      </c>
      <c r="P791" t="str">
        <f>TEXT(financial_fraud_data[[#This Row],[Transaction_Date]],"MMM")</f>
        <v>Feb</v>
      </c>
      <c r="Q791" t="str">
        <f>IF(financial_fraud_data[[#This Row],[Is_Fraud]]=1,"Yes","No")</f>
        <v>Yes</v>
      </c>
    </row>
    <row r="792" spans="1:17" x14ac:dyDescent="0.2">
      <c r="A792" t="s">
        <v>1230</v>
      </c>
      <c r="B792" t="s">
        <v>227</v>
      </c>
      <c r="C792" s="1">
        <v>45324.916666666664</v>
      </c>
      <c r="D792">
        <v>7709.9</v>
      </c>
      <c r="E792" t="s">
        <v>42</v>
      </c>
      <c r="F792" t="s">
        <v>50</v>
      </c>
      <c r="G792" t="s">
        <v>28</v>
      </c>
      <c r="H792" t="s">
        <v>19</v>
      </c>
      <c r="I792" t="s">
        <v>19</v>
      </c>
      <c r="J792" t="s">
        <v>37</v>
      </c>
      <c r="K792">
        <v>0</v>
      </c>
      <c r="L792">
        <v>0</v>
      </c>
      <c r="M792">
        <v>0.77</v>
      </c>
      <c r="N792">
        <v>0</v>
      </c>
      <c r="O792" t="str">
        <f>IF(financial_fraud_data[[#This Row],[Risk_Score]]&gt;8,"High",IF(financial_fraud_data[[#This Row],[Risk_Score]]&gt;5,"Med","Low"))</f>
        <v>Low</v>
      </c>
      <c r="P792" t="str">
        <f>TEXT(financial_fraud_data[[#This Row],[Transaction_Date]],"MMM")</f>
        <v>Feb</v>
      </c>
      <c r="Q792" t="str">
        <f>IF(financial_fraud_data[[#This Row],[Is_Fraud]]=1,"Yes","No")</f>
        <v>No</v>
      </c>
    </row>
    <row r="793" spans="1:17" x14ac:dyDescent="0.2">
      <c r="A793" t="s">
        <v>1231</v>
      </c>
      <c r="B793" t="s">
        <v>131</v>
      </c>
      <c r="C793" s="1">
        <v>45324.958333333336</v>
      </c>
      <c r="D793">
        <v>29332.18</v>
      </c>
      <c r="E793" t="s">
        <v>42</v>
      </c>
      <c r="F793" t="s">
        <v>47</v>
      </c>
      <c r="G793" t="s">
        <v>56</v>
      </c>
      <c r="H793" t="s">
        <v>36</v>
      </c>
      <c r="I793" t="s">
        <v>29</v>
      </c>
      <c r="J793" t="s">
        <v>37</v>
      </c>
      <c r="K793">
        <v>0</v>
      </c>
      <c r="L793">
        <v>0</v>
      </c>
      <c r="M793">
        <v>3.93</v>
      </c>
      <c r="N793">
        <v>0</v>
      </c>
      <c r="O793" t="str">
        <f>IF(financial_fraud_data[[#This Row],[Risk_Score]]&gt;8,"High",IF(financial_fraud_data[[#This Row],[Risk_Score]]&gt;5,"Med","Low"))</f>
        <v>Low</v>
      </c>
      <c r="P793" t="str">
        <f>TEXT(financial_fraud_data[[#This Row],[Transaction_Date]],"MMM")</f>
        <v>Feb</v>
      </c>
      <c r="Q793" t="str">
        <f>IF(financial_fraud_data[[#This Row],[Is_Fraud]]=1,"Yes","No")</f>
        <v>No</v>
      </c>
    </row>
    <row r="794" spans="1:17" x14ac:dyDescent="0.2">
      <c r="A794" t="s">
        <v>1232</v>
      </c>
      <c r="B794" t="s">
        <v>711</v>
      </c>
      <c r="C794" s="1">
        <v>45325</v>
      </c>
      <c r="D794">
        <v>25319.14</v>
      </c>
      <c r="E794" t="s">
        <v>16</v>
      </c>
      <c r="F794" t="s">
        <v>47</v>
      </c>
      <c r="G794" t="s">
        <v>56</v>
      </c>
      <c r="H794" t="s">
        <v>24</v>
      </c>
      <c r="I794" t="s">
        <v>23</v>
      </c>
      <c r="J794" t="s">
        <v>51</v>
      </c>
      <c r="K794">
        <v>0</v>
      </c>
      <c r="L794">
        <v>2</v>
      </c>
      <c r="M794">
        <v>6.53</v>
      </c>
      <c r="N794">
        <v>1</v>
      </c>
      <c r="O794" t="str">
        <f>IF(financial_fraud_data[[#This Row],[Risk_Score]]&gt;8,"High",IF(financial_fraud_data[[#This Row],[Risk_Score]]&gt;5,"Med","Low"))</f>
        <v>Med</v>
      </c>
      <c r="P794" t="str">
        <f>TEXT(financial_fraud_data[[#This Row],[Transaction_Date]],"MMM")</f>
        <v>Feb</v>
      </c>
      <c r="Q794" t="str">
        <f>IF(financial_fraud_data[[#This Row],[Is_Fraud]]=1,"Yes","No")</f>
        <v>Yes</v>
      </c>
    </row>
    <row r="795" spans="1:17" x14ac:dyDescent="0.2">
      <c r="A795" t="s">
        <v>1233</v>
      </c>
      <c r="B795" t="s">
        <v>289</v>
      </c>
      <c r="C795" s="1">
        <v>45325.041666666664</v>
      </c>
      <c r="D795">
        <v>30592.14</v>
      </c>
      <c r="E795" t="s">
        <v>42</v>
      </c>
      <c r="F795" t="s">
        <v>27</v>
      </c>
      <c r="G795" t="s">
        <v>65</v>
      </c>
      <c r="H795" t="s">
        <v>23</v>
      </c>
      <c r="I795" t="s">
        <v>29</v>
      </c>
      <c r="J795" t="s">
        <v>51</v>
      </c>
      <c r="K795">
        <v>0</v>
      </c>
      <c r="L795">
        <v>1</v>
      </c>
      <c r="M795">
        <v>5.56</v>
      </c>
      <c r="N795">
        <v>1</v>
      </c>
      <c r="O795" t="str">
        <f>IF(financial_fraud_data[[#This Row],[Risk_Score]]&gt;8,"High",IF(financial_fraud_data[[#This Row],[Risk_Score]]&gt;5,"Med","Low"))</f>
        <v>Med</v>
      </c>
      <c r="P795" t="str">
        <f>TEXT(financial_fraud_data[[#This Row],[Transaction_Date]],"MMM")</f>
        <v>Feb</v>
      </c>
      <c r="Q795" t="str">
        <f>IF(financial_fraud_data[[#This Row],[Is_Fraud]]=1,"Yes","No")</f>
        <v>Yes</v>
      </c>
    </row>
    <row r="796" spans="1:17" x14ac:dyDescent="0.2">
      <c r="A796" t="s">
        <v>1234</v>
      </c>
      <c r="B796" t="s">
        <v>1235</v>
      </c>
      <c r="C796" s="1">
        <v>45325.083333333336</v>
      </c>
      <c r="D796">
        <v>954.6</v>
      </c>
      <c r="E796" t="s">
        <v>34</v>
      </c>
      <c r="F796" t="s">
        <v>17</v>
      </c>
      <c r="G796" t="s">
        <v>35</v>
      </c>
      <c r="H796" t="s">
        <v>24</v>
      </c>
      <c r="I796" t="s">
        <v>19</v>
      </c>
      <c r="J796" t="s">
        <v>51</v>
      </c>
      <c r="K796">
        <v>0</v>
      </c>
      <c r="L796">
        <v>3</v>
      </c>
      <c r="M796">
        <v>5.6</v>
      </c>
      <c r="N796">
        <v>1</v>
      </c>
      <c r="O796" t="str">
        <f>IF(financial_fraud_data[[#This Row],[Risk_Score]]&gt;8,"High",IF(financial_fraud_data[[#This Row],[Risk_Score]]&gt;5,"Med","Low"))</f>
        <v>Med</v>
      </c>
      <c r="P796" t="str">
        <f>TEXT(financial_fraud_data[[#This Row],[Transaction_Date]],"MMM")</f>
        <v>Feb</v>
      </c>
      <c r="Q796" t="str">
        <f>IF(financial_fraud_data[[#This Row],[Is_Fraud]]=1,"Yes","No")</f>
        <v>Yes</v>
      </c>
    </row>
    <row r="797" spans="1:17" x14ac:dyDescent="0.2">
      <c r="A797" t="s">
        <v>1236</v>
      </c>
      <c r="B797" t="s">
        <v>1237</v>
      </c>
      <c r="C797" s="1">
        <v>45325.125</v>
      </c>
      <c r="D797">
        <v>43612.59</v>
      </c>
      <c r="E797" t="s">
        <v>34</v>
      </c>
      <c r="F797" t="s">
        <v>27</v>
      </c>
      <c r="G797" t="s">
        <v>65</v>
      </c>
      <c r="H797" t="s">
        <v>23</v>
      </c>
      <c r="I797" t="s">
        <v>24</v>
      </c>
      <c r="J797" t="s">
        <v>20</v>
      </c>
      <c r="K797">
        <v>0</v>
      </c>
      <c r="L797">
        <v>4</v>
      </c>
      <c r="M797">
        <v>11.36</v>
      </c>
      <c r="N797">
        <v>1</v>
      </c>
      <c r="O797" t="str">
        <f>IF(financial_fraud_data[[#This Row],[Risk_Score]]&gt;8,"High",IF(financial_fraud_data[[#This Row],[Risk_Score]]&gt;5,"Med","Low"))</f>
        <v>High</v>
      </c>
      <c r="P797" t="str">
        <f>TEXT(financial_fraud_data[[#This Row],[Transaction_Date]],"MMM")</f>
        <v>Feb</v>
      </c>
      <c r="Q797" t="str">
        <f>IF(financial_fraud_data[[#This Row],[Is_Fraud]]=1,"Yes","No")</f>
        <v>Yes</v>
      </c>
    </row>
    <row r="798" spans="1:17" x14ac:dyDescent="0.2">
      <c r="A798" t="s">
        <v>1238</v>
      </c>
      <c r="B798" t="s">
        <v>481</v>
      </c>
      <c r="C798" s="1">
        <v>45325.166666666664</v>
      </c>
      <c r="D798">
        <v>46609.31</v>
      </c>
      <c r="E798" t="s">
        <v>16</v>
      </c>
      <c r="F798" t="s">
        <v>17</v>
      </c>
      <c r="G798" t="s">
        <v>56</v>
      </c>
      <c r="H798" t="s">
        <v>36</v>
      </c>
      <c r="I798" t="s">
        <v>19</v>
      </c>
      <c r="J798" t="s">
        <v>20</v>
      </c>
      <c r="K798">
        <v>1</v>
      </c>
      <c r="L798">
        <v>1</v>
      </c>
      <c r="M798">
        <v>9.16</v>
      </c>
      <c r="N798">
        <v>1</v>
      </c>
      <c r="O798" t="str">
        <f>IF(financial_fraud_data[[#This Row],[Risk_Score]]&gt;8,"High",IF(financial_fraud_data[[#This Row],[Risk_Score]]&gt;5,"Med","Low"))</f>
        <v>High</v>
      </c>
      <c r="P798" t="str">
        <f>TEXT(financial_fraud_data[[#This Row],[Transaction_Date]],"MMM")</f>
        <v>Feb</v>
      </c>
      <c r="Q798" t="str">
        <f>IF(financial_fraud_data[[#This Row],[Is_Fraud]]=1,"Yes","No")</f>
        <v>Yes</v>
      </c>
    </row>
    <row r="799" spans="1:17" x14ac:dyDescent="0.2">
      <c r="A799" t="s">
        <v>1239</v>
      </c>
      <c r="B799" t="s">
        <v>1077</v>
      </c>
      <c r="C799" s="1">
        <v>45325.208333333336</v>
      </c>
      <c r="D799">
        <v>28278.400000000001</v>
      </c>
      <c r="E799" t="s">
        <v>42</v>
      </c>
      <c r="F799" t="s">
        <v>17</v>
      </c>
      <c r="G799" t="s">
        <v>56</v>
      </c>
      <c r="H799" t="s">
        <v>19</v>
      </c>
      <c r="I799" t="s">
        <v>23</v>
      </c>
      <c r="J799" t="s">
        <v>20</v>
      </c>
      <c r="K799">
        <v>0</v>
      </c>
      <c r="L799">
        <v>1</v>
      </c>
      <c r="M799">
        <v>5.33</v>
      </c>
      <c r="N799">
        <v>1</v>
      </c>
      <c r="O799" t="str">
        <f>IF(financial_fraud_data[[#This Row],[Risk_Score]]&gt;8,"High",IF(financial_fraud_data[[#This Row],[Risk_Score]]&gt;5,"Med","Low"))</f>
        <v>Med</v>
      </c>
      <c r="P799" t="str">
        <f>TEXT(financial_fraud_data[[#This Row],[Transaction_Date]],"MMM")</f>
        <v>Feb</v>
      </c>
      <c r="Q799" t="str">
        <f>IF(financial_fraud_data[[#This Row],[Is_Fraud]]=1,"Yes","No")</f>
        <v>Yes</v>
      </c>
    </row>
    <row r="800" spans="1:17" x14ac:dyDescent="0.2">
      <c r="A800" t="s">
        <v>1240</v>
      </c>
      <c r="B800" t="s">
        <v>113</v>
      </c>
      <c r="C800" s="1">
        <v>45325.25</v>
      </c>
      <c r="D800">
        <v>34847.71</v>
      </c>
      <c r="E800" t="s">
        <v>42</v>
      </c>
      <c r="F800" t="s">
        <v>27</v>
      </c>
      <c r="G800" t="s">
        <v>35</v>
      </c>
      <c r="H800" t="s">
        <v>36</v>
      </c>
      <c r="I800" t="s">
        <v>19</v>
      </c>
      <c r="J800" t="s">
        <v>20</v>
      </c>
      <c r="K800">
        <v>0</v>
      </c>
      <c r="L800">
        <v>1</v>
      </c>
      <c r="M800">
        <v>5.98</v>
      </c>
      <c r="N800">
        <v>1</v>
      </c>
      <c r="O800" t="str">
        <f>IF(financial_fraud_data[[#This Row],[Risk_Score]]&gt;8,"High",IF(financial_fraud_data[[#This Row],[Risk_Score]]&gt;5,"Med","Low"))</f>
        <v>Med</v>
      </c>
      <c r="P800" t="str">
        <f>TEXT(financial_fraud_data[[#This Row],[Transaction_Date]],"MMM")</f>
        <v>Feb</v>
      </c>
      <c r="Q800" t="str">
        <f>IF(financial_fraud_data[[#This Row],[Is_Fraud]]=1,"Yes","No")</f>
        <v>Yes</v>
      </c>
    </row>
    <row r="801" spans="1:17" x14ac:dyDescent="0.2">
      <c r="A801" t="s">
        <v>1241</v>
      </c>
      <c r="B801" t="s">
        <v>411</v>
      </c>
      <c r="C801" s="1">
        <v>45325.291666666664</v>
      </c>
      <c r="D801">
        <v>46128.84</v>
      </c>
      <c r="E801" t="s">
        <v>16</v>
      </c>
      <c r="F801" t="s">
        <v>50</v>
      </c>
      <c r="G801" t="s">
        <v>28</v>
      </c>
      <c r="H801" t="s">
        <v>24</v>
      </c>
      <c r="I801" t="s">
        <v>24</v>
      </c>
      <c r="J801" t="s">
        <v>20</v>
      </c>
      <c r="K801">
        <v>0</v>
      </c>
      <c r="L801">
        <v>0</v>
      </c>
      <c r="M801">
        <v>4.6100000000000003</v>
      </c>
      <c r="N801">
        <v>0</v>
      </c>
      <c r="O801" t="str">
        <f>IF(financial_fraud_data[[#This Row],[Risk_Score]]&gt;8,"High",IF(financial_fraud_data[[#This Row],[Risk_Score]]&gt;5,"Med","Low"))</f>
        <v>Low</v>
      </c>
      <c r="P801" t="str">
        <f>TEXT(financial_fraud_data[[#This Row],[Transaction_Date]],"MMM")</f>
        <v>Feb</v>
      </c>
      <c r="Q801" t="str">
        <f>IF(financial_fraud_data[[#This Row],[Is_Fraud]]=1,"Yes","No")</f>
        <v>No</v>
      </c>
    </row>
    <row r="802" spans="1:17" x14ac:dyDescent="0.2">
      <c r="A802" t="s">
        <v>1242</v>
      </c>
      <c r="B802" t="s">
        <v>1243</v>
      </c>
      <c r="C802" s="1">
        <v>45325.333333333336</v>
      </c>
      <c r="D802">
        <v>35376.57</v>
      </c>
      <c r="E802" t="s">
        <v>80</v>
      </c>
      <c r="F802" t="s">
        <v>27</v>
      </c>
      <c r="G802" t="s">
        <v>28</v>
      </c>
      <c r="H802" t="s">
        <v>23</v>
      </c>
      <c r="I802" t="s">
        <v>29</v>
      </c>
      <c r="J802" t="s">
        <v>37</v>
      </c>
      <c r="K802">
        <v>1</v>
      </c>
      <c r="L802">
        <v>2</v>
      </c>
      <c r="M802">
        <v>9.5399999999999991</v>
      </c>
      <c r="N802">
        <v>1</v>
      </c>
      <c r="O802" t="str">
        <f>IF(financial_fraud_data[[#This Row],[Risk_Score]]&gt;8,"High",IF(financial_fraud_data[[#This Row],[Risk_Score]]&gt;5,"Med","Low"))</f>
        <v>High</v>
      </c>
      <c r="P802" t="str">
        <f>TEXT(financial_fraud_data[[#This Row],[Transaction_Date]],"MMM")</f>
        <v>Feb</v>
      </c>
      <c r="Q802" t="str">
        <f>IF(financial_fraud_data[[#This Row],[Is_Fraud]]=1,"Yes","No")</f>
        <v>Yes</v>
      </c>
    </row>
    <row r="803" spans="1:17" x14ac:dyDescent="0.2">
      <c r="A803" t="s">
        <v>1244</v>
      </c>
      <c r="B803" t="s">
        <v>1112</v>
      </c>
      <c r="C803" s="1">
        <v>45325.375</v>
      </c>
      <c r="D803">
        <v>7669.33</v>
      </c>
      <c r="E803" t="s">
        <v>42</v>
      </c>
      <c r="F803" t="s">
        <v>27</v>
      </c>
      <c r="G803" t="s">
        <v>35</v>
      </c>
      <c r="H803" t="s">
        <v>24</v>
      </c>
      <c r="I803" t="s">
        <v>36</v>
      </c>
      <c r="J803" t="s">
        <v>20</v>
      </c>
      <c r="K803">
        <v>0</v>
      </c>
      <c r="L803">
        <v>3</v>
      </c>
      <c r="M803">
        <v>6.27</v>
      </c>
      <c r="N803">
        <v>1</v>
      </c>
      <c r="O803" t="str">
        <f>IF(financial_fraud_data[[#This Row],[Risk_Score]]&gt;8,"High",IF(financial_fraud_data[[#This Row],[Risk_Score]]&gt;5,"Med","Low"))</f>
        <v>Med</v>
      </c>
      <c r="P803" t="str">
        <f>TEXT(financial_fraud_data[[#This Row],[Transaction_Date]],"MMM")</f>
        <v>Feb</v>
      </c>
      <c r="Q803" t="str">
        <f>IF(financial_fraud_data[[#This Row],[Is_Fraud]]=1,"Yes","No")</f>
        <v>Yes</v>
      </c>
    </row>
    <row r="804" spans="1:17" x14ac:dyDescent="0.2">
      <c r="A804" t="s">
        <v>1245</v>
      </c>
      <c r="B804" t="s">
        <v>759</v>
      </c>
      <c r="C804" s="1">
        <v>45325.416666666664</v>
      </c>
      <c r="D804">
        <v>28835.599999999999</v>
      </c>
      <c r="E804" t="s">
        <v>80</v>
      </c>
      <c r="F804" t="s">
        <v>47</v>
      </c>
      <c r="G804" t="s">
        <v>35</v>
      </c>
      <c r="H804" t="s">
        <v>19</v>
      </c>
      <c r="I804" t="s">
        <v>29</v>
      </c>
      <c r="J804" t="s">
        <v>37</v>
      </c>
      <c r="K804">
        <v>0</v>
      </c>
      <c r="L804">
        <v>0</v>
      </c>
      <c r="M804">
        <v>3.88</v>
      </c>
      <c r="N804">
        <v>0</v>
      </c>
      <c r="O804" t="str">
        <f>IF(financial_fraud_data[[#This Row],[Risk_Score]]&gt;8,"High",IF(financial_fraud_data[[#This Row],[Risk_Score]]&gt;5,"Med","Low"))</f>
        <v>Low</v>
      </c>
      <c r="P804" t="str">
        <f>TEXT(financial_fraud_data[[#This Row],[Transaction_Date]],"MMM")</f>
        <v>Feb</v>
      </c>
      <c r="Q804" t="str">
        <f>IF(financial_fraud_data[[#This Row],[Is_Fraud]]=1,"Yes","No")</f>
        <v>No</v>
      </c>
    </row>
    <row r="805" spans="1:17" x14ac:dyDescent="0.2">
      <c r="A805" t="s">
        <v>1246</v>
      </c>
      <c r="B805" t="s">
        <v>1009</v>
      </c>
      <c r="C805" s="1">
        <v>45325.458333333336</v>
      </c>
      <c r="D805">
        <v>30355.42</v>
      </c>
      <c r="E805" t="s">
        <v>42</v>
      </c>
      <c r="F805" t="s">
        <v>47</v>
      </c>
      <c r="G805" t="s">
        <v>65</v>
      </c>
      <c r="H805" t="s">
        <v>36</v>
      </c>
      <c r="I805" t="s">
        <v>24</v>
      </c>
      <c r="J805" t="s">
        <v>51</v>
      </c>
      <c r="K805">
        <v>1</v>
      </c>
      <c r="L805">
        <v>2</v>
      </c>
      <c r="M805">
        <v>9.0399999999999991</v>
      </c>
      <c r="N805">
        <v>1</v>
      </c>
      <c r="O805" t="str">
        <f>IF(financial_fraud_data[[#This Row],[Risk_Score]]&gt;8,"High",IF(financial_fraud_data[[#This Row],[Risk_Score]]&gt;5,"Med","Low"))</f>
        <v>High</v>
      </c>
      <c r="P805" t="str">
        <f>TEXT(financial_fraud_data[[#This Row],[Transaction_Date]],"MMM")</f>
        <v>Feb</v>
      </c>
      <c r="Q805" t="str">
        <f>IF(financial_fraud_data[[#This Row],[Is_Fraud]]=1,"Yes","No")</f>
        <v>Yes</v>
      </c>
    </row>
    <row r="806" spans="1:17" x14ac:dyDescent="0.2">
      <c r="A806" t="s">
        <v>1247</v>
      </c>
      <c r="B806" t="s">
        <v>872</v>
      </c>
      <c r="C806" s="1">
        <v>45325.5</v>
      </c>
      <c r="D806">
        <v>21235.33</v>
      </c>
      <c r="E806" t="s">
        <v>42</v>
      </c>
      <c r="F806" t="s">
        <v>27</v>
      </c>
      <c r="G806" t="s">
        <v>35</v>
      </c>
      <c r="H806" t="s">
        <v>24</v>
      </c>
      <c r="I806" t="s">
        <v>24</v>
      </c>
      <c r="J806" t="s">
        <v>51</v>
      </c>
      <c r="K806">
        <v>0</v>
      </c>
      <c r="L806">
        <v>1</v>
      </c>
      <c r="M806">
        <v>3.62</v>
      </c>
      <c r="N806">
        <v>0</v>
      </c>
      <c r="O806" t="str">
        <f>IF(financial_fraud_data[[#This Row],[Risk_Score]]&gt;8,"High",IF(financial_fraud_data[[#This Row],[Risk_Score]]&gt;5,"Med","Low"))</f>
        <v>Low</v>
      </c>
      <c r="P806" t="str">
        <f>TEXT(financial_fraud_data[[#This Row],[Transaction_Date]],"MMM")</f>
        <v>Feb</v>
      </c>
      <c r="Q806" t="str">
        <f>IF(financial_fraud_data[[#This Row],[Is_Fraud]]=1,"Yes","No")</f>
        <v>No</v>
      </c>
    </row>
    <row r="807" spans="1:17" x14ac:dyDescent="0.2">
      <c r="A807" t="s">
        <v>1248</v>
      </c>
      <c r="B807" t="s">
        <v>295</v>
      </c>
      <c r="C807" s="1">
        <v>45325.541666666664</v>
      </c>
      <c r="D807">
        <v>36835.39</v>
      </c>
      <c r="E807" t="s">
        <v>42</v>
      </c>
      <c r="F807" t="s">
        <v>27</v>
      </c>
      <c r="G807" t="s">
        <v>28</v>
      </c>
      <c r="H807" t="s">
        <v>24</v>
      </c>
      <c r="I807" t="s">
        <v>23</v>
      </c>
      <c r="J807" t="s">
        <v>51</v>
      </c>
      <c r="K807">
        <v>0</v>
      </c>
      <c r="L807">
        <v>2</v>
      </c>
      <c r="M807">
        <v>7.68</v>
      </c>
      <c r="N807">
        <v>1</v>
      </c>
      <c r="O807" t="str">
        <f>IF(financial_fraud_data[[#This Row],[Risk_Score]]&gt;8,"High",IF(financial_fraud_data[[#This Row],[Risk_Score]]&gt;5,"Med","Low"))</f>
        <v>Med</v>
      </c>
      <c r="P807" t="str">
        <f>TEXT(financial_fraud_data[[#This Row],[Transaction_Date]],"MMM")</f>
        <v>Feb</v>
      </c>
      <c r="Q807" t="str">
        <f>IF(financial_fraud_data[[#This Row],[Is_Fraud]]=1,"Yes","No")</f>
        <v>Yes</v>
      </c>
    </row>
    <row r="808" spans="1:17" x14ac:dyDescent="0.2">
      <c r="A808" t="s">
        <v>1249</v>
      </c>
      <c r="B808" t="s">
        <v>193</v>
      </c>
      <c r="C808" s="1">
        <v>45325.583333333336</v>
      </c>
      <c r="D808">
        <v>46721.63</v>
      </c>
      <c r="E808" t="s">
        <v>42</v>
      </c>
      <c r="F808" t="s">
        <v>47</v>
      </c>
      <c r="G808" t="s">
        <v>35</v>
      </c>
      <c r="H808" t="s">
        <v>19</v>
      </c>
      <c r="I808" t="s">
        <v>19</v>
      </c>
      <c r="J808" t="s">
        <v>51</v>
      </c>
      <c r="K808">
        <v>0</v>
      </c>
      <c r="L808">
        <v>0</v>
      </c>
      <c r="M808">
        <v>4.67</v>
      </c>
      <c r="N808">
        <v>0</v>
      </c>
      <c r="O808" t="str">
        <f>IF(financial_fraud_data[[#This Row],[Risk_Score]]&gt;8,"High",IF(financial_fraud_data[[#This Row],[Risk_Score]]&gt;5,"Med","Low"))</f>
        <v>Low</v>
      </c>
      <c r="P808" t="str">
        <f>TEXT(financial_fraud_data[[#This Row],[Transaction_Date]],"MMM")</f>
        <v>Feb</v>
      </c>
      <c r="Q808" t="str">
        <f>IF(financial_fraud_data[[#This Row],[Is_Fraud]]=1,"Yes","No")</f>
        <v>No</v>
      </c>
    </row>
    <row r="809" spans="1:17" x14ac:dyDescent="0.2">
      <c r="A809" t="s">
        <v>1250</v>
      </c>
      <c r="B809" t="s">
        <v>88</v>
      </c>
      <c r="C809" s="1">
        <v>45325.625</v>
      </c>
      <c r="D809">
        <v>46282.15</v>
      </c>
      <c r="E809" t="s">
        <v>34</v>
      </c>
      <c r="F809" t="s">
        <v>17</v>
      </c>
      <c r="G809" t="s">
        <v>65</v>
      </c>
      <c r="H809" t="s">
        <v>23</v>
      </c>
      <c r="I809" t="s">
        <v>19</v>
      </c>
      <c r="J809" t="s">
        <v>51</v>
      </c>
      <c r="K809">
        <v>1</v>
      </c>
      <c r="L809">
        <v>1</v>
      </c>
      <c r="M809">
        <v>9.1300000000000008</v>
      </c>
      <c r="N809">
        <v>1</v>
      </c>
      <c r="O809" t="str">
        <f>IF(financial_fraud_data[[#This Row],[Risk_Score]]&gt;8,"High",IF(financial_fraud_data[[#This Row],[Risk_Score]]&gt;5,"Med","Low"))</f>
        <v>High</v>
      </c>
      <c r="P809" t="str">
        <f>TEXT(financial_fraud_data[[#This Row],[Transaction_Date]],"MMM")</f>
        <v>Feb</v>
      </c>
      <c r="Q809" t="str">
        <f>IF(financial_fraud_data[[#This Row],[Is_Fraud]]=1,"Yes","No")</f>
        <v>Yes</v>
      </c>
    </row>
    <row r="810" spans="1:17" x14ac:dyDescent="0.2">
      <c r="A810" t="s">
        <v>1251</v>
      </c>
      <c r="B810" t="s">
        <v>908</v>
      </c>
      <c r="C810" s="1">
        <v>45325.666666666664</v>
      </c>
      <c r="D810">
        <v>22569.43</v>
      </c>
      <c r="E810" t="s">
        <v>80</v>
      </c>
      <c r="F810" t="s">
        <v>27</v>
      </c>
      <c r="G810" t="s">
        <v>65</v>
      </c>
      <c r="H810" t="s">
        <v>24</v>
      </c>
      <c r="I810" t="s">
        <v>29</v>
      </c>
      <c r="J810" t="s">
        <v>20</v>
      </c>
      <c r="K810">
        <v>0</v>
      </c>
      <c r="L810">
        <v>0</v>
      </c>
      <c r="M810">
        <v>3.26</v>
      </c>
      <c r="N810">
        <v>0</v>
      </c>
      <c r="O810" t="str">
        <f>IF(financial_fraud_data[[#This Row],[Risk_Score]]&gt;8,"High",IF(financial_fraud_data[[#This Row],[Risk_Score]]&gt;5,"Med","Low"))</f>
        <v>Low</v>
      </c>
      <c r="P810" t="str">
        <f>TEXT(financial_fraud_data[[#This Row],[Transaction_Date]],"MMM")</f>
        <v>Feb</v>
      </c>
      <c r="Q810" t="str">
        <f>IF(financial_fraud_data[[#This Row],[Is_Fraud]]=1,"Yes","No")</f>
        <v>No</v>
      </c>
    </row>
    <row r="811" spans="1:17" x14ac:dyDescent="0.2">
      <c r="A811" t="s">
        <v>1252</v>
      </c>
      <c r="B811" t="s">
        <v>1253</v>
      </c>
      <c r="C811" s="1">
        <v>45325.708333333336</v>
      </c>
      <c r="D811">
        <v>5706.24</v>
      </c>
      <c r="E811" t="s">
        <v>80</v>
      </c>
      <c r="F811" t="s">
        <v>50</v>
      </c>
      <c r="G811" t="s">
        <v>65</v>
      </c>
      <c r="H811" t="s">
        <v>19</v>
      </c>
      <c r="I811" t="s">
        <v>36</v>
      </c>
      <c r="J811" t="s">
        <v>20</v>
      </c>
      <c r="K811">
        <v>0</v>
      </c>
      <c r="L811">
        <v>3</v>
      </c>
      <c r="M811">
        <v>6.07</v>
      </c>
      <c r="N811">
        <v>1</v>
      </c>
      <c r="O811" t="str">
        <f>IF(financial_fraud_data[[#This Row],[Risk_Score]]&gt;8,"High",IF(financial_fraud_data[[#This Row],[Risk_Score]]&gt;5,"Med","Low"))</f>
        <v>Med</v>
      </c>
      <c r="P811" t="str">
        <f>TEXT(financial_fraud_data[[#This Row],[Transaction_Date]],"MMM")</f>
        <v>Feb</v>
      </c>
      <c r="Q811" t="str">
        <f>IF(financial_fraud_data[[#This Row],[Is_Fraud]]=1,"Yes","No")</f>
        <v>Yes</v>
      </c>
    </row>
    <row r="812" spans="1:17" x14ac:dyDescent="0.2">
      <c r="A812" t="s">
        <v>1254</v>
      </c>
      <c r="B812" t="s">
        <v>1255</v>
      </c>
      <c r="C812" s="1">
        <v>45325.75</v>
      </c>
      <c r="D812">
        <v>49242.82</v>
      </c>
      <c r="E812" t="s">
        <v>42</v>
      </c>
      <c r="F812" t="s">
        <v>50</v>
      </c>
      <c r="G812" t="s">
        <v>65</v>
      </c>
      <c r="H812" t="s">
        <v>23</v>
      </c>
      <c r="I812" t="s">
        <v>36</v>
      </c>
      <c r="J812" t="s">
        <v>20</v>
      </c>
      <c r="K812">
        <v>1</v>
      </c>
      <c r="L812">
        <v>1</v>
      </c>
      <c r="M812">
        <v>9.42</v>
      </c>
      <c r="N812">
        <v>1</v>
      </c>
      <c r="O812" t="str">
        <f>IF(financial_fraud_data[[#This Row],[Risk_Score]]&gt;8,"High",IF(financial_fraud_data[[#This Row],[Risk_Score]]&gt;5,"Med","Low"))</f>
        <v>High</v>
      </c>
      <c r="P812" t="str">
        <f>TEXT(financial_fraud_data[[#This Row],[Transaction_Date]],"MMM")</f>
        <v>Feb</v>
      </c>
      <c r="Q812" t="str">
        <f>IF(financial_fraud_data[[#This Row],[Is_Fraud]]=1,"Yes","No")</f>
        <v>Yes</v>
      </c>
    </row>
    <row r="813" spans="1:17" x14ac:dyDescent="0.2">
      <c r="A813" t="s">
        <v>1256</v>
      </c>
      <c r="B813" t="s">
        <v>933</v>
      </c>
      <c r="C813" s="1">
        <v>45325.791666666664</v>
      </c>
      <c r="D813">
        <v>41952.959999999999</v>
      </c>
      <c r="E813" t="s">
        <v>42</v>
      </c>
      <c r="F813" t="s">
        <v>50</v>
      </c>
      <c r="G813" t="s">
        <v>18</v>
      </c>
      <c r="H813" t="s">
        <v>23</v>
      </c>
      <c r="I813" t="s">
        <v>23</v>
      </c>
      <c r="J813" t="s">
        <v>51</v>
      </c>
      <c r="K813">
        <v>0</v>
      </c>
      <c r="L813">
        <v>2</v>
      </c>
      <c r="M813">
        <v>7.2</v>
      </c>
      <c r="N813">
        <v>1</v>
      </c>
      <c r="O813" t="str">
        <f>IF(financial_fraud_data[[#This Row],[Risk_Score]]&gt;8,"High",IF(financial_fraud_data[[#This Row],[Risk_Score]]&gt;5,"Med","Low"))</f>
        <v>Med</v>
      </c>
      <c r="P813" t="str">
        <f>TEXT(financial_fraud_data[[#This Row],[Transaction_Date]],"MMM")</f>
        <v>Feb</v>
      </c>
      <c r="Q813" t="str">
        <f>IF(financial_fraud_data[[#This Row],[Is_Fraud]]=1,"Yes","No")</f>
        <v>Yes</v>
      </c>
    </row>
    <row r="814" spans="1:17" x14ac:dyDescent="0.2">
      <c r="A814" t="s">
        <v>1257</v>
      </c>
      <c r="B814" t="s">
        <v>541</v>
      </c>
      <c r="C814" s="1">
        <v>45325.833333333336</v>
      </c>
      <c r="D814">
        <v>6276.9</v>
      </c>
      <c r="E814" t="s">
        <v>80</v>
      </c>
      <c r="F814" t="s">
        <v>27</v>
      </c>
      <c r="G814" t="s">
        <v>35</v>
      </c>
      <c r="H814" t="s">
        <v>36</v>
      </c>
      <c r="I814" t="s">
        <v>24</v>
      </c>
      <c r="J814" t="s">
        <v>51</v>
      </c>
      <c r="K814">
        <v>0</v>
      </c>
      <c r="L814">
        <v>0</v>
      </c>
      <c r="M814">
        <v>1.63</v>
      </c>
      <c r="N814">
        <v>0</v>
      </c>
      <c r="O814" t="str">
        <f>IF(financial_fraud_data[[#This Row],[Risk_Score]]&gt;8,"High",IF(financial_fraud_data[[#This Row],[Risk_Score]]&gt;5,"Med","Low"))</f>
        <v>Low</v>
      </c>
      <c r="P814" t="str">
        <f>TEXT(financial_fraud_data[[#This Row],[Transaction_Date]],"MMM")</f>
        <v>Feb</v>
      </c>
      <c r="Q814" t="str">
        <f>IF(financial_fraud_data[[#This Row],[Is_Fraud]]=1,"Yes","No")</f>
        <v>No</v>
      </c>
    </row>
    <row r="815" spans="1:17" x14ac:dyDescent="0.2">
      <c r="A815" t="s">
        <v>1258</v>
      </c>
      <c r="B815" t="s">
        <v>938</v>
      </c>
      <c r="C815" s="1">
        <v>45325.875</v>
      </c>
      <c r="D815">
        <v>46046.05</v>
      </c>
      <c r="E815" t="s">
        <v>34</v>
      </c>
      <c r="F815" t="s">
        <v>17</v>
      </c>
      <c r="G815" t="s">
        <v>56</v>
      </c>
      <c r="H815" t="s">
        <v>19</v>
      </c>
      <c r="I815" t="s">
        <v>23</v>
      </c>
      <c r="J815" t="s">
        <v>37</v>
      </c>
      <c r="K815">
        <v>0</v>
      </c>
      <c r="L815">
        <v>4</v>
      </c>
      <c r="M815">
        <v>11.6</v>
      </c>
      <c r="N815">
        <v>1</v>
      </c>
      <c r="O815" t="str">
        <f>IF(financial_fraud_data[[#This Row],[Risk_Score]]&gt;8,"High",IF(financial_fraud_data[[#This Row],[Risk_Score]]&gt;5,"Med","Low"))</f>
        <v>High</v>
      </c>
      <c r="P815" t="str">
        <f>TEXT(financial_fraud_data[[#This Row],[Transaction_Date]],"MMM")</f>
        <v>Feb</v>
      </c>
      <c r="Q815" t="str">
        <f>IF(financial_fraud_data[[#This Row],[Is_Fraud]]=1,"Yes","No")</f>
        <v>Yes</v>
      </c>
    </row>
    <row r="816" spans="1:17" x14ac:dyDescent="0.2">
      <c r="A816" t="s">
        <v>1259</v>
      </c>
      <c r="B816" t="s">
        <v>697</v>
      </c>
      <c r="C816" s="1">
        <v>45325.916666666664</v>
      </c>
      <c r="D816">
        <v>43501.32</v>
      </c>
      <c r="E816" t="s">
        <v>16</v>
      </c>
      <c r="F816" t="s">
        <v>17</v>
      </c>
      <c r="G816" t="s">
        <v>35</v>
      </c>
      <c r="H816" t="s">
        <v>23</v>
      </c>
      <c r="I816" t="s">
        <v>19</v>
      </c>
      <c r="J816" t="s">
        <v>20</v>
      </c>
      <c r="K816">
        <v>0</v>
      </c>
      <c r="L816">
        <v>2</v>
      </c>
      <c r="M816">
        <v>8.35</v>
      </c>
      <c r="N816">
        <v>1</v>
      </c>
      <c r="O816" t="str">
        <f>IF(financial_fraud_data[[#This Row],[Risk_Score]]&gt;8,"High",IF(financial_fraud_data[[#This Row],[Risk_Score]]&gt;5,"Med","Low"))</f>
        <v>High</v>
      </c>
      <c r="P816" t="str">
        <f>TEXT(financial_fraud_data[[#This Row],[Transaction_Date]],"MMM")</f>
        <v>Feb</v>
      </c>
      <c r="Q816" t="str">
        <f>IF(financial_fraud_data[[#This Row],[Is_Fraud]]=1,"Yes","No")</f>
        <v>Yes</v>
      </c>
    </row>
    <row r="817" spans="1:17" x14ac:dyDescent="0.2">
      <c r="A817" t="s">
        <v>1260</v>
      </c>
      <c r="B817" t="s">
        <v>119</v>
      </c>
      <c r="C817" s="1">
        <v>45325.958333333336</v>
      </c>
      <c r="D817">
        <v>25965.96</v>
      </c>
      <c r="E817" t="s">
        <v>16</v>
      </c>
      <c r="F817" t="s">
        <v>47</v>
      </c>
      <c r="G817" t="s">
        <v>18</v>
      </c>
      <c r="H817" t="s">
        <v>36</v>
      </c>
      <c r="I817" t="s">
        <v>24</v>
      </c>
      <c r="J817" t="s">
        <v>51</v>
      </c>
      <c r="K817">
        <v>0</v>
      </c>
      <c r="L817">
        <v>2</v>
      </c>
      <c r="M817">
        <v>6.6</v>
      </c>
      <c r="N817">
        <v>1</v>
      </c>
      <c r="O817" t="str">
        <f>IF(financial_fraud_data[[#This Row],[Risk_Score]]&gt;8,"High",IF(financial_fraud_data[[#This Row],[Risk_Score]]&gt;5,"Med","Low"))</f>
        <v>Med</v>
      </c>
      <c r="P817" t="str">
        <f>TEXT(financial_fraud_data[[#This Row],[Transaction_Date]],"MMM")</f>
        <v>Feb</v>
      </c>
      <c r="Q817" t="str">
        <f>IF(financial_fraud_data[[#This Row],[Is_Fraud]]=1,"Yes","No")</f>
        <v>Yes</v>
      </c>
    </row>
    <row r="818" spans="1:17" x14ac:dyDescent="0.2">
      <c r="A818" t="s">
        <v>1261</v>
      </c>
      <c r="B818" t="s">
        <v>606</v>
      </c>
      <c r="C818" s="1">
        <v>45326</v>
      </c>
      <c r="D818">
        <v>29584.21</v>
      </c>
      <c r="E818" t="s">
        <v>80</v>
      </c>
      <c r="F818" t="s">
        <v>27</v>
      </c>
      <c r="G818" t="s">
        <v>65</v>
      </c>
      <c r="H818" t="s">
        <v>29</v>
      </c>
      <c r="I818" t="s">
        <v>23</v>
      </c>
      <c r="J818" t="s">
        <v>51</v>
      </c>
      <c r="K818">
        <v>0</v>
      </c>
      <c r="L818">
        <v>1</v>
      </c>
      <c r="M818">
        <v>5.46</v>
      </c>
      <c r="N818">
        <v>1</v>
      </c>
      <c r="O818" t="str">
        <f>IF(financial_fraud_data[[#This Row],[Risk_Score]]&gt;8,"High",IF(financial_fraud_data[[#This Row],[Risk_Score]]&gt;5,"Med","Low"))</f>
        <v>Med</v>
      </c>
      <c r="P818" t="str">
        <f>TEXT(financial_fraud_data[[#This Row],[Transaction_Date]],"MMM")</f>
        <v>Feb</v>
      </c>
      <c r="Q818" t="str">
        <f>IF(financial_fraud_data[[#This Row],[Is_Fraud]]=1,"Yes","No")</f>
        <v>Yes</v>
      </c>
    </row>
    <row r="819" spans="1:17" x14ac:dyDescent="0.2">
      <c r="A819" t="s">
        <v>1262</v>
      </c>
      <c r="B819" t="s">
        <v>913</v>
      </c>
      <c r="C819" s="1">
        <v>45326.041666666664</v>
      </c>
      <c r="D819">
        <v>19980.189999999999</v>
      </c>
      <c r="E819" t="s">
        <v>42</v>
      </c>
      <c r="F819" t="s">
        <v>17</v>
      </c>
      <c r="G819" t="s">
        <v>18</v>
      </c>
      <c r="H819" t="s">
        <v>19</v>
      </c>
      <c r="I819" t="s">
        <v>29</v>
      </c>
      <c r="J819" t="s">
        <v>51</v>
      </c>
      <c r="K819">
        <v>1</v>
      </c>
      <c r="L819">
        <v>2</v>
      </c>
      <c r="M819">
        <v>8</v>
      </c>
      <c r="N819">
        <v>1</v>
      </c>
      <c r="O819" t="str">
        <f>IF(financial_fraud_data[[#This Row],[Risk_Score]]&gt;8,"High",IF(financial_fraud_data[[#This Row],[Risk_Score]]&gt;5,"Med","Low"))</f>
        <v>Med</v>
      </c>
      <c r="P819" t="str">
        <f>TEXT(financial_fraud_data[[#This Row],[Transaction_Date]],"MMM")</f>
        <v>Feb</v>
      </c>
      <c r="Q819" t="str">
        <f>IF(financial_fraud_data[[#This Row],[Is_Fraud]]=1,"Yes","No")</f>
        <v>Yes</v>
      </c>
    </row>
    <row r="820" spans="1:17" x14ac:dyDescent="0.2">
      <c r="A820" t="s">
        <v>1263</v>
      </c>
      <c r="B820" t="s">
        <v>317</v>
      </c>
      <c r="C820" s="1">
        <v>45326.083333333336</v>
      </c>
      <c r="D820">
        <v>2785.34</v>
      </c>
      <c r="E820" t="s">
        <v>42</v>
      </c>
      <c r="F820" t="s">
        <v>27</v>
      </c>
      <c r="G820" t="s">
        <v>28</v>
      </c>
      <c r="H820" t="s">
        <v>29</v>
      </c>
      <c r="I820" t="s">
        <v>19</v>
      </c>
      <c r="J820" t="s">
        <v>37</v>
      </c>
      <c r="K820">
        <v>0</v>
      </c>
      <c r="L820">
        <v>0</v>
      </c>
      <c r="M820">
        <v>1.28</v>
      </c>
      <c r="N820">
        <v>0</v>
      </c>
      <c r="O820" t="str">
        <f>IF(financial_fraud_data[[#This Row],[Risk_Score]]&gt;8,"High",IF(financial_fraud_data[[#This Row],[Risk_Score]]&gt;5,"Med","Low"))</f>
        <v>Low</v>
      </c>
      <c r="P820" t="str">
        <f>TEXT(financial_fraud_data[[#This Row],[Transaction_Date]],"MMM")</f>
        <v>Feb</v>
      </c>
      <c r="Q820" t="str">
        <f>IF(financial_fraud_data[[#This Row],[Is_Fraud]]=1,"Yes","No")</f>
        <v>No</v>
      </c>
    </row>
    <row r="821" spans="1:17" x14ac:dyDescent="0.2">
      <c r="A821" t="s">
        <v>1264</v>
      </c>
      <c r="B821" t="s">
        <v>71</v>
      </c>
      <c r="C821" s="1">
        <v>45326.125</v>
      </c>
      <c r="D821">
        <v>16793.099999999999</v>
      </c>
      <c r="E821" t="s">
        <v>34</v>
      </c>
      <c r="F821" t="s">
        <v>47</v>
      </c>
      <c r="G821" t="s">
        <v>28</v>
      </c>
      <c r="H821" t="s">
        <v>23</v>
      </c>
      <c r="I821" t="s">
        <v>36</v>
      </c>
      <c r="J821" t="s">
        <v>51</v>
      </c>
      <c r="K821">
        <v>0</v>
      </c>
      <c r="L821">
        <v>4</v>
      </c>
      <c r="M821">
        <v>8.68</v>
      </c>
      <c r="N821">
        <v>1</v>
      </c>
      <c r="O821" t="str">
        <f>IF(financial_fraud_data[[#This Row],[Risk_Score]]&gt;8,"High",IF(financial_fraud_data[[#This Row],[Risk_Score]]&gt;5,"Med","Low"))</f>
        <v>High</v>
      </c>
      <c r="P821" t="str">
        <f>TEXT(financial_fraud_data[[#This Row],[Transaction_Date]],"MMM")</f>
        <v>Feb</v>
      </c>
      <c r="Q821" t="str">
        <f>IF(financial_fraud_data[[#This Row],[Is_Fraud]]=1,"Yes","No")</f>
        <v>Yes</v>
      </c>
    </row>
    <row r="822" spans="1:17" x14ac:dyDescent="0.2">
      <c r="A822" t="s">
        <v>1265</v>
      </c>
      <c r="B822" t="s">
        <v>315</v>
      </c>
      <c r="C822" s="1">
        <v>45326.166666666664</v>
      </c>
      <c r="D822">
        <v>40152.53</v>
      </c>
      <c r="E822" t="s">
        <v>16</v>
      </c>
      <c r="F822" t="s">
        <v>47</v>
      </c>
      <c r="G822" t="s">
        <v>35</v>
      </c>
      <c r="H822" t="s">
        <v>19</v>
      </c>
      <c r="I822" t="s">
        <v>23</v>
      </c>
      <c r="J822" t="s">
        <v>37</v>
      </c>
      <c r="K822">
        <v>0</v>
      </c>
      <c r="L822">
        <v>3</v>
      </c>
      <c r="M822">
        <v>9.52</v>
      </c>
      <c r="N822">
        <v>1</v>
      </c>
      <c r="O822" t="str">
        <f>IF(financial_fraud_data[[#This Row],[Risk_Score]]&gt;8,"High",IF(financial_fraud_data[[#This Row],[Risk_Score]]&gt;5,"Med","Low"))</f>
        <v>High</v>
      </c>
      <c r="P822" t="str">
        <f>TEXT(financial_fraud_data[[#This Row],[Transaction_Date]],"MMM")</f>
        <v>Feb</v>
      </c>
      <c r="Q822" t="str">
        <f>IF(financial_fraud_data[[#This Row],[Is_Fraud]]=1,"Yes","No")</f>
        <v>Yes</v>
      </c>
    </row>
    <row r="823" spans="1:17" x14ac:dyDescent="0.2">
      <c r="A823" t="s">
        <v>1266</v>
      </c>
      <c r="B823" t="s">
        <v>77</v>
      </c>
      <c r="C823" s="1">
        <v>45326.208333333336</v>
      </c>
      <c r="D823">
        <v>281.37</v>
      </c>
      <c r="E823" t="s">
        <v>34</v>
      </c>
      <c r="F823" t="s">
        <v>47</v>
      </c>
      <c r="G823" t="s">
        <v>35</v>
      </c>
      <c r="H823" t="s">
        <v>36</v>
      </c>
      <c r="I823" t="s">
        <v>19</v>
      </c>
      <c r="J823" t="s">
        <v>37</v>
      </c>
      <c r="K823">
        <v>0</v>
      </c>
      <c r="L823">
        <v>4</v>
      </c>
      <c r="M823">
        <v>7.03</v>
      </c>
      <c r="N823">
        <v>1</v>
      </c>
      <c r="O823" t="str">
        <f>IF(financial_fraud_data[[#This Row],[Risk_Score]]&gt;8,"High",IF(financial_fraud_data[[#This Row],[Risk_Score]]&gt;5,"Med","Low"))</f>
        <v>Med</v>
      </c>
      <c r="P823" t="str">
        <f>TEXT(financial_fraud_data[[#This Row],[Transaction_Date]],"MMM")</f>
        <v>Feb</v>
      </c>
      <c r="Q823" t="str">
        <f>IF(financial_fraud_data[[#This Row],[Is_Fraud]]=1,"Yes","No")</f>
        <v>Yes</v>
      </c>
    </row>
    <row r="824" spans="1:17" x14ac:dyDescent="0.2">
      <c r="A824" t="s">
        <v>1267</v>
      </c>
      <c r="B824" t="s">
        <v>1268</v>
      </c>
      <c r="C824" s="1">
        <v>45326.25</v>
      </c>
      <c r="D824">
        <v>16708.28</v>
      </c>
      <c r="E824" t="s">
        <v>16</v>
      </c>
      <c r="F824" t="s">
        <v>50</v>
      </c>
      <c r="G824" t="s">
        <v>56</v>
      </c>
      <c r="H824" t="s">
        <v>23</v>
      </c>
      <c r="I824" t="s">
        <v>19</v>
      </c>
      <c r="J824" t="s">
        <v>20</v>
      </c>
      <c r="K824">
        <v>0</v>
      </c>
      <c r="L824">
        <v>0</v>
      </c>
      <c r="M824">
        <v>2.67</v>
      </c>
      <c r="N824">
        <v>0</v>
      </c>
      <c r="O824" t="str">
        <f>IF(financial_fraud_data[[#This Row],[Risk_Score]]&gt;8,"High",IF(financial_fraud_data[[#This Row],[Risk_Score]]&gt;5,"Med","Low"))</f>
        <v>Low</v>
      </c>
      <c r="P824" t="str">
        <f>TEXT(financial_fraud_data[[#This Row],[Transaction_Date]],"MMM")</f>
        <v>Feb</v>
      </c>
      <c r="Q824" t="str">
        <f>IF(financial_fraud_data[[#This Row],[Is_Fraud]]=1,"Yes","No")</f>
        <v>No</v>
      </c>
    </row>
    <row r="825" spans="1:17" x14ac:dyDescent="0.2">
      <c r="A825" t="s">
        <v>1269</v>
      </c>
      <c r="B825" t="s">
        <v>237</v>
      </c>
      <c r="C825" s="1">
        <v>45326.291666666664</v>
      </c>
      <c r="D825">
        <v>19938.53</v>
      </c>
      <c r="E825" t="s">
        <v>80</v>
      </c>
      <c r="F825" t="s">
        <v>27</v>
      </c>
      <c r="G825" t="s">
        <v>56</v>
      </c>
      <c r="H825" t="s">
        <v>19</v>
      </c>
      <c r="I825" t="s">
        <v>36</v>
      </c>
      <c r="J825" t="s">
        <v>51</v>
      </c>
      <c r="K825">
        <v>1</v>
      </c>
      <c r="L825">
        <v>1</v>
      </c>
      <c r="M825">
        <v>6.49</v>
      </c>
      <c r="N825">
        <v>1</v>
      </c>
      <c r="O825" t="str">
        <f>IF(financial_fraud_data[[#This Row],[Risk_Score]]&gt;8,"High",IF(financial_fraud_data[[#This Row],[Risk_Score]]&gt;5,"Med","Low"))</f>
        <v>Med</v>
      </c>
      <c r="P825" t="str">
        <f>TEXT(financial_fraud_data[[#This Row],[Transaction_Date]],"MMM")</f>
        <v>Feb</v>
      </c>
      <c r="Q825" t="str">
        <f>IF(financial_fraud_data[[#This Row],[Is_Fraud]]=1,"Yes","No")</f>
        <v>Yes</v>
      </c>
    </row>
    <row r="826" spans="1:17" x14ac:dyDescent="0.2">
      <c r="A826" t="s">
        <v>1270</v>
      </c>
      <c r="B826" t="s">
        <v>901</v>
      </c>
      <c r="C826" s="1">
        <v>45326.333333333336</v>
      </c>
      <c r="D826">
        <v>26892.91</v>
      </c>
      <c r="E826" t="s">
        <v>16</v>
      </c>
      <c r="F826" t="s">
        <v>47</v>
      </c>
      <c r="G826" t="s">
        <v>28</v>
      </c>
      <c r="H826" t="s">
        <v>19</v>
      </c>
      <c r="I826" t="s">
        <v>36</v>
      </c>
      <c r="J826" t="s">
        <v>37</v>
      </c>
      <c r="K826">
        <v>0</v>
      </c>
      <c r="L826">
        <v>0</v>
      </c>
      <c r="M826">
        <v>3.69</v>
      </c>
      <c r="N826">
        <v>0</v>
      </c>
      <c r="O826" t="str">
        <f>IF(financial_fraud_data[[#This Row],[Risk_Score]]&gt;8,"High",IF(financial_fraud_data[[#This Row],[Risk_Score]]&gt;5,"Med","Low"))</f>
        <v>Low</v>
      </c>
      <c r="P826" t="str">
        <f>TEXT(financial_fraud_data[[#This Row],[Transaction_Date]],"MMM")</f>
        <v>Feb</v>
      </c>
      <c r="Q826" t="str">
        <f>IF(financial_fraud_data[[#This Row],[Is_Fraud]]=1,"Yes","No")</f>
        <v>No</v>
      </c>
    </row>
    <row r="827" spans="1:17" x14ac:dyDescent="0.2">
      <c r="A827" t="s">
        <v>1271</v>
      </c>
      <c r="B827" t="s">
        <v>680</v>
      </c>
      <c r="C827" s="1">
        <v>45326.375</v>
      </c>
      <c r="D827">
        <v>45996.79</v>
      </c>
      <c r="E827" t="s">
        <v>34</v>
      </c>
      <c r="F827" t="s">
        <v>27</v>
      </c>
      <c r="G827" t="s">
        <v>65</v>
      </c>
      <c r="H827" t="s">
        <v>29</v>
      </c>
      <c r="I827" t="s">
        <v>36</v>
      </c>
      <c r="J827" t="s">
        <v>51</v>
      </c>
      <c r="K827">
        <v>1</v>
      </c>
      <c r="L827">
        <v>2</v>
      </c>
      <c r="M827">
        <v>10.6</v>
      </c>
      <c r="N827">
        <v>1</v>
      </c>
      <c r="O827" t="str">
        <f>IF(financial_fraud_data[[#This Row],[Risk_Score]]&gt;8,"High",IF(financial_fraud_data[[#This Row],[Risk_Score]]&gt;5,"Med","Low"))</f>
        <v>High</v>
      </c>
      <c r="P827" t="str">
        <f>TEXT(financial_fraud_data[[#This Row],[Transaction_Date]],"MMM")</f>
        <v>Feb</v>
      </c>
      <c r="Q827" t="str">
        <f>IF(financial_fraud_data[[#This Row],[Is_Fraud]]=1,"Yes","No")</f>
        <v>Yes</v>
      </c>
    </row>
    <row r="828" spans="1:17" x14ac:dyDescent="0.2">
      <c r="A828" t="s">
        <v>1272</v>
      </c>
      <c r="B828" t="s">
        <v>1157</v>
      </c>
      <c r="C828" s="1">
        <v>45326.416666666664</v>
      </c>
      <c r="D828">
        <v>17349.98</v>
      </c>
      <c r="E828" t="s">
        <v>34</v>
      </c>
      <c r="F828" t="s">
        <v>50</v>
      </c>
      <c r="G828" t="s">
        <v>18</v>
      </c>
      <c r="H828" t="s">
        <v>23</v>
      </c>
      <c r="I828" t="s">
        <v>23</v>
      </c>
      <c r="J828" t="s">
        <v>20</v>
      </c>
      <c r="K828">
        <v>0</v>
      </c>
      <c r="L828">
        <v>1</v>
      </c>
      <c r="M828">
        <v>3.23</v>
      </c>
      <c r="N828">
        <v>0</v>
      </c>
      <c r="O828" t="str">
        <f>IF(financial_fraud_data[[#This Row],[Risk_Score]]&gt;8,"High",IF(financial_fraud_data[[#This Row],[Risk_Score]]&gt;5,"Med","Low"))</f>
        <v>Low</v>
      </c>
      <c r="P828" t="str">
        <f>TEXT(financial_fraud_data[[#This Row],[Transaction_Date]],"MMM")</f>
        <v>Feb</v>
      </c>
      <c r="Q828" t="str">
        <f>IF(financial_fraud_data[[#This Row],[Is_Fraud]]=1,"Yes","No")</f>
        <v>No</v>
      </c>
    </row>
    <row r="829" spans="1:17" x14ac:dyDescent="0.2">
      <c r="A829" t="s">
        <v>1273</v>
      </c>
      <c r="B829" t="s">
        <v>917</v>
      </c>
      <c r="C829" s="1">
        <v>45326.458333333336</v>
      </c>
      <c r="D829">
        <v>17380.310000000001</v>
      </c>
      <c r="E829" t="s">
        <v>34</v>
      </c>
      <c r="F829" t="s">
        <v>50</v>
      </c>
      <c r="G829" t="s">
        <v>56</v>
      </c>
      <c r="H829" t="s">
        <v>36</v>
      </c>
      <c r="I829" t="s">
        <v>36</v>
      </c>
      <c r="J829" t="s">
        <v>20</v>
      </c>
      <c r="K829">
        <v>0</v>
      </c>
      <c r="L829">
        <v>3</v>
      </c>
      <c r="M829">
        <v>6.24</v>
      </c>
      <c r="N829">
        <v>1</v>
      </c>
      <c r="O829" t="str">
        <f>IF(financial_fraud_data[[#This Row],[Risk_Score]]&gt;8,"High",IF(financial_fraud_data[[#This Row],[Risk_Score]]&gt;5,"Med","Low"))</f>
        <v>Med</v>
      </c>
      <c r="P829" t="str">
        <f>TEXT(financial_fraud_data[[#This Row],[Transaction_Date]],"MMM")</f>
        <v>Feb</v>
      </c>
      <c r="Q829" t="str">
        <f>IF(financial_fraud_data[[#This Row],[Is_Fraud]]=1,"Yes","No")</f>
        <v>Yes</v>
      </c>
    </row>
    <row r="830" spans="1:17" x14ac:dyDescent="0.2">
      <c r="A830" t="s">
        <v>1274</v>
      </c>
      <c r="B830" t="s">
        <v>519</v>
      </c>
      <c r="C830" s="1">
        <v>45326.5</v>
      </c>
      <c r="D830">
        <v>36888.19</v>
      </c>
      <c r="E830" t="s">
        <v>80</v>
      </c>
      <c r="F830" t="s">
        <v>47</v>
      </c>
      <c r="G830" t="s">
        <v>56</v>
      </c>
      <c r="H830" t="s">
        <v>36</v>
      </c>
      <c r="I830" t="s">
        <v>29</v>
      </c>
      <c r="J830" t="s">
        <v>37</v>
      </c>
      <c r="K830">
        <v>0</v>
      </c>
      <c r="L830">
        <v>3</v>
      </c>
      <c r="M830">
        <v>9.19</v>
      </c>
      <c r="N830">
        <v>1</v>
      </c>
      <c r="O830" t="str">
        <f>IF(financial_fraud_data[[#This Row],[Risk_Score]]&gt;8,"High",IF(financial_fraud_data[[#This Row],[Risk_Score]]&gt;5,"Med","Low"))</f>
        <v>High</v>
      </c>
      <c r="P830" t="str">
        <f>TEXT(financial_fraud_data[[#This Row],[Transaction_Date]],"MMM")</f>
        <v>Feb</v>
      </c>
      <c r="Q830" t="str">
        <f>IF(financial_fraud_data[[#This Row],[Is_Fraud]]=1,"Yes","No")</f>
        <v>Yes</v>
      </c>
    </row>
    <row r="831" spans="1:17" x14ac:dyDescent="0.2">
      <c r="A831" t="s">
        <v>1275</v>
      </c>
      <c r="B831" t="s">
        <v>82</v>
      </c>
      <c r="C831" s="1">
        <v>45326.541666666664</v>
      </c>
      <c r="D831">
        <v>22638.29</v>
      </c>
      <c r="E831" t="s">
        <v>16</v>
      </c>
      <c r="F831" t="s">
        <v>47</v>
      </c>
      <c r="G831" t="s">
        <v>65</v>
      </c>
      <c r="H831" t="s">
        <v>23</v>
      </c>
      <c r="I831" t="s">
        <v>19</v>
      </c>
      <c r="J831" t="s">
        <v>20</v>
      </c>
      <c r="K831">
        <v>0</v>
      </c>
      <c r="L831">
        <v>0</v>
      </c>
      <c r="M831">
        <v>3.26</v>
      </c>
      <c r="N831">
        <v>0</v>
      </c>
      <c r="O831" t="str">
        <f>IF(financial_fraud_data[[#This Row],[Risk_Score]]&gt;8,"High",IF(financial_fraud_data[[#This Row],[Risk_Score]]&gt;5,"Med","Low"))</f>
        <v>Low</v>
      </c>
      <c r="P831" t="str">
        <f>TEXT(financial_fraud_data[[#This Row],[Transaction_Date]],"MMM")</f>
        <v>Feb</v>
      </c>
      <c r="Q831" t="str">
        <f>IF(financial_fraud_data[[#This Row],[Is_Fraud]]=1,"Yes","No")</f>
        <v>No</v>
      </c>
    </row>
    <row r="832" spans="1:17" x14ac:dyDescent="0.2">
      <c r="A832" t="s">
        <v>1276</v>
      </c>
      <c r="B832" t="s">
        <v>306</v>
      </c>
      <c r="C832" s="1">
        <v>45326.583333333336</v>
      </c>
      <c r="D832">
        <v>11269.01</v>
      </c>
      <c r="E832" t="s">
        <v>16</v>
      </c>
      <c r="F832" t="s">
        <v>17</v>
      </c>
      <c r="G832" t="s">
        <v>65</v>
      </c>
      <c r="H832" t="s">
        <v>23</v>
      </c>
      <c r="I832" t="s">
        <v>36</v>
      </c>
      <c r="J832" t="s">
        <v>20</v>
      </c>
      <c r="K832">
        <v>0</v>
      </c>
      <c r="L832">
        <v>2</v>
      </c>
      <c r="M832">
        <v>5.13</v>
      </c>
      <c r="N832">
        <v>1</v>
      </c>
      <c r="O832" t="str">
        <f>IF(financial_fraud_data[[#This Row],[Risk_Score]]&gt;8,"High",IF(financial_fraud_data[[#This Row],[Risk_Score]]&gt;5,"Med","Low"))</f>
        <v>Med</v>
      </c>
      <c r="P832" t="str">
        <f>TEXT(financial_fraud_data[[#This Row],[Transaction_Date]],"MMM")</f>
        <v>Feb</v>
      </c>
      <c r="Q832" t="str">
        <f>IF(financial_fraud_data[[#This Row],[Is_Fraud]]=1,"Yes","No")</f>
        <v>Yes</v>
      </c>
    </row>
    <row r="833" spans="1:17" x14ac:dyDescent="0.2">
      <c r="A833" t="s">
        <v>1277</v>
      </c>
      <c r="B833" t="s">
        <v>388</v>
      </c>
      <c r="C833" s="1">
        <v>45326.625</v>
      </c>
      <c r="D833">
        <v>22649.35</v>
      </c>
      <c r="E833" t="s">
        <v>34</v>
      </c>
      <c r="F833" t="s">
        <v>27</v>
      </c>
      <c r="G833" t="s">
        <v>35</v>
      </c>
      <c r="H833" t="s">
        <v>24</v>
      </c>
      <c r="I833" t="s">
        <v>19</v>
      </c>
      <c r="J833" t="s">
        <v>20</v>
      </c>
      <c r="K833">
        <v>0</v>
      </c>
      <c r="L833">
        <v>3</v>
      </c>
      <c r="M833">
        <v>7.76</v>
      </c>
      <c r="N833">
        <v>1</v>
      </c>
      <c r="O833" t="str">
        <f>IF(financial_fraud_data[[#This Row],[Risk_Score]]&gt;8,"High",IF(financial_fraud_data[[#This Row],[Risk_Score]]&gt;5,"Med","Low"))</f>
        <v>Med</v>
      </c>
      <c r="P833" t="str">
        <f>TEXT(financial_fraud_data[[#This Row],[Transaction_Date]],"MMM")</f>
        <v>Feb</v>
      </c>
      <c r="Q833" t="str">
        <f>IF(financial_fraud_data[[#This Row],[Is_Fraud]]=1,"Yes","No")</f>
        <v>Yes</v>
      </c>
    </row>
    <row r="834" spans="1:17" x14ac:dyDescent="0.2">
      <c r="A834" t="s">
        <v>1278</v>
      </c>
      <c r="B834" t="s">
        <v>1279</v>
      </c>
      <c r="C834" s="1">
        <v>45326.666666666664</v>
      </c>
      <c r="D834">
        <v>7085.81</v>
      </c>
      <c r="E834" t="s">
        <v>16</v>
      </c>
      <c r="F834" t="s">
        <v>47</v>
      </c>
      <c r="G834" t="s">
        <v>18</v>
      </c>
      <c r="H834" t="s">
        <v>29</v>
      </c>
      <c r="I834" t="s">
        <v>24</v>
      </c>
      <c r="J834" t="s">
        <v>51</v>
      </c>
      <c r="K834">
        <v>0</v>
      </c>
      <c r="L834">
        <v>4</v>
      </c>
      <c r="M834">
        <v>7.71</v>
      </c>
      <c r="N834">
        <v>1</v>
      </c>
      <c r="O834" t="str">
        <f>IF(financial_fraud_data[[#This Row],[Risk_Score]]&gt;8,"High",IF(financial_fraud_data[[#This Row],[Risk_Score]]&gt;5,"Med","Low"))</f>
        <v>Med</v>
      </c>
      <c r="P834" t="str">
        <f>TEXT(financial_fraud_data[[#This Row],[Transaction_Date]],"MMM")</f>
        <v>Feb</v>
      </c>
      <c r="Q834" t="str">
        <f>IF(financial_fraud_data[[#This Row],[Is_Fraud]]=1,"Yes","No")</f>
        <v>Yes</v>
      </c>
    </row>
    <row r="835" spans="1:17" x14ac:dyDescent="0.2">
      <c r="A835" t="s">
        <v>1280</v>
      </c>
      <c r="B835" t="s">
        <v>755</v>
      </c>
      <c r="C835" s="1">
        <v>45326.708333333336</v>
      </c>
      <c r="D835">
        <v>8860.5300000000007</v>
      </c>
      <c r="E835" t="s">
        <v>42</v>
      </c>
      <c r="F835" t="s">
        <v>17</v>
      </c>
      <c r="G835" t="s">
        <v>65</v>
      </c>
      <c r="H835" t="s">
        <v>23</v>
      </c>
      <c r="I835" t="s">
        <v>24</v>
      </c>
      <c r="J835" t="s">
        <v>51</v>
      </c>
      <c r="K835">
        <v>0</v>
      </c>
      <c r="L835">
        <v>1</v>
      </c>
      <c r="M835">
        <v>3.39</v>
      </c>
      <c r="N835">
        <v>0</v>
      </c>
      <c r="O835" t="str">
        <f>IF(financial_fraud_data[[#This Row],[Risk_Score]]&gt;8,"High",IF(financial_fraud_data[[#This Row],[Risk_Score]]&gt;5,"Med","Low"))</f>
        <v>Low</v>
      </c>
      <c r="P835" t="str">
        <f>TEXT(financial_fraud_data[[#This Row],[Transaction_Date]],"MMM")</f>
        <v>Feb</v>
      </c>
      <c r="Q835" t="str">
        <f>IF(financial_fraud_data[[#This Row],[Is_Fraud]]=1,"Yes","No")</f>
        <v>No</v>
      </c>
    </row>
    <row r="836" spans="1:17" x14ac:dyDescent="0.2">
      <c r="A836" t="s">
        <v>1281</v>
      </c>
      <c r="B836" t="s">
        <v>337</v>
      </c>
      <c r="C836" s="1">
        <v>45326.75</v>
      </c>
      <c r="D836">
        <v>24943.47</v>
      </c>
      <c r="E836" t="s">
        <v>42</v>
      </c>
      <c r="F836" t="s">
        <v>27</v>
      </c>
      <c r="G836" t="s">
        <v>56</v>
      </c>
      <c r="H836" t="s">
        <v>23</v>
      </c>
      <c r="I836" t="s">
        <v>36</v>
      </c>
      <c r="J836" t="s">
        <v>37</v>
      </c>
      <c r="K836">
        <v>0</v>
      </c>
      <c r="L836">
        <v>4</v>
      </c>
      <c r="M836">
        <v>9.49</v>
      </c>
      <c r="N836">
        <v>1</v>
      </c>
      <c r="O836" t="str">
        <f>IF(financial_fraud_data[[#This Row],[Risk_Score]]&gt;8,"High",IF(financial_fraud_data[[#This Row],[Risk_Score]]&gt;5,"Med","Low"))</f>
        <v>High</v>
      </c>
      <c r="P836" t="str">
        <f>TEXT(financial_fraud_data[[#This Row],[Transaction_Date]],"MMM")</f>
        <v>Feb</v>
      </c>
      <c r="Q836" t="str">
        <f>IF(financial_fraud_data[[#This Row],[Is_Fraud]]=1,"Yes","No")</f>
        <v>Yes</v>
      </c>
    </row>
    <row r="837" spans="1:17" x14ac:dyDescent="0.2">
      <c r="A837" t="s">
        <v>1282</v>
      </c>
      <c r="B837" t="s">
        <v>1283</v>
      </c>
      <c r="C837" s="1">
        <v>45326.791666666664</v>
      </c>
      <c r="D837">
        <v>20975.33</v>
      </c>
      <c r="E837" t="s">
        <v>42</v>
      </c>
      <c r="F837" t="s">
        <v>47</v>
      </c>
      <c r="G837" t="s">
        <v>56</v>
      </c>
      <c r="H837" t="s">
        <v>24</v>
      </c>
      <c r="I837" t="s">
        <v>19</v>
      </c>
      <c r="J837" t="s">
        <v>37</v>
      </c>
      <c r="K837">
        <v>0</v>
      </c>
      <c r="L837">
        <v>3</v>
      </c>
      <c r="M837">
        <v>7.6</v>
      </c>
      <c r="N837">
        <v>1</v>
      </c>
      <c r="O837" t="str">
        <f>IF(financial_fraud_data[[#This Row],[Risk_Score]]&gt;8,"High",IF(financial_fraud_data[[#This Row],[Risk_Score]]&gt;5,"Med","Low"))</f>
        <v>Med</v>
      </c>
      <c r="P837" t="str">
        <f>TEXT(financial_fraud_data[[#This Row],[Transaction_Date]],"MMM")</f>
        <v>Feb</v>
      </c>
      <c r="Q837" t="str">
        <f>IF(financial_fraud_data[[#This Row],[Is_Fraud]]=1,"Yes","No")</f>
        <v>Yes</v>
      </c>
    </row>
    <row r="838" spans="1:17" x14ac:dyDescent="0.2">
      <c r="A838" t="s">
        <v>1284</v>
      </c>
      <c r="B838" t="s">
        <v>106</v>
      </c>
      <c r="C838" s="1">
        <v>45326.833333333336</v>
      </c>
      <c r="D838">
        <v>45746.55</v>
      </c>
      <c r="E838" t="s">
        <v>16</v>
      </c>
      <c r="F838" t="s">
        <v>17</v>
      </c>
      <c r="G838" t="s">
        <v>28</v>
      </c>
      <c r="H838" t="s">
        <v>24</v>
      </c>
      <c r="I838" t="s">
        <v>24</v>
      </c>
      <c r="J838" t="s">
        <v>20</v>
      </c>
      <c r="K838">
        <v>0</v>
      </c>
      <c r="L838">
        <v>3</v>
      </c>
      <c r="M838">
        <v>9.07</v>
      </c>
      <c r="N838">
        <v>1</v>
      </c>
      <c r="O838" t="str">
        <f>IF(financial_fraud_data[[#This Row],[Risk_Score]]&gt;8,"High",IF(financial_fraud_data[[#This Row],[Risk_Score]]&gt;5,"Med","Low"))</f>
        <v>High</v>
      </c>
      <c r="P838" t="str">
        <f>TEXT(financial_fraud_data[[#This Row],[Transaction_Date]],"MMM")</f>
        <v>Feb</v>
      </c>
      <c r="Q838" t="str">
        <f>IF(financial_fraud_data[[#This Row],[Is_Fraud]]=1,"Yes","No")</f>
        <v>Yes</v>
      </c>
    </row>
    <row r="839" spans="1:17" x14ac:dyDescent="0.2">
      <c r="A839" t="s">
        <v>1285</v>
      </c>
      <c r="B839" t="s">
        <v>1286</v>
      </c>
      <c r="C839" s="1">
        <v>45326.875</v>
      </c>
      <c r="D839">
        <v>18151.580000000002</v>
      </c>
      <c r="E839" t="s">
        <v>80</v>
      </c>
      <c r="F839" t="s">
        <v>17</v>
      </c>
      <c r="G839" t="s">
        <v>65</v>
      </c>
      <c r="H839" t="s">
        <v>19</v>
      </c>
      <c r="I839" t="s">
        <v>36</v>
      </c>
      <c r="J839" t="s">
        <v>20</v>
      </c>
      <c r="K839">
        <v>0</v>
      </c>
      <c r="L839">
        <v>0</v>
      </c>
      <c r="M839">
        <v>2.82</v>
      </c>
      <c r="N839">
        <v>0</v>
      </c>
      <c r="O839" t="str">
        <f>IF(financial_fraud_data[[#This Row],[Risk_Score]]&gt;8,"High",IF(financial_fraud_data[[#This Row],[Risk_Score]]&gt;5,"Med","Low"))</f>
        <v>Low</v>
      </c>
      <c r="P839" t="str">
        <f>TEXT(financial_fraud_data[[#This Row],[Transaction_Date]],"MMM")</f>
        <v>Feb</v>
      </c>
      <c r="Q839" t="str">
        <f>IF(financial_fraud_data[[#This Row],[Is_Fraud]]=1,"Yes","No")</f>
        <v>No</v>
      </c>
    </row>
    <row r="840" spans="1:17" x14ac:dyDescent="0.2">
      <c r="A840" t="s">
        <v>1287</v>
      </c>
      <c r="B840" t="s">
        <v>724</v>
      </c>
      <c r="C840" s="1">
        <v>45326.916666666664</v>
      </c>
      <c r="D840">
        <v>29050.39</v>
      </c>
      <c r="E840" t="s">
        <v>80</v>
      </c>
      <c r="F840" t="s">
        <v>27</v>
      </c>
      <c r="G840" t="s">
        <v>35</v>
      </c>
      <c r="H840" t="s">
        <v>36</v>
      </c>
      <c r="I840" t="s">
        <v>19</v>
      </c>
      <c r="J840" t="s">
        <v>37</v>
      </c>
      <c r="K840">
        <v>0</v>
      </c>
      <c r="L840">
        <v>0</v>
      </c>
      <c r="M840">
        <v>3.91</v>
      </c>
      <c r="N840">
        <v>0</v>
      </c>
      <c r="O840" t="str">
        <f>IF(financial_fraud_data[[#This Row],[Risk_Score]]&gt;8,"High",IF(financial_fraud_data[[#This Row],[Risk_Score]]&gt;5,"Med","Low"))</f>
        <v>Low</v>
      </c>
      <c r="P840" t="str">
        <f>TEXT(financial_fraud_data[[#This Row],[Transaction_Date]],"MMM")</f>
        <v>Feb</v>
      </c>
      <c r="Q840" t="str">
        <f>IF(financial_fraud_data[[#This Row],[Is_Fraud]]=1,"Yes","No")</f>
        <v>No</v>
      </c>
    </row>
    <row r="841" spans="1:17" x14ac:dyDescent="0.2">
      <c r="A841" t="s">
        <v>1288</v>
      </c>
      <c r="B841" t="s">
        <v>1289</v>
      </c>
      <c r="C841" s="1">
        <v>45326.958333333336</v>
      </c>
      <c r="D841">
        <v>31631.599999999999</v>
      </c>
      <c r="E841" t="s">
        <v>80</v>
      </c>
      <c r="F841" t="s">
        <v>17</v>
      </c>
      <c r="G841" t="s">
        <v>18</v>
      </c>
      <c r="H841" t="s">
        <v>29</v>
      </c>
      <c r="I841" t="s">
        <v>36</v>
      </c>
      <c r="J841" t="s">
        <v>20</v>
      </c>
      <c r="K841">
        <v>0</v>
      </c>
      <c r="L841">
        <v>1</v>
      </c>
      <c r="M841">
        <v>5.66</v>
      </c>
      <c r="N841">
        <v>1</v>
      </c>
      <c r="O841" t="str">
        <f>IF(financial_fraud_data[[#This Row],[Risk_Score]]&gt;8,"High",IF(financial_fraud_data[[#This Row],[Risk_Score]]&gt;5,"Med","Low"))</f>
        <v>Med</v>
      </c>
      <c r="P841" t="str">
        <f>TEXT(financial_fraud_data[[#This Row],[Transaction_Date]],"MMM")</f>
        <v>Feb</v>
      </c>
      <c r="Q841" t="str">
        <f>IF(financial_fraud_data[[#This Row],[Is_Fraud]]=1,"Yes","No")</f>
        <v>Yes</v>
      </c>
    </row>
    <row r="842" spans="1:17" x14ac:dyDescent="0.2">
      <c r="A842" t="s">
        <v>1290</v>
      </c>
      <c r="B842" t="s">
        <v>885</v>
      </c>
      <c r="C842" s="1">
        <v>45327</v>
      </c>
      <c r="D842">
        <v>704.07</v>
      </c>
      <c r="E842" t="s">
        <v>80</v>
      </c>
      <c r="F842" t="s">
        <v>27</v>
      </c>
      <c r="G842" t="s">
        <v>35</v>
      </c>
      <c r="H842" t="s">
        <v>19</v>
      </c>
      <c r="I842" t="s">
        <v>19</v>
      </c>
      <c r="J842" t="s">
        <v>37</v>
      </c>
      <c r="K842">
        <v>0</v>
      </c>
      <c r="L842">
        <v>0</v>
      </c>
      <c r="M842">
        <v>7.0000000000000007E-2</v>
      </c>
      <c r="N842">
        <v>0</v>
      </c>
      <c r="O842" t="str">
        <f>IF(financial_fraud_data[[#This Row],[Risk_Score]]&gt;8,"High",IF(financial_fraud_data[[#This Row],[Risk_Score]]&gt;5,"Med","Low"))</f>
        <v>Low</v>
      </c>
      <c r="P842" t="str">
        <f>TEXT(financial_fraud_data[[#This Row],[Transaction_Date]],"MMM")</f>
        <v>Feb</v>
      </c>
      <c r="Q842" t="str">
        <f>IF(financial_fraud_data[[#This Row],[Is_Fraud]]=1,"Yes","No")</f>
        <v>No</v>
      </c>
    </row>
    <row r="843" spans="1:17" x14ac:dyDescent="0.2">
      <c r="A843" t="s">
        <v>1291</v>
      </c>
      <c r="B843" t="s">
        <v>62</v>
      </c>
      <c r="C843" s="1">
        <v>45327.041666666664</v>
      </c>
      <c r="D843">
        <v>33193.69</v>
      </c>
      <c r="E843" t="s">
        <v>42</v>
      </c>
      <c r="F843" t="s">
        <v>27</v>
      </c>
      <c r="G843" t="s">
        <v>56</v>
      </c>
      <c r="H843" t="s">
        <v>23</v>
      </c>
      <c r="I843" t="s">
        <v>24</v>
      </c>
      <c r="J843" t="s">
        <v>51</v>
      </c>
      <c r="K843">
        <v>0</v>
      </c>
      <c r="L843">
        <v>2</v>
      </c>
      <c r="M843">
        <v>7.32</v>
      </c>
      <c r="N843">
        <v>1</v>
      </c>
      <c r="O843" t="str">
        <f>IF(financial_fraud_data[[#This Row],[Risk_Score]]&gt;8,"High",IF(financial_fraud_data[[#This Row],[Risk_Score]]&gt;5,"Med","Low"))</f>
        <v>Med</v>
      </c>
      <c r="P843" t="str">
        <f>TEXT(financial_fraud_data[[#This Row],[Transaction_Date]],"MMM")</f>
        <v>Feb</v>
      </c>
      <c r="Q843" t="str">
        <f>IF(financial_fraud_data[[#This Row],[Is_Fraud]]=1,"Yes","No")</f>
        <v>Yes</v>
      </c>
    </row>
    <row r="844" spans="1:17" x14ac:dyDescent="0.2">
      <c r="A844" t="s">
        <v>1292</v>
      </c>
      <c r="B844" t="s">
        <v>472</v>
      </c>
      <c r="C844" s="1">
        <v>45327.083333333336</v>
      </c>
      <c r="D844">
        <v>8942.9</v>
      </c>
      <c r="E844" t="s">
        <v>42</v>
      </c>
      <c r="F844" t="s">
        <v>27</v>
      </c>
      <c r="G844" t="s">
        <v>35</v>
      </c>
      <c r="H844" t="s">
        <v>24</v>
      </c>
      <c r="I844" t="s">
        <v>36</v>
      </c>
      <c r="J844" t="s">
        <v>20</v>
      </c>
      <c r="K844">
        <v>0</v>
      </c>
      <c r="L844">
        <v>1</v>
      </c>
      <c r="M844">
        <v>3.39</v>
      </c>
      <c r="N844">
        <v>0</v>
      </c>
      <c r="O844" t="str">
        <f>IF(financial_fraud_data[[#This Row],[Risk_Score]]&gt;8,"High",IF(financial_fraud_data[[#This Row],[Risk_Score]]&gt;5,"Med","Low"))</f>
        <v>Low</v>
      </c>
      <c r="P844" t="str">
        <f>TEXT(financial_fraud_data[[#This Row],[Transaction_Date]],"MMM")</f>
        <v>Feb</v>
      </c>
      <c r="Q844" t="str">
        <f>IF(financial_fraud_data[[#This Row],[Is_Fraud]]=1,"Yes","No")</f>
        <v>No</v>
      </c>
    </row>
    <row r="845" spans="1:17" x14ac:dyDescent="0.2">
      <c r="A845" t="s">
        <v>1293</v>
      </c>
      <c r="B845" t="s">
        <v>772</v>
      </c>
      <c r="C845" s="1">
        <v>45327.125</v>
      </c>
      <c r="D845">
        <v>48055.46</v>
      </c>
      <c r="E845" t="s">
        <v>34</v>
      </c>
      <c r="F845" t="s">
        <v>50</v>
      </c>
      <c r="G845" t="s">
        <v>56</v>
      </c>
      <c r="H845" t="s">
        <v>36</v>
      </c>
      <c r="I845" t="s">
        <v>24</v>
      </c>
      <c r="J845" t="s">
        <v>20</v>
      </c>
      <c r="K845">
        <v>0</v>
      </c>
      <c r="L845">
        <v>2</v>
      </c>
      <c r="M845">
        <v>8.81</v>
      </c>
      <c r="N845">
        <v>1</v>
      </c>
      <c r="O845" t="str">
        <f>IF(financial_fraud_data[[#This Row],[Risk_Score]]&gt;8,"High",IF(financial_fraud_data[[#This Row],[Risk_Score]]&gt;5,"Med","Low"))</f>
        <v>High</v>
      </c>
      <c r="P845" t="str">
        <f>TEXT(financial_fraud_data[[#This Row],[Transaction_Date]],"MMM")</f>
        <v>Feb</v>
      </c>
      <c r="Q845" t="str">
        <f>IF(financial_fraud_data[[#This Row],[Is_Fraud]]=1,"Yes","No")</f>
        <v>Yes</v>
      </c>
    </row>
    <row r="846" spans="1:17" x14ac:dyDescent="0.2">
      <c r="A846" t="s">
        <v>1294</v>
      </c>
      <c r="B846" t="s">
        <v>502</v>
      </c>
      <c r="C846" s="1">
        <v>45327.166666666664</v>
      </c>
      <c r="D846">
        <v>7475.7</v>
      </c>
      <c r="E846" t="s">
        <v>16</v>
      </c>
      <c r="F846" t="s">
        <v>17</v>
      </c>
      <c r="G846" t="s">
        <v>56</v>
      </c>
      <c r="H846" t="s">
        <v>19</v>
      </c>
      <c r="I846" t="s">
        <v>36</v>
      </c>
      <c r="J846" t="s">
        <v>20</v>
      </c>
      <c r="K846">
        <v>1</v>
      </c>
      <c r="L846">
        <v>0</v>
      </c>
      <c r="M846">
        <v>3.75</v>
      </c>
      <c r="N846">
        <v>0</v>
      </c>
      <c r="O846" t="str">
        <f>IF(financial_fraud_data[[#This Row],[Risk_Score]]&gt;8,"High",IF(financial_fraud_data[[#This Row],[Risk_Score]]&gt;5,"Med","Low"))</f>
        <v>Low</v>
      </c>
      <c r="P846" t="str">
        <f>TEXT(financial_fraud_data[[#This Row],[Transaction_Date]],"MMM")</f>
        <v>Feb</v>
      </c>
      <c r="Q846" t="str">
        <f>IF(financial_fraud_data[[#This Row],[Is_Fraud]]=1,"Yes","No")</f>
        <v>No</v>
      </c>
    </row>
    <row r="847" spans="1:17" x14ac:dyDescent="0.2">
      <c r="A847" t="s">
        <v>1295</v>
      </c>
      <c r="B847" t="s">
        <v>319</v>
      </c>
      <c r="C847" s="1">
        <v>45327.208333333336</v>
      </c>
      <c r="D847">
        <v>20760.47</v>
      </c>
      <c r="E847" t="s">
        <v>16</v>
      </c>
      <c r="F847" t="s">
        <v>27</v>
      </c>
      <c r="G847" t="s">
        <v>56</v>
      </c>
      <c r="H847" t="s">
        <v>36</v>
      </c>
      <c r="I847" t="s">
        <v>23</v>
      </c>
      <c r="J847" t="s">
        <v>51</v>
      </c>
      <c r="K847">
        <v>0</v>
      </c>
      <c r="L847">
        <v>1</v>
      </c>
      <c r="M847">
        <v>4.58</v>
      </c>
      <c r="N847">
        <v>0</v>
      </c>
      <c r="O847" t="str">
        <f>IF(financial_fraud_data[[#This Row],[Risk_Score]]&gt;8,"High",IF(financial_fraud_data[[#This Row],[Risk_Score]]&gt;5,"Med","Low"))</f>
        <v>Low</v>
      </c>
      <c r="P847" t="str">
        <f>TEXT(financial_fraud_data[[#This Row],[Transaction_Date]],"MMM")</f>
        <v>Feb</v>
      </c>
      <c r="Q847" t="str">
        <f>IF(financial_fraud_data[[#This Row],[Is_Fraud]]=1,"Yes","No")</f>
        <v>No</v>
      </c>
    </row>
    <row r="848" spans="1:17" x14ac:dyDescent="0.2">
      <c r="A848" t="s">
        <v>1296</v>
      </c>
      <c r="B848" t="s">
        <v>186</v>
      </c>
      <c r="C848" s="1">
        <v>45327.25</v>
      </c>
      <c r="D848">
        <v>4313.22</v>
      </c>
      <c r="E848" t="s">
        <v>80</v>
      </c>
      <c r="F848" t="s">
        <v>47</v>
      </c>
      <c r="G848" t="s">
        <v>56</v>
      </c>
      <c r="H848" t="s">
        <v>24</v>
      </c>
      <c r="I848" t="s">
        <v>24</v>
      </c>
      <c r="J848" t="s">
        <v>51</v>
      </c>
      <c r="K848">
        <v>0</v>
      </c>
      <c r="L848">
        <v>3</v>
      </c>
      <c r="M848">
        <v>4.93</v>
      </c>
      <c r="N848">
        <v>0</v>
      </c>
      <c r="O848" t="str">
        <f>IF(financial_fraud_data[[#This Row],[Risk_Score]]&gt;8,"High",IF(financial_fraud_data[[#This Row],[Risk_Score]]&gt;5,"Med","Low"))</f>
        <v>Low</v>
      </c>
      <c r="P848" t="str">
        <f>TEXT(financial_fraud_data[[#This Row],[Transaction_Date]],"MMM")</f>
        <v>Feb</v>
      </c>
      <c r="Q848" t="str">
        <f>IF(financial_fraud_data[[#This Row],[Is_Fraud]]=1,"Yes","No")</f>
        <v>No</v>
      </c>
    </row>
    <row r="849" spans="1:17" x14ac:dyDescent="0.2">
      <c r="A849" t="s">
        <v>1297</v>
      </c>
      <c r="B849" t="s">
        <v>31</v>
      </c>
      <c r="C849" s="1">
        <v>45327.291666666664</v>
      </c>
      <c r="D849">
        <v>49843.87</v>
      </c>
      <c r="E849" t="s">
        <v>42</v>
      </c>
      <c r="F849" t="s">
        <v>50</v>
      </c>
      <c r="G849" t="s">
        <v>56</v>
      </c>
      <c r="H849" t="s">
        <v>19</v>
      </c>
      <c r="I849" t="s">
        <v>24</v>
      </c>
      <c r="J849" t="s">
        <v>20</v>
      </c>
      <c r="K849">
        <v>0</v>
      </c>
      <c r="L849">
        <v>4</v>
      </c>
      <c r="M849">
        <v>11.98</v>
      </c>
      <c r="N849">
        <v>1</v>
      </c>
      <c r="O849" t="str">
        <f>IF(financial_fraud_data[[#This Row],[Risk_Score]]&gt;8,"High",IF(financial_fraud_data[[#This Row],[Risk_Score]]&gt;5,"Med","Low"))</f>
        <v>High</v>
      </c>
      <c r="P849" t="str">
        <f>TEXT(financial_fraud_data[[#This Row],[Transaction_Date]],"MMM")</f>
        <v>Feb</v>
      </c>
      <c r="Q849" t="str">
        <f>IF(financial_fraud_data[[#This Row],[Is_Fraud]]=1,"Yes","No")</f>
        <v>Yes</v>
      </c>
    </row>
    <row r="850" spans="1:17" x14ac:dyDescent="0.2">
      <c r="A850" t="s">
        <v>1298</v>
      </c>
      <c r="B850" t="s">
        <v>512</v>
      </c>
      <c r="C850" s="1">
        <v>45327.333333333336</v>
      </c>
      <c r="D850">
        <v>25134.639999999999</v>
      </c>
      <c r="E850" t="s">
        <v>80</v>
      </c>
      <c r="F850" t="s">
        <v>50</v>
      </c>
      <c r="G850" t="s">
        <v>28</v>
      </c>
      <c r="H850" t="s">
        <v>19</v>
      </c>
      <c r="I850" t="s">
        <v>29</v>
      </c>
      <c r="J850" t="s">
        <v>37</v>
      </c>
      <c r="K850">
        <v>0</v>
      </c>
      <c r="L850">
        <v>3</v>
      </c>
      <c r="M850">
        <v>8.01</v>
      </c>
      <c r="N850">
        <v>1</v>
      </c>
      <c r="O850" t="str">
        <f>IF(financial_fraud_data[[#This Row],[Risk_Score]]&gt;8,"High",IF(financial_fraud_data[[#This Row],[Risk_Score]]&gt;5,"Med","Low"))</f>
        <v>High</v>
      </c>
      <c r="P850" t="str">
        <f>TEXT(financial_fraud_data[[#This Row],[Transaction_Date]],"MMM")</f>
        <v>Feb</v>
      </c>
      <c r="Q850" t="str">
        <f>IF(financial_fraud_data[[#This Row],[Is_Fraud]]=1,"Yes","No")</f>
        <v>Yes</v>
      </c>
    </row>
    <row r="851" spans="1:17" x14ac:dyDescent="0.2">
      <c r="A851" t="s">
        <v>1299</v>
      </c>
      <c r="B851" t="s">
        <v>938</v>
      </c>
      <c r="C851" s="1">
        <v>45327.375</v>
      </c>
      <c r="D851">
        <v>29789.48</v>
      </c>
      <c r="E851" t="s">
        <v>34</v>
      </c>
      <c r="F851" t="s">
        <v>17</v>
      </c>
      <c r="G851" t="s">
        <v>35</v>
      </c>
      <c r="H851" t="s">
        <v>36</v>
      </c>
      <c r="I851" t="s">
        <v>24</v>
      </c>
      <c r="J851" t="s">
        <v>51</v>
      </c>
      <c r="K851">
        <v>0</v>
      </c>
      <c r="L851">
        <v>2</v>
      </c>
      <c r="M851">
        <v>6.98</v>
      </c>
      <c r="N851">
        <v>1</v>
      </c>
      <c r="O851" t="str">
        <f>IF(financial_fraud_data[[#This Row],[Risk_Score]]&gt;8,"High",IF(financial_fraud_data[[#This Row],[Risk_Score]]&gt;5,"Med","Low"))</f>
        <v>Med</v>
      </c>
      <c r="P851" t="str">
        <f>TEXT(financial_fraud_data[[#This Row],[Transaction_Date]],"MMM")</f>
        <v>Feb</v>
      </c>
      <c r="Q851" t="str">
        <f>IF(financial_fraud_data[[#This Row],[Is_Fraud]]=1,"Yes","No")</f>
        <v>Yes</v>
      </c>
    </row>
    <row r="852" spans="1:17" x14ac:dyDescent="0.2">
      <c r="A852" t="s">
        <v>1300</v>
      </c>
      <c r="B852" t="s">
        <v>312</v>
      </c>
      <c r="C852" s="1">
        <v>45327.416666666664</v>
      </c>
      <c r="D852">
        <v>3400.47</v>
      </c>
      <c r="E852" t="s">
        <v>16</v>
      </c>
      <c r="F852" t="s">
        <v>27</v>
      </c>
      <c r="G852" t="s">
        <v>28</v>
      </c>
      <c r="H852" t="s">
        <v>24</v>
      </c>
      <c r="I852" t="s">
        <v>19</v>
      </c>
      <c r="J852" t="s">
        <v>20</v>
      </c>
      <c r="K852">
        <v>1</v>
      </c>
      <c r="L852">
        <v>3</v>
      </c>
      <c r="M852">
        <v>7.84</v>
      </c>
      <c r="N852">
        <v>1</v>
      </c>
      <c r="O852" t="str">
        <f>IF(financial_fraud_data[[#This Row],[Risk_Score]]&gt;8,"High",IF(financial_fraud_data[[#This Row],[Risk_Score]]&gt;5,"Med","Low"))</f>
        <v>Med</v>
      </c>
      <c r="P852" t="str">
        <f>TEXT(financial_fraud_data[[#This Row],[Transaction_Date]],"MMM")</f>
        <v>Feb</v>
      </c>
      <c r="Q852" t="str">
        <f>IF(financial_fraud_data[[#This Row],[Is_Fraud]]=1,"Yes","No")</f>
        <v>Yes</v>
      </c>
    </row>
    <row r="853" spans="1:17" x14ac:dyDescent="0.2">
      <c r="A853" t="s">
        <v>1301</v>
      </c>
      <c r="B853" t="s">
        <v>210</v>
      </c>
      <c r="C853" s="1">
        <v>45327.458333333336</v>
      </c>
      <c r="D853">
        <v>37510.53</v>
      </c>
      <c r="E853" t="s">
        <v>16</v>
      </c>
      <c r="F853" t="s">
        <v>17</v>
      </c>
      <c r="G853" t="s">
        <v>28</v>
      </c>
      <c r="H853" t="s">
        <v>23</v>
      </c>
      <c r="I853" t="s">
        <v>36</v>
      </c>
      <c r="J853" t="s">
        <v>20</v>
      </c>
      <c r="K853">
        <v>0</v>
      </c>
      <c r="L853">
        <v>3</v>
      </c>
      <c r="M853">
        <v>9.25</v>
      </c>
      <c r="N853">
        <v>1</v>
      </c>
      <c r="O853" t="str">
        <f>IF(financial_fraud_data[[#This Row],[Risk_Score]]&gt;8,"High",IF(financial_fraud_data[[#This Row],[Risk_Score]]&gt;5,"Med","Low"))</f>
        <v>High</v>
      </c>
      <c r="P853" t="str">
        <f>TEXT(financial_fraud_data[[#This Row],[Transaction_Date]],"MMM")</f>
        <v>Feb</v>
      </c>
      <c r="Q853" t="str">
        <f>IF(financial_fraud_data[[#This Row],[Is_Fraud]]=1,"Yes","No")</f>
        <v>Yes</v>
      </c>
    </row>
    <row r="854" spans="1:17" x14ac:dyDescent="0.2">
      <c r="A854" t="s">
        <v>1302</v>
      </c>
      <c r="B854" t="s">
        <v>306</v>
      </c>
      <c r="C854" s="1">
        <v>45327.5</v>
      </c>
      <c r="D854">
        <v>10534.78</v>
      </c>
      <c r="E854" t="s">
        <v>80</v>
      </c>
      <c r="F854" t="s">
        <v>50</v>
      </c>
      <c r="G854" t="s">
        <v>65</v>
      </c>
      <c r="H854" t="s">
        <v>19</v>
      </c>
      <c r="I854" t="s">
        <v>23</v>
      </c>
      <c r="J854" t="s">
        <v>51</v>
      </c>
      <c r="K854">
        <v>0</v>
      </c>
      <c r="L854">
        <v>4</v>
      </c>
      <c r="M854">
        <v>8.0500000000000007</v>
      </c>
      <c r="N854">
        <v>1</v>
      </c>
      <c r="O854" t="str">
        <f>IF(financial_fraud_data[[#This Row],[Risk_Score]]&gt;8,"High",IF(financial_fraud_data[[#This Row],[Risk_Score]]&gt;5,"Med","Low"))</f>
        <v>High</v>
      </c>
      <c r="P854" t="str">
        <f>TEXT(financial_fraud_data[[#This Row],[Transaction_Date]],"MMM")</f>
        <v>Feb</v>
      </c>
      <c r="Q854" t="str">
        <f>IF(financial_fraud_data[[#This Row],[Is_Fraud]]=1,"Yes","No")</f>
        <v>Yes</v>
      </c>
    </row>
    <row r="855" spans="1:17" x14ac:dyDescent="0.2">
      <c r="A855" t="s">
        <v>1303</v>
      </c>
      <c r="B855" t="s">
        <v>352</v>
      </c>
      <c r="C855" s="1">
        <v>45327.541666666664</v>
      </c>
      <c r="D855">
        <v>44907.81</v>
      </c>
      <c r="E855" t="s">
        <v>34</v>
      </c>
      <c r="F855" t="s">
        <v>27</v>
      </c>
      <c r="G855" t="s">
        <v>65</v>
      </c>
      <c r="H855" t="s">
        <v>23</v>
      </c>
      <c r="I855" t="s">
        <v>19</v>
      </c>
      <c r="J855" t="s">
        <v>37</v>
      </c>
      <c r="K855">
        <v>0</v>
      </c>
      <c r="L855">
        <v>4</v>
      </c>
      <c r="M855">
        <v>11.49</v>
      </c>
      <c r="N855">
        <v>1</v>
      </c>
      <c r="O855" t="str">
        <f>IF(financial_fraud_data[[#This Row],[Risk_Score]]&gt;8,"High",IF(financial_fraud_data[[#This Row],[Risk_Score]]&gt;5,"Med","Low"))</f>
        <v>High</v>
      </c>
      <c r="P855" t="str">
        <f>TEXT(financial_fraud_data[[#This Row],[Transaction_Date]],"MMM")</f>
        <v>Feb</v>
      </c>
      <c r="Q855" t="str">
        <f>IF(financial_fraud_data[[#This Row],[Is_Fraud]]=1,"Yes","No")</f>
        <v>Yes</v>
      </c>
    </row>
    <row r="856" spans="1:17" x14ac:dyDescent="0.2">
      <c r="A856" t="s">
        <v>1304</v>
      </c>
      <c r="B856" t="s">
        <v>289</v>
      </c>
      <c r="C856" s="1">
        <v>45327.583333333336</v>
      </c>
      <c r="D856">
        <v>10296.73</v>
      </c>
      <c r="E856" t="s">
        <v>16</v>
      </c>
      <c r="F856" t="s">
        <v>47</v>
      </c>
      <c r="G856" t="s">
        <v>65</v>
      </c>
      <c r="H856" t="s">
        <v>24</v>
      </c>
      <c r="I856" t="s">
        <v>19</v>
      </c>
      <c r="J856" t="s">
        <v>20</v>
      </c>
      <c r="K856">
        <v>0</v>
      </c>
      <c r="L856">
        <v>3</v>
      </c>
      <c r="M856">
        <v>6.53</v>
      </c>
      <c r="N856">
        <v>1</v>
      </c>
      <c r="O856" t="str">
        <f>IF(financial_fraud_data[[#This Row],[Risk_Score]]&gt;8,"High",IF(financial_fraud_data[[#This Row],[Risk_Score]]&gt;5,"Med","Low"))</f>
        <v>Med</v>
      </c>
      <c r="P856" t="str">
        <f>TEXT(financial_fraud_data[[#This Row],[Transaction_Date]],"MMM")</f>
        <v>Feb</v>
      </c>
      <c r="Q856" t="str">
        <f>IF(financial_fraud_data[[#This Row],[Is_Fraud]]=1,"Yes","No")</f>
        <v>Yes</v>
      </c>
    </row>
    <row r="857" spans="1:17" x14ac:dyDescent="0.2">
      <c r="A857" t="s">
        <v>1305</v>
      </c>
      <c r="B857" t="s">
        <v>625</v>
      </c>
      <c r="C857" s="1">
        <v>45327.625</v>
      </c>
      <c r="D857">
        <v>9574.85</v>
      </c>
      <c r="E857" t="s">
        <v>34</v>
      </c>
      <c r="F857" t="s">
        <v>27</v>
      </c>
      <c r="G857" t="s">
        <v>18</v>
      </c>
      <c r="H857" t="s">
        <v>19</v>
      </c>
      <c r="I857" t="s">
        <v>19</v>
      </c>
      <c r="J857" t="s">
        <v>37</v>
      </c>
      <c r="K857">
        <v>1</v>
      </c>
      <c r="L857">
        <v>4</v>
      </c>
      <c r="M857">
        <v>8.9600000000000009</v>
      </c>
      <c r="N857">
        <v>1</v>
      </c>
      <c r="O857" t="str">
        <f>IF(financial_fraud_data[[#This Row],[Risk_Score]]&gt;8,"High",IF(financial_fraud_data[[#This Row],[Risk_Score]]&gt;5,"Med","Low"))</f>
        <v>High</v>
      </c>
      <c r="P857" t="str">
        <f>TEXT(financial_fraud_data[[#This Row],[Transaction_Date]],"MMM")</f>
        <v>Feb</v>
      </c>
      <c r="Q857" t="str">
        <f>IF(financial_fraud_data[[#This Row],[Is_Fraud]]=1,"Yes","No")</f>
        <v>Yes</v>
      </c>
    </row>
    <row r="858" spans="1:17" x14ac:dyDescent="0.2">
      <c r="A858" t="s">
        <v>1306</v>
      </c>
      <c r="B858" t="s">
        <v>286</v>
      </c>
      <c r="C858" s="1">
        <v>45327.666666666664</v>
      </c>
      <c r="D858">
        <v>1875.66</v>
      </c>
      <c r="E858" t="s">
        <v>34</v>
      </c>
      <c r="F858" t="s">
        <v>50</v>
      </c>
      <c r="G858" t="s">
        <v>65</v>
      </c>
      <c r="H858" t="s">
        <v>19</v>
      </c>
      <c r="I858" t="s">
        <v>19</v>
      </c>
      <c r="J858" t="s">
        <v>37</v>
      </c>
      <c r="K858">
        <v>0</v>
      </c>
      <c r="L858">
        <v>3</v>
      </c>
      <c r="M858">
        <v>4.6900000000000004</v>
      </c>
      <c r="N858">
        <v>0</v>
      </c>
      <c r="O858" t="str">
        <f>IF(financial_fraud_data[[#This Row],[Risk_Score]]&gt;8,"High",IF(financial_fraud_data[[#This Row],[Risk_Score]]&gt;5,"Med","Low"))</f>
        <v>Low</v>
      </c>
      <c r="P858" t="str">
        <f>TEXT(financial_fraud_data[[#This Row],[Transaction_Date]],"MMM")</f>
        <v>Feb</v>
      </c>
      <c r="Q858" t="str">
        <f>IF(financial_fraud_data[[#This Row],[Is_Fraud]]=1,"Yes","No")</f>
        <v>No</v>
      </c>
    </row>
    <row r="859" spans="1:17" x14ac:dyDescent="0.2">
      <c r="A859" t="s">
        <v>1307</v>
      </c>
      <c r="B859" t="s">
        <v>60</v>
      </c>
      <c r="C859" s="1">
        <v>45327.708333333336</v>
      </c>
      <c r="D859">
        <v>23629.74</v>
      </c>
      <c r="E859" t="s">
        <v>80</v>
      </c>
      <c r="F859" t="s">
        <v>47</v>
      </c>
      <c r="G859" t="s">
        <v>35</v>
      </c>
      <c r="H859" t="s">
        <v>23</v>
      </c>
      <c r="I859" t="s">
        <v>23</v>
      </c>
      <c r="J859" t="s">
        <v>51</v>
      </c>
      <c r="K859">
        <v>0</v>
      </c>
      <c r="L859">
        <v>1</v>
      </c>
      <c r="M859">
        <v>3.86</v>
      </c>
      <c r="N859">
        <v>0</v>
      </c>
      <c r="O859" t="str">
        <f>IF(financial_fraud_data[[#This Row],[Risk_Score]]&gt;8,"High",IF(financial_fraud_data[[#This Row],[Risk_Score]]&gt;5,"Med","Low"))</f>
        <v>Low</v>
      </c>
      <c r="P859" t="str">
        <f>TEXT(financial_fraud_data[[#This Row],[Transaction_Date]],"MMM")</f>
        <v>Feb</v>
      </c>
      <c r="Q859" t="str">
        <f>IF(financial_fraud_data[[#This Row],[Is_Fraud]]=1,"Yes","No")</f>
        <v>No</v>
      </c>
    </row>
    <row r="860" spans="1:17" x14ac:dyDescent="0.2">
      <c r="A860" t="s">
        <v>1308</v>
      </c>
      <c r="B860" t="s">
        <v>1309</v>
      </c>
      <c r="C860" s="1">
        <v>45327.75</v>
      </c>
      <c r="D860">
        <v>28263.81</v>
      </c>
      <c r="E860" t="s">
        <v>42</v>
      </c>
      <c r="F860" t="s">
        <v>27</v>
      </c>
      <c r="G860" t="s">
        <v>28</v>
      </c>
      <c r="H860" t="s">
        <v>29</v>
      </c>
      <c r="I860" t="s">
        <v>29</v>
      </c>
      <c r="J860" t="s">
        <v>20</v>
      </c>
      <c r="K860">
        <v>0</v>
      </c>
      <c r="L860">
        <v>3</v>
      </c>
      <c r="M860">
        <v>7.33</v>
      </c>
      <c r="N860">
        <v>1</v>
      </c>
      <c r="O860" t="str">
        <f>IF(financial_fraud_data[[#This Row],[Risk_Score]]&gt;8,"High",IF(financial_fraud_data[[#This Row],[Risk_Score]]&gt;5,"Med","Low"))</f>
        <v>Med</v>
      </c>
      <c r="P860" t="str">
        <f>TEXT(financial_fraud_data[[#This Row],[Transaction_Date]],"MMM")</f>
        <v>Feb</v>
      </c>
      <c r="Q860" t="str">
        <f>IF(financial_fraud_data[[#This Row],[Is_Fraud]]=1,"Yes","No")</f>
        <v>Yes</v>
      </c>
    </row>
    <row r="861" spans="1:17" x14ac:dyDescent="0.2">
      <c r="A861" t="s">
        <v>1310</v>
      </c>
      <c r="B861" t="s">
        <v>1311</v>
      </c>
      <c r="C861" s="1">
        <v>45327.791666666664</v>
      </c>
      <c r="D861">
        <v>3332.15</v>
      </c>
      <c r="E861" t="s">
        <v>80</v>
      </c>
      <c r="F861" t="s">
        <v>47</v>
      </c>
      <c r="G861" t="s">
        <v>35</v>
      </c>
      <c r="H861" t="s">
        <v>23</v>
      </c>
      <c r="I861" t="s">
        <v>24</v>
      </c>
      <c r="J861" t="s">
        <v>20</v>
      </c>
      <c r="K861">
        <v>0</v>
      </c>
      <c r="L861">
        <v>0</v>
      </c>
      <c r="M861">
        <v>1.33</v>
      </c>
      <c r="N861">
        <v>0</v>
      </c>
      <c r="O861" t="str">
        <f>IF(financial_fraud_data[[#This Row],[Risk_Score]]&gt;8,"High",IF(financial_fraud_data[[#This Row],[Risk_Score]]&gt;5,"Med","Low"))</f>
        <v>Low</v>
      </c>
      <c r="P861" t="str">
        <f>TEXT(financial_fraud_data[[#This Row],[Transaction_Date]],"MMM")</f>
        <v>Feb</v>
      </c>
      <c r="Q861" t="str">
        <f>IF(financial_fraud_data[[#This Row],[Is_Fraud]]=1,"Yes","No")</f>
        <v>No</v>
      </c>
    </row>
    <row r="862" spans="1:17" x14ac:dyDescent="0.2">
      <c r="A862" t="s">
        <v>1312</v>
      </c>
      <c r="B862" t="s">
        <v>618</v>
      </c>
      <c r="C862" s="1">
        <v>45327.833333333336</v>
      </c>
      <c r="D862">
        <v>38787.599999999999</v>
      </c>
      <c r="E862" t="s">
        <v>42</v>
      </c>
      <c r="F862" t="s">
        <v>47</v>
      </c>
      <c r="G862" t="s">
        <v>65</v>
      </c>
      <c r="H862" t="s">
        <v>23</v>
      </c>
      <c r="I862" t="s">
        <v>19</v>
      </c>
      <c r="J862" t="s">
        <v>37</v>
      </c>
      <c r="K862">
        <v>0</v>
      </c>
      <c r="L862">
        <v>4</v>
      </c>
      <c r="M862">
        <v>10.88</v>
      </c>
      <c r="N862">
        <v>1</v>
      </c>
      <c r="O862" t="str">
        <f>IF(financial_fraud_data[[#This Row],[Risk_Score]]&gt;8,"High",IF(financial_fraud_data[[#This Row],[Risk_Score]]&gt;5,"Med","Low"))</f>
        <v>High</v>
      </c>
      <c r="P862" t="str">
        <f>TEXT(financial_fraud_data[[#This Row],[Transaction_Date]],"MMM")</f>
        <v>Feb</v>
      </c>
      <c r="Q862" t="str">
        <f>IF(financial_fraud_data[[#This Row],[Is_Fraud]]=1,"Yes","No")</f>
        <v>Yes</v>
      </c>
    </row>
    <row r="863" spans="1:17" x14ac:dyDescent="0.2">
      <c r="A863" t="s">
        <v>1313</v>
      </c>
      <c r="B863" t="s">
        <v>1036</v>
      </c>
      <c r="C863" s="1">
        <v>45327.875</v>
      </c>
      <c r="D863">
        <v>22691.78</v>
      </c>
      <c r="E863" t="s">
        <v>34</v>
      </c>
      <c r="F863" t="s">
        <v>50</v>
      </c>
      <c r="G863" t="s">
        <v>18</v>
      </c>
      <c r="H863" t="s">
        <v>29</v>
      </c>
      <c r="I863" t="s">
        <v>24</v>
      </c>
      <c r="J863" t="s">
        <v>51</v>
      </c>
      <c r="K863">
        <v>1</v>
      </c>
      <c r="L863">
        <v>4</v>
      </c>
      <c r="M863">
        <v>11.27</v>
      </c>
      <c r="N863">
        <v>1</v>
      </c>
      <c r="O863" t="str">
        <f>IF(financial_fraud_data[[#This Row],[Risk_Score]]&gt;8,"High",IF(financial_fraud_data[[#This Row],[Risk_Score]]&gt;5,"Med","Low"))</f>
        <v>High</v>
      </c>
      <c r="P863" t="str">
        <f>TEXT(financial_fraud_data[[#This Row],[Transaction_Date]],"MMM")</f>
        <v>Feb</v>
      </c>
      <c r="Q863" t="str">
        <f>IF(financial_fraud_data[[#This Row],[Is_Fraud]]=1,"Yes","No")</f>
        <v>Yes</v>
      </c>
    </row>
    <row r="864" spans="1:17" x14ac:dyDescent="0.2">
      <c r="A864" t="s">
        <v>1314</v>
      </c>
      <c r="B864" t="s">
        <v>73</v>
      </c>
      <c r="C864" s="1">
        <v>45327.916666666664</v>
      </c>
      <c r="D864">
        <v>26243.29</v>
      </c>
      <c r="E864" t="s">
        <v>42</v>
      </c>
      <c r="F864" t="s">
        <v>47</v>
      </c>
      <c r="G864" t="s">
        <v>18</v>
      </c>
      <c r="H864" t="s">
        <v>24</v>
      </c>
      <c r="I864" t="s">
        <v>24</v>
      </c>
      <c r="J864" t="s">
        <v>51</v>
      </c>
      <c r="K864">
        <v>0</v>
      </c>
      <c r="L864">
        <v>2</v>
      </c>
      <c r="M864">
        <v>5.62</v>
      </c>
      <c r="N864">
        <v>1</v>
      </c>
      <c r="O864" t="str">
        <f>IF(financial_fraud_data[[#This Row],[Risk_Score]]&gt;8,"High",IF(financial_fraud_data[[#This Row],[Risk_Score]]&gt;5,"Med","Low"))</f>
        <v>Med</v>
      </c>
      <c r="P864" t="str">
        <f>TEXT(financial_fraud_data[[#This Row],[Transaction_Date]],"MMM")</f>
        <v>Feb</v>
      </c>
      <c r="Q864" t="str">
        <f>IF(financial_fraud_data[[#This Row],[Is_Fraud]]=1,"Yes","No")</f>
        <v>Yes</v>
      </c>
    </row>
    <row r="865" spans="1:17" x14ac:dyDescent="0.2">
      <c r="A865" t="s">
        <v>1315</v>
      </c>
      <c r="B865" t="s">
        <v>446</v>
      </c>
      <c r="C865" s="1">
        <v>45327.958333333336</v>
      </c>
      <c r="D865">
        <v>22066.1</v>
      </c>
      <c r="E865" t="s">
        <v>34</v>
      </c>
      <c r="F865" t="s">
        <v>17</v>
      </c>
      <c r="G865" t="s">
        <v>28</v>
      </c>
      <c r="H865" t="s">
        <v>24</v>
      </c>
      <c r="I865" t="s">
        <v>19</v>
      </c>
      <c r="J865" t="s">
        <v>51</v>
      </c>
      <c r="K865">
        <v>0</v>
      </c>
      <c r="L865">
        <v>2</v>
      </c>
      <c r="M865">
        <v>6.21</v>
      </c>
      <c r="N865">
        <v>1</v>
      </c>
      <c r="O865" t="str">
        <f>IF(financial_fraud_data[[#This Row],[Risk_Score]]&gt;8,"High",IF(financial_fraud_data[[#This Row],[Risk_Score]]&gt;5,"Med","Low"))</f>
        <v>Med</v>
      </c>
      <c r="P865" t="str">
        <f>TEXT(financial_fraud_data[[#This Row],[Transaction_Date]],"MMM")</f>
        <v>Feb</v>
      </c>
      <c r="Q865" t="str">
        <f>IF(financial_fraud_data[[#This Row],[Is_Fraud]]=1,"Yes","No")</f>
        <v>Yes</v>
      </c>
    </row>
    <row r="866" spans="1:17" x14ac:dyDescent="0.2">
      <c r="A866" t="s">
        <v>1316</v>
      </c>
      <c r="B866" t="s">
        <v>922</v>
      </c>
      <c r="C866" s="1">
        <v>45328</v>
      </c>
      <c r="D866">
        <v>20068.11</v>
      </c>
      <c r="E866" t="s">
        <v>16</v>
      </c>
      <c r="F866" t="s">
        <v>50</v>
      </c>
      <c r="G866" t="s">
        <v>35</v>
      </c>
      <c r="H866" t="s">
        <v>19</v>
      </c>
      <c r="I866" t="s">
        <v>29</v>
      </c>
      <c r="J866" t="s">
        <v>37</v>
      </c>
      <c r="K866">
        <v>0</v>
      </c>
      <c r="L866">
        <v>0</v>
      </c>
      <c r="M866">
        <v>3.01</v>
      </c>
      <c r="N866">
        <v>0</v>
      </c>
      <c r="O866" t="str">
        <f>IF(financial_fraud_data[[#This Row],[Risk_Score]]&gt;8,"High",IF(financial_fraud_data[[#This Row],[Risk_Score]]&gt;5,"Med","Low"))</f>
        <v>Low</v>
      </c>
      <c r="P866" t="str">
        <f>TEXT(financial_fraud_data[[#This Row],[Transaction_Date]],"MMM")</f>
        <v>Feb</v>
      </c>
      <c r="Q866" t="str">
        <f>IF(financial_fraud_data[[#This Row],[Is_Fraud]]=1,"Yes","No")</f>
        <v>No</v>
      </c>
    </row>
    <row r="867" spans="1:17" x14ac:dyDescent="0.2">
      <c r="A867" t="s">
        <v>1317</v>
      </c>
      <c r="B867" t="s">
        <v>767</v>
      </c>
      <c r="C867" s="1">
        <v>45328.041666666664</v>
      </c>
      <c r="D867">
        <v>28004.03</v>
      </c>
      <c r="E867" t="s">
        <v>16</v>
      </c>
      <c r="F867" t="s">
        <v>17</v>
      </c>
      <c r="G867" t="s">
        <v>56</v>
      </c>
      <c r="H867" t="s">
        <v>36</v>
      </c>
      <c r="I867" t="s">
        <v>24</v>
      </c>
      <c r="J867" t="s">
        <v>37</v>
      </c>
      <c r="K867">
        <v>0</v>
      </c>
      <c r="L867">
        <v>4</v>
      </c>
      <c r="M867">
        <v>9.8000000000000007</v>
      </c>
      <c r="N867">
        <v>1</v>
      </c>
      <c r="O867" t="str">
        <f>IF(financial_fraud_data[[#This Row],[Risk_Score]]&gt;8,"High",IF(financial_fraud_data[[#This Row],[Risk_Score]]&gt;5,"Med","Low"))</f>
        <v>High</v>
      </c>
      <c r="P867" t="str">
        <f>TEXT(financial_fraud_data[[#This Row],[Transaction_Date]],"MMM")</f>
        <v>Feb</v>
      </c>
      <c r="Q867" t="str">
        <f>IF(financial_fraud_data[[#This Row],[Is_Fraud]]=1,"Yes","No")</f>
        <v>Yes</v>
      </c>
    </row>
    <row r="868" spans="1:17" x14ac:dyDescent="0.2">
      <c r="A868" t="s">
        <v>1318</v>
      </c>
      <c r="B868" t="s">
        <v>787</v>
      </c>
      <c r="C868" s="1">
        <v>45328.083333333336</v>
      </c>
      <c r="D868">
        <v>7804.25</v>
      </c>
      <c r="E868" t="s">
        <v>16</v>
      </c>
      <c r="F868" t="s">
        <v>47</v>
      </c>
      <c r="G868" t="s">
        <v>35</v>
      </c>
      <c r="H868" t="s">
        <v>36</v>
      </c>
      <c r="I868" t="s">
        <v>36</v>
      </c>
      <c r="J868" t="s">
        <v>20</v>
      </c>
      <c r="K868">
        <v>0</v>
      </c>
      <c r="L868">
        <v>4</v>
      </c>
      <c r="M868">
        <v>6.78</v>
      </c>
      <c r="N868">
        <v>1</v>
      </c>
      <c r="O868" t="str">
        <f>IF(financial_fraud_data[[#This Row],[Risk_Score]]&gt;8,"High",IF(financial_fraud_data[[#This Row],[Risk_Score]]&gt;5,"Med","Low"))</f>
        <v>Med</v>
      </c>
      <c r="P868" t="str">
        <f>TEXT(financial_fraud_data[[#This Row],[Transaction_Date]],"MMM")</f>
        <v>Feb</v>
      </c>
      <c r="Q868" t="str">
        <f>IF(financial_fraud_data[[#This Row],[Is_Fraud]]=1,"Yes","No")</f>
        <v>Yes</v>
      </c>
    </row>
    <row r="869" spans="1:17" x14ac:dyDescent="0.2">
      <c r="A869" t="s">
        <v>1319</v>
      </c>
      <c r="B869" t="s">
        <v>125</v>
      </c>
      <c r="C869" s="1">
        <v>45328.125</v>
      </c>
      <c r="D869">
        <v>9137.31</v>
      </c>
      <c r="E869" t="s">
        <v>80</v>
      </c>
      <c r="F869" t="s">
        <v>17</v>
      </c>
      <c r="G869" t="s">
        <v>65</v>
      </c>
      <c r="H869" t="s">
        <v>19</v>
      </c>
      <c r="I869" t="s">
        <v>24</v>
      </c>
      <c r="J869" t="s">
        <v>51</v>
      </c>
      <c r="K869">
        <v>0</v>
      </c>
      <c r="L869">
        <v>2</v>
      </c>
      <c r="M869">
        <v>4.91</v>
      </c>
      <c r="N869">
        <v>0</v>
      </c>
      <c r="O869" t="str">
        <f>IF(financial_fraud_data[[#This Row],[Risk_Score]]&gt;8,"High",IF(financial_fraud_data[[#This Row],[Risk_Score]]&gt;5,"Med","Low"))</f>
        <v>Low</v>
      </c>
      <c r="P869" t="str">
        <f>TEXT(financial_fraud_data[[#This Row],[Transaction_Date]],"MMM")</f>
        <v>Feb</v>
      </c>
      <c r="Q869" t="str">
        <f>IF(financial_fraud_data[[#This Row],[Is_Fraud]]=1,"Yes","No")</f>
        <v>No</v>
      </c>
    </row>
    <row r="870" spans="1:17" x14ac:dyDescent="0.2">
      <c r="A870" t="s">
        <v>1320</v>
      </c>
      <c r="B870" t="s">
        <v>1038</v>
      </c>
      <c r="C870" s="1">
        <v>45328.166666666664</v>
      </c>
      <c r="D870">
        <v>43096.19</v>
      </c>
      <c r="E870" t="s">
        <v>80</v>
      </c>
      <c r="F870" t="s">
        <v>27</v>
      </c>
      <c r="G870" t="s">
        <v>56</v>
      </c>
      <c r="H870" t="s">
        <v>36</v>
      </c>
      <c r="I870" t="s">
        <v>19</v>
      </c>
      <c r="J870" t="s">
        <v>37</v>
      </c>
      <c r="K870">
        <v>0</v>
      </c>
      <c r="L870">
        <v>2</v>
      </c>
      <c r="M870">
        <v>8.31</v>
      </c>
      <c r="N870">
        <v>1</v>
      </c>
      <c r="O870" t="str">
        <f>IF(financial_fraud_data[[#This Row],[Risk_Score]]&gt;8,"High",IF(financial_fraud_data[[#This Row],[Risk_Score]]&gt;5,"Med","Low"))</f>
        <v>High</v>
      </c>
      <c r="P870" t="str">
        <f>TEXT(financial_fraud_data[[#This Row],[Transaction_Date]],"MMM")</f>
        <v>Feb</v>
      </c>
      <c r="Q870" t="str">
        <f>IF(financial_fraud_data[[#This Row],[Is_Fraud]]=1,"Yes","No")</f>
        <v>Yes</v>
      </c>
    </row>
    <row r="871" spans="1:17" x14ac:dyDescent="0.2">
      <c r="A871" t="s">
        <v>1321</v>
      </c>
      <c r="B871" t="s">
        <v>917</v>
      </c>
      <c r="C871" s="1">
        <v>45328.208333333336</v>
      </c>
      <c r="D871">
        <v>47308.47</v>
      </c>
      <c r="E871" t="s">
        <v>34</v>
      </c>
      <c r="F871" t="s">
        <v>47</v>
      </c>
      <c r="G871" t="s">
        <v>18</v>
      </c>
      <c r="H871" t="s">
        <v>23</v>
      </c>
      <c r="I871" t="s">
        <v>23</v>
      </c>
      <c r="J871" t="s">
        <v>51</v>
      </c>
      <c r="K871">
        <v>0</v>
      </c>
      <c r="L871">
        <v>3</v>
      </c>
      <c r="M871">
        <v>9.23</v>
      </c>
      <c r="N871">
        <v>1</v>
      </c>
      <c r="O871" t="str">
        <f>IF(financial_fraud_data[[#This Row],[Risk_Score]]&gt;8,"High",IF(financial_fraud_data[[#This Row],[Risk_Score]]&gt;5,"Med","Low"))</f>
        <v>High</v>
      </c>
      <c r="P871" t="str">
        <f>TEXT(financial_fraud_data[[#This Row],[Transaction_Date]],"MMM")</f>
        <v>Feb</v>
      </c>
      <c r="Q871" t="str">
        <f>IF(financial_fraud_data[[#This Row],[Is_Fraud]]=1,"Yes","No")</f>
        <v>Yes</v>
      </c>
    </row>
    <row r="872" spans="1:17" x14ac:dyDescent="0.2">
      <c r="A872" t="s">
        <v>1322</v>
      </c>
      <c r="B872" t="s">
        <v>896</v>
      </c>
      <c r="C872" s="1">
        <v>45328.25</v>
      </c>
      <c r="D872">
        <v>18696.8</v>
      </c>
      <c r="E872" t="s">
        <v>16</v>
      </c>
      <c r="F872" t="s">
        <v>27</v>
      </c>
      <c r="G872" t="s">
        <v>28</v>
      </c>
      <c r="H872" t="s">
        <v>23</v>
      </c>
      <c r="I872" t="s">
        <v>24</v>
      </c>
      <c r="J872" t="s">
        <v>37</v>
      </c>
      <c r="K872">
        <v>1</v>
      </c>
      <c r="L872">
        <v>4</v>
      </c>
      <c r="M872">
        <v>10.87</v>
      </c>
      <c r="N872">
        <v>1</v>
      </c>
      <c r="O872" t="str">
        <f>IF(financial_fraud_data[[#This Row],[Risk_Score]]&gt;8,"High",IF(financial_fraud_data[[#This Row],[Risk_Score]]&gt;5,"Med","Low"))</f>
        <v>High</v>
      </c>
      <c r="P872" t="str">
        <f>TEXT(financial_fraud_data[[#This Row],[Transaction_Date]],"MMM")</f>
        <v>Feb</v>
      </c>
      <c r="Q872" t="str">
        <f>IF(financial_fraud_data[[#This Row],[Is_Fraud]]=1,"Yes","No")</f>
        <v>Yes</v>
      </c>
    </row>
    <row r="873" spans="1:17" x14ac:dyDescent="0.2">
      <c r="A873" t="s">
        <v>1323</v>
      </c>
      <c r="B873" t="s">
        <v>425</v>
      </c>
      <c r="C873" s="1">
        <v>45328.291666666664</v>
      </c>
      <c r="D873">
        <v>13573.7</v>
      </c>
      <c r="E873" t="s">
        <v>80</v>
      </c>
      <c r="F873" t="s">
        <v>17</v>
      </c>
      <c r="G873" t="s">
        <v>28</v>
      </c>
      <c r="H873" t="s">
        <v>29</v>
      </c>
      <c r="I873" t="s">
        <v>29</v>
      </c>
      <c r="J873" t="s">
        <v>20</v>
      </c>
      <c r="K873">
        <v>0</v>
      </c>
      <c r="L873">
        <v>4</v>
      </c>
      <c r="M873">
        <v>7.36</v>
      </c>
      <c r="N873">
        <v>1</v>
      </c>
      <c r="O873" t="str">
        <f>IF(financial_fraud_data[[#This Row],[Risk_Score]]&gt;8,"High",IF(financial_fraud_data[[#This Row],[Risk_Score]]&gt;5,"Med","Low"))</f>
        <v>Med</v>
      </c>
      <c r="P873" t="str">
        <f>TEXT(financial_fraud_data[[#This Row],[Transaction_Date]],"MMM")</f>
        <v>Feb</v>
      </c>
      <c r="Q873" t="str">
        <f>IF(financial_fraud_data[[#This Row],[Is_Fraud]]=1,"Yes","No")</f>
        <v>Yes</v>
      </c>
    </row>
    <row r="874" spans="1:17" x14ac:dyDescent="0.2">
      <c r="A874" t="s">
        <v>1324</v>
      </c>
      <c r="B874" t="s">
        <v>1034</v>
      </c>
      <c r="C874" s="1">
        <v>45328.333333333336</v>
      </c>
      <c r="D874">
        <v>32217.78</v>
      </c>
      <c r="E874" t="s">
        <v>16</v>
      </c>
      <c r="F874" t="s">
        <v>27</v>
      </c>
      <c r="G874" t="s">
        <v>18</v>
      </c>
      <c r="H874" t="s">
        <v>29</v>
      </c>
      <c r="I874" t="s">
        <v>36</v>
      </c>
      <c r="J874" t="s">
        <v>51</v>
      </c>
      <c r="K874">
        <v>0</v>
      </c>
      <c r="L874">
        <v>3</v>
      </c>
      <c r="M874">
        <v>8.7200000000000006</v>
      </c>
      <c r="N874">
        <v>1</v>
      </c>
      <c r="O874" t="str">
        <f>IF(financial_fraud_data[[#This Row],[Risk_Score]]&gt;8,"High",IF(financial_fraud_data[[#This Row],[Risk_Score]]&gt;5,"Med","Low"))</f>
        <v>High</v>
      </c>
      <c r="P874" t="str">
        <f>TEXT(financial_fraud_data[[#This Row],[Transaction_Date]],"MMM")</f>
        <v>Feb</v>
      </c>
      <c r="Q874" t="str">
        <f>IF(financial_fraud_data[[#This Row],[Is_Fraud]]=1,"Yes","No")</f>
        <v>Yes</v>
      </c>
    </row>
    <row r="875" spans="1:17" x14ac:dyDescent="0.2">
      <c r="A875" t="s">
        <v>1325</v>
      </c>
      <c r="B875" t="s">
        <v>736</v>
      </c>
      <c r="C875" s="1">
        <v>45328.375</v>
      </c>
      <c r="D875">
        <v>20466.27</v>
      </c>
      <c r="E875" t="s">
        <v>80</v>
      </c>
      <c r="F875" t="s">
        <v>47</v>
      </c>
      <c r="G875" t="s">
        <v>65</v>
      </c>
      <c r="H875" t="s">
        <v>19</v>
      </c>
      <c r="I875" t="s">
        <v>36</v>
      </c>
      <c r="J875" t="s">
        <v>37</v>
      </c>
      <c r="K875">
        <v>0</v>
      </c>
      <c r="L875">
        <v>4</v>
      </c>
      <c r="M875">
        <v>9.0500000000000007</v>
      </c>
      <c r="N875">
        <v>1</v>
      </c>
      <c r="O875" t="str">
        <f>IF(financial_fraud_data[[#This Row],[Risk_Score]]&gt;8,"High",IF(financial_fraud_data[[#This Row],[Risk_Score]]&gt;5,"Med","Low"))</f>
        <v>High</v>
      </c>
      <c r="P875" t="str">
        <f>TEXT(financial_fraud_data[[#This Row],[Transaction_Date]],"MMM")</f>
        <v>Feb</v>
      </c>
      <c r="Q875" t="str">
        <f>IF(financial_fraud_data[[#This Row],[Is_Fraud]]=1,"Yes","No")</f>
        <v>Yes</v>
      </c>
    </row>
    <row r="876" spans="1:17" x14ac:dyDescent="0.2">
      <c r="A876" t="s">
        <v>1326</v>
      </c>
      <c r="B876" t="s">
        <v>100</v>
      </c>
      <c r="C876" s="1">
        <v>45328.416666666664</v>
      </c>
      <c r="D876">
        <v>1318.05</v>
      </c>
      <c r="E876" t="s">
        <v>42</v>
      </c>
      <c r="F876" t="s">
        <v>27</v>
      </c>
      <c r="G876" t="s">
        <v>18</v>
      </c>
      <c r="H876" t="s">
        <v>19</v>
      </c>
      <c r="I876" t="s">
        <v>23</v>
      </c>
      <c r="J876" t="s">
        <v>51</v>
      </c>
      <c r="K876">
        <v>0</v>
      </c>
      <c r="L876">
        <v>0</v>
      </c>
      <c r="M876">
        <v>1.1299999999999999</v>
      </c>
      <c r="N876">
        <v>0</v>
      </c>
      <c r="O876" t="str">
        <f>IF(financial_fraud_data[[#This Row],[Risk_Score]]&gt;8,"High",IF(financial_fraud_data[[#This Row],[Risk_Score]]&gt;5,"Med","Low"))</f>
        <v>Low</v>
      </c>
      <c r="P876" t="str">
        <f>TEXT(financial_fraud_data[[#This Row],[Transaction_Date]],"MMM")</f>
        <v>Feb</v>
      </c>
      <c r="Q876" t="str">
        <f>IF(financial_fraud_data[[#This Row],[Is_Fraud]]=1,"Yes","No")</f>
        <v>No</v>
      </c>
    </row>
    <row r="877" spans="1:17" x14ac:dyDescent="0.2">
      <c r="A877" t="s">
        <v>1327</v>
      </c>
      <c r="B877" t="s">
        <v>191</v>
      </c>
      <c r="C877" s="1">
        <v>45328.458333333336</v>
      </c>
      <c r="D877">
        <v>7849.82</v>
      </c>
      <c r="E877" t="s">
        <v>42</v>
      </c>
      <c r="F877" t="s">
        <v>17</v>
      </c>
      <c r="G877" t="s">
        <v>65</v>
      </c>
      <c r="H877" t="s">
        <v>19</v>
      </c>
      <c r="I877" t="s">
        <v>23</v>
      </c>
      <c r="J877" t="s">
        <v>37</v>
      </c>
      <c r="K877">
        <v>0</v>
      </c>
      <c r="L877">
        <v>2</v>
      </c>
      <c r="M877">
        <v>4.78</v>
      </c>
      <c r="N877">
        <v>0</v>
      </c>
      <c r="O877" t="str">
        <f>IF(financial_fraud_data[[#This Row],[Risk_Score]]&gt;8,"High",IF(financial_fraud_data[[#This Row],[Risk_Score]]&gt;5,"Med","Low"))</f>
        <v>Low</v>
      </c>
      <c r="P877" t="str">
        <f>TEXT(financial_fraud_data[[#This Row],[Transaction_Date]],"MMM")</f>
        <v>Feb</v>
      </c>
      <c r="Q877" t="str">
        <f>IF(financial_fraud_data[[#This Row],[Is_Fraud]]=1,"Yes","No")</f>
        <v>No</v>
      </c>
    </row>
    <row r="878" spans="1:17" x14ac:dyDescent="0.2">
      <c r="A878" t="s">
        <v>1328</v>
      </c>
      <c r="B878" t="s">
        <v>142</v>
      </c>
      <c r="C878" s="1">
        <v>45328.5</v>
      </c>
      <c r="D878">
        <v>35812.81</v>
      </c>
      <c r="E878" t="s">
        <v>16</v>
      </c>
      <c r="F878" t="s">
        <v>17</v>
      </c>
      <c r="G878" t="s">
        <v>56</v>
      </c>
      <c r="H878" t="s">
        <v>23</v>
      </c>
      <c r="I878" t="s">
        <v>24</v>
      </c>
      <c r="J878" t="s">
        <v>37</v>
      </c>
      <c r="K878">
        <v>1</v>
      </c>
      <c r="L878">
        <v>2</v>
      </c>
      <c r="M878">
        <v>9.58</v>
      </c>
      <c r="N878">
        <v>1</v>
      </c>
      <c r="O878" t="str">
        <f>IF(financial_fraud_data[[#This Row],[Risk_Score]]&gt;8,"High",IF(financial_fraud_data[[#This Row],[Risk_Score]]&gt;5,"Med","Low"))</f>
        <v>High</v>
      </c>
      <c r="P878" t="str">
        <f>TEXT(financial_fraud_data[[#This Row],[Transaction_Date]],"MMM")</f>
        <v>Feb</v>
      </c>
      <c r="Q878" t="str">
        <f>IF(financial_fraud_data[[#This Row],[Is_Fraud]]=1,"Yes","No")</f>
        <v>Yes</v>
      </c>
    </row>
    <row r="879" spans="1:17" x14ac:dyDescent="0.2">
      <c r="A879" t="s">
        <v>1329</v>
      </c>
      <c r="B879" t="s">
        <v>896</v>
      </c>
      <c r="C879" s="1">
        <v>45328.541666666664</v>
      </c>
      <c r="D879">
        <v>32963.25</v>
      </c>
      <c r="E879" t="s">
        <v>34</v>
      </c>
      <c r="F879" t="s">
        <v>17</v>
      </c>
      <c r="G879" t="s">
        <v>18</v>
      </c>
      <c r="H879" t="s">
        <v>36</v>
      </c>
      <c r="I879" t="s">
        <v>19</v>
      </c>
      <c r="J879" t="s">
        <v>37</v>
      </c>
      <c r="K879">
        <v>0</v>
      </c>
      <c r="L879">
        <v>2</v>
      </c>
      <c r="M879">
        <v>7.3</v>
      </c>
      <c r="N879">
        <v>1</v>
      </c>
      <c r="O879" t="str">
        <f>IF(financial_fraud_data[[#This Row],[Risk_Score]]&gt;8,"High",IF(financial_fraud_data[[#This Row],[Risk_Score]]&gt;5,"Med","Low"))</f>
        <v>Med</v>
      </c>
      <c r="P879" t="str">
        <f>TEXT(financial_fraud_data[[#This Row],[Transaction_Date]],"MMM")</f>
        <v>Feb</v>
      </c>
      <c r="Q879" t="str">
        <f>IF(financial_fraud_data[[#This Row],[Is_Fraud]]=1,"Yes","No")</f>
        <v>Yes</v>
      </c>
    </row>
    <row r="880" spans="1:17" x14ac:dyDescent="0.2">
      <c r="A880" t="s">
        <v>1330</v>
      </c>
      <c r="B880" t="s">
        <v>844</v>
      </c>
      <c r="C880" s="1">
        <v>45328.583333333336</v>
      </c>
      <c r="D880">
        <v>1403.44</v>
      </c>
      <c r="E880" t="s">
        <v>80</v>
      </c>
      <c r="F880" t="s">
        <v>47</v>
      </c>
      <c r="G880" t="s">
        <v>65</v>
      </c>
      <c r="H880" t="s">
        <v>19</v>
      </c>
      <c r="I880" t="s">
        <v>29</v>
      </c>
      <c r="J880" t="s">
        <v>51</v>
      </c>
      <c r="K880">
        <v>0</v>
      </c>
      <c r="L880">
        <v>1</v>
      </c>
      <c r="M880">
        <v>2.64</v>
      </c>
      <c r="N880">
        <v>0</v>
      </c>
      <c r="O880" t="str">
        <f>IF(financial_fraud_data[[#This Row],[Risk_Score]]&gt;8,"High",IF(financial_fraud_data[[#This Row],[Risk_Score]]&gt;5,"Med","Low"))</f>
        <v>Low</v>
      </c>
      <c r="P880" t="str">
        <f>TEXT(financial_fraud_data[[#This Row],[Transaction_Date]],"MMM")</f>
        <v>Feb</v>
      </c>
      <c r="Q880" t="str">
        <f>IF(financial_fraud_data[[#This Row],[Is_Fraud]]=1,"Yes","No")</f>
        <v>No</v>
      </c>
    </row>
    <row r="881" spans="1:17" x14ac:dyDescent="0.2">
      <c r="A881" t="s">
        <v>1331</v>
      </c>
      <c r="B881" t="s">
        <v>606</v>
      </c>
      <c r="C881" s="1">
        <v>45328.625</v>
      </c>
      <c r="D881">
        <v>11137.51</v>
      </c>
      <c r="E881" t="s">
        <v>80</v>
      </c>
      <c r="F881" t="s">
        <v>17</v>
      </c>
      <c r="G881" t="s">
        <v>56</v>
      </c>
      <c r="H881" t="s">
        <v>19</v>
      </c>
      <c r="I881" t="s">
        <v>36</v>
      </c>
      <c r="J881" t="s">
        <v>37</v>
      </c>
      <c r="K881">
        <v>0</v>
      </c>
      <c r="L881">
        <v>0</v>
      </c>
      <c r="M881">
        <v>2.11</v>
      </c>
      <c r="N881">
        <v>0</v>
      </c>
      <c r="O881" t="str">
        <f>IF(financial_fraud_data[[#This Row],[Risk_Score]]&gt;8,"High",IF(financial_fraud_data[[#This Row],[Risk_Score]]&gt;5,"Med","Low"))</f>
        <v>Low</v>
      </c>
      <c r="P881" t="str">
        <f>TEXT(financial_fraud_data[[#This Row],[Transaction_Date]],"MMM")</f>
        <v>Feb</v>
      </c>
      <c r="Q881" t="str">
        <f>IF(financial_fraud_data[[#This Row],[Is_Fraud]]=1,"Yes","No")</f>
        <v>No</v>
      </c>
    </row>
    <row r="882" spans="1:17" x14ac:dyDescent="0.2">
      <c r="A882" t="s">
        <v>1332</v>
      </c>
      <c r="B882" t="s">
        <v>885</v>
      </c>
      <c r="C882" s="1">
        <v>45328.666666666664</v>
      </c>
      <c r="D882">
        <v>11592.19</v>
      </c>
      <c r="E882" t="s">
        <v>42</v>
      </c>
      <c r="F882" t="s">
        <v>47</v>
      </c>
      <c r="G882" t="s">
        <v>18</v>
      </c>
      <c r="H882" t="s">
        <v>23</v>
      </c>
      <c r="I882" t="s">
        <v>23</v>
      </c>
      <c r="J882" t="s">
        <v>20</v>
      </c>
      <c r="K882">
        <v>0</v>
      </c>
      <c r="L882">
        <v>0</v>
      </c>
      <c r="M882">
        <v>1.1599999999999999</v>
      </c>
      <c r="N882">
        <v>0</v>
      </c>
      <c r="O882" t="str">
        <f>IF(financial_fraud_data[[#This Row],[Risk_Score]]&gt;8,"High",IF(financial_fraud_data[[#This Row],[Risk_Score]]&gt;5,"Med","Low"))</f>
        <v>Low</v>
      </c>
      <c r="P882" t="str">
        <f>TEXT(financial_fraud_data[[#This Row],[Transaction_Date]],"MMM")</f>
        <v>Feb</v>
      </c>
      <c r="Q882" t="str">
        <f>IF(financial_fraud_data[[#This Row],[Is_Fraud]]=1,"Yes","No")</f>
        <v>No</v>
      </c>
    </row>
    <row r="883" spans="1:17" x14ac:dyDescent="0.2">
      <c r="A883" t="s">
        <v>1333</v>
      </c>
      <c r="B883" t="s">
        <v>618</v>
      </c>
      <c r="C883" s="1">
        <v>45328.708333333336</v>
      </c>
      <c r="D883">
        <v>33611.040000000001</v>
      </c>
      <c r="E883" t="s">
        <v>42</v>
      </c>
      <c r="F883" t="s">
        <v>27</v>
      </c>
      <c r="G883" t="s">
        <v>28</v>
      </c>
      <c r="H883" t="s">
        <v>23</v>
      </c>
      <c r="I883" t="s">
        <v>29</v>
      </c>
      <c r="J883" t="s">
        <v>51</v>
      </c>
      <c r="K883">
        <v>0</v>
      </c>
      <c r="L883">
        <v>3</v>
      </c>
      <c r="M883">
        <v>8.86</v>
      </c>
      <c r="N883">
        <v>1</v>
      </c>
      <c r="O883" t="str">
        <f>IF(financial_fraud_data[[#This Row],[Risk_Score]]&gt;8,"High",IF(financial_fraud_data[[#This Row],[Risk_Score]]&gt;5,"Med","Low"))</f>
        <v>High</v>
      </c>
      <c r="P883" t="str">
        <f>TEXT(financial_fraud_data[[#This Row],[Transaction_Date]],"MMM")</f>
        <v>Feb</v>
      </c>
      <c r="Q883" t="str">
        <f>IF(financial_fraud_data[[#This Row],[Is_Fraud]]=1,"Yes","No")</f>
        <v>Yes</v>
      </c>
    </row>
    <row r="884" spans="1:17" x14ac:dyDescent="0.2">
      <c r="A884" t="s">
        <v>1334</v>
      </c>
      <c r="B884" t="s">
        <v>178</v>
      </c>
      <c r="C884" s="1">
        <v>45328.75</v>
      </c>
      <c r="D884">
        <v>1034.54</v>
      </c>
      <c r="E884" t="s">
        <v>34</v>
      </c>
      <c r="F884" t="s">
        <v>17</v>
      </c>
      <c r="G884" t="s">
        <v>18</v>
      </c>
      <c r="H884" t="s">
        <v>23</v>
      </c>
      <c r="I884" t="s">
        <v>19</v>
      </c>
      <c r="J884" t="s">
        <v>20</v>
      </c>
      <c r="K884">
        <v>1</v>
      </c>
      <c r="L884">
        <v>1</v>
      </c>
      <c r="M884">
        <v>4.5999999999999996</v>
      </c>
      <c r="N884">
        <v>0</v>
      </c>
      <c r="O884" t="str">
        <f>IF(financial_fraud_data[[#This Row],[Risk_Score]]&gt;8,"High",IF(financial_fraud_data[[#This Row],[Risk_Score]]&gt;5,"Med","Low"))</f>
        <v>Low</v>
      </c>
      <c r="P884" t="str">
        <f>TEXT(financial_fraud_data[[#This Row],[Transaction_Date]],"MMM")</f>
        <v>Feb</v>
      </c>
      <c r="Q884" t="str">
        <f>IF(financial_fraud_data[[#This Row],[Is_Fraud]]=1,"Yes","No")</f>
        <v>No</v>
      </c>
    </row>
    <row r="885" spans="1:17" x14ac:dyDescent="0.2">
      <c r="A885" t="s">
        <v>1335</v>
      </c>
      <c r="B885" t="s">
        <v>1336</v>
      </c>
      <c r="C885" s="1">
        <v>45328.791666666664</v>
      </c>
      <c r="D885">
        <v>5250.22</v>
      </c>
      <c r="E885" t="s">
        <v>34</v>
      </c>
      <c r="F885" t="s">
        <v>27</v>
      </c>
      <c r="G885" t="s">
        <v>35</v>
      </c>
      <c r="H885" t="s">
        <v>36</v>
      </c>
      <c r="I885" t="s">
        <v>36</v>
      </c>
      <c r="J885" t="s">
        <v>20</v>
      </c>
      <c r="K885">
        <v>0</v>
      </c>
      <c r="L885">
        <v>4</v>
      </c>
      <c r="M885">
        <v>6.53</v>
      </c>
      <c r="N885">
        <v>1</v>
      </c>
      <c r="O885" t="str">
        <f>IF(financial_fraud_data[[#This Row],[Risk_Score]]&gt;8,"High",IF(financial_fraud_data[[#This Row],[Risk_Score]]&gt;5,"Med","Low"))</f>
        <v>Med</v>
      </c>
      <c r="P885" t="str">
        <f>TEXT(financial_fraud_data[[#This Row],[Transaction_Date]],"MMM")</f>
        <v>Feb</v>
      </c>
      <c r="Q885" t="str">
        <f>IF(financial_fraud_data[[#This Row],[Is_Fraud]]=1,"Yes","No")</f>
        <v>Yes</v>
      </c>
    </row>
    <row r="886" spans="1:17" x14ac:dyDescent="0.2">
      <c r="A886" t="s">
        <v>1337</v>
      </c>
      <c r="B886" t="s">
        <v>1168</v>
      </c>
      <c r="C886" s="1">
        <v>45328.833333333336</v>
      </c>
      <c r="D886">
        <v>40005.81</v>
      </c>
      <c r="E886" t="s">
        <v>34</v>
      </c>
      <c r="F886" t="s">
        <v>50</v>
      </c>
      <c r="G886" t="s">
        <v>18</v>
      </c>
      <c r="H886" t="s">
        <v>19</v>
      </c>
      <c r="I886" t="s">
        <v>36</v>
      </c>
      <c r="J886" t="s">
        <v>51</v>
      </c>
      <c r="K886">
        <v>0</v>
      </c>
      <c r="L886">
        <v>0</v>
      </c>
      <c r="M886">
        <v>5</v>
      </c>
      <c r="N886">
        <v>0</v>
      </c>
      <c r="O886" t="str">
        <f>IF(financial_fraud_data[[#This Row],[Risk_Score]]&gt;8,"High",IF(financial_fraud_data[[#This Row],[Risk_Score]]&gt;5,"Med","Low"))</f>
        <v>Low</v>
      </c>
      <c r="P886" t="str">
        <f>TEXT(financial_fraud_data[[#This Row],[Transaction_Date]],"MMM")</f>
        <v>Feb</v>
      </c>
      <c r="Q886" t="str">
        <f>IF(financial_fraud_data[[#This Row],[Is_Fraud]]=1,"Yes","No")</f>
        <v>No</v>
      </c>
    </row>
    <row r="887" spans="1:17" x14ac:dyDescent="0.2">
      <c r="A887" t="s">
        <v>1338</v>
      </c>
      <c r="B887" t="s">
        <v>219</v>
      </c>
      <c r="C887" s="1">
        <v>45328.875</v>
      </c>
      <c r="D887">
        <v>8968.31</v>
      </c>
      <c r="E887" t="s">
        <v>16</v>
      </c>
      <c r="F887" t="s">
        <v>27</v>
      </c>
      <c r="G887" t="s">
        <v>35</v>
      </c>
      <c r="H887" t="s">
        <v>24</v>
      </c>
      <c r="I887" t="s">
        <v>19</v>
      </c>
      <c r="J887" t="s">
        <v>37</v>
      </c>
      <c r="K887">
        <v>0</v>
      </c>
      <c r="L887">
        <v>1</v>
      </c>
      <c r="M887">
        <v>3.4</v>
      </c>
      <c r="N887">
        <v>0</v>
      </c>
      <c r="O887" t="str">
        <f>IF(financial_fraud_data[[#This Row],[Risk_Score]]&gt;8,"High",IF(financial_fraud_data[[#This Row],[Risk_Score]]&gt;5,"Med","Low"))</f>
        <v>Low</v>
      </c>
      <c r="P887" t="str">
        <f>TEXT(financial_fraud_data[[#This Row],[Transaction_Date]],"MMM")</f>
        <v>Feb</v>
      </c>
      <c r="Q887" t="str">
        <f>IF(financial_fraud_data[[#This Row],[Is_Fraud]]=1,"Yes","No")</f>
        <v>No</v>
      </c>
    </row>
    <row r="888" spans="1:17" x14ac:dyDescent="0.2">
      <c r="A888" t="s">
        <v>1339</v>
      </c>
      <c r="B888" t="s">
        <v>268</v>
      </c>
      <c r="C888" s="1">
        <v>45328.916666666664</v>
      </c>
      <c r="D888">
        <v>32654.67</v>
      </c>
      <c r="E888" t="s">
        <v>42</v>
      </c>
      <c r="F888" t="s">
        <v>50</v>
      </c>
      <c r="G888" t="s">
        <v>56</v>
      </c>
      <c r="H888" t="s">
        <v>24</v>
      </c>
      <c r="I888" t="s">
        <v>36</v>
      </c>
      <c r="J888" t="s">
        <v>20</v>
      </c>
      <c r="K888">
        <v>0</v>
      </c>
      <c r="L888">
        <v>1</v>
      </c>
      <c r="M888">
        <v>5.77</v>
      </c>
      <c r="N888">
        <v>1</v>
      </c>
      <c r="O888" t="str">
        <f>IF(financial_fraud_data[[#This Row],[Risk_Score]]&gt;8,"High",IF(financial_fraud_data[[#This Row],[Risk_Score]]&gt;5,"Med","Low"))</f>
        <v>Med</v>
      </c>
      <c r="P888" t="str">
        <f>TEXT(financial_fraud_data[[#This Row],[Transaction_Date]],"MMM")</f>
        <v>Feb</v>
      </c>
      <c r="Q888" t="str">
        <f>IF(financial_fraud_data[[#This Row],[Is_Fraud]]=1,"Yes","No")</f>
        <v>Yes</v>
      </c>
    </row>
    <row r="889" spans="1:17" x14ac:dyDescent="0.2">
      <c r="A889" t="s">
        <v>1340</v>
      </c>
      <c r="B889" t="s">
        <v>1341</v>
      </c>
      <c r="C889" s="1">
        <v>45328.958333333336</v>
      </c>
      <c r="D889">
        <v>11947.23</v>
      </c>
      <c r="E889" t="s">
        <v>16</v>
      </c>
      <c r="F889" t="s">
        <v>27</v>
      </c>
      <c r="G889" t="s">
        <v>18</v>
      </c>
      <c r="H889" t="s">
        <v>19</v>
      </c>
      <c r="I889" t="s">
        <v>19</v>
      </c>
      <c r="J889" t="s">
        <v>51</v>
      </c>
      <c r="K889">
        <v>0</v>
      </c>
      <c r="L889">
        <v>0</v>
      </c>
      <c r="M889">
        <v>1.19</v>
      </c>
      <c r="N889">
        <v>0</v>
      </c>
      <c r="O889" t="str">
        <f>IF(financial_fraud_data[[#This Row],[Risk_Score]]&gt;8,"High",IF(financial_fraud_data[[#This Row],[Risk_Score]]&gt;5,"Med","Low"))</f>
        <v>Low</v>
      </c>
      <c r="P889" t="str">
        <f>TEXT(financial_fraud_data[[#This Row],[Transaction_Date]],"MMM")</f>
        <v>Feb</v>
      </c>
      <c r="Q889" t="str">
        <f>IF(financial_fraud_data[[#This Row],[Is_Fraud]]=1,"Yes","No")</f>
        <v>No</v>
      </c>
    </row>
    <row r="890" spans="1:17" x14ac:dyDescent="0.2">
      <c r="A890" t="s">
        <v>1342</v>
      </c>
      <c r="B890" t="s">
        <v>953</v>
      </c>
      <c r="C890" s="1">
        <v>45329</v>
      </c>
      <c r="D890">
        <v>5017.1000000000004</v>
      </c>
      <c r="E890" t="s">
        <v>42</v>
      </c>
      <c r="F890" t="s">
        <v>47</v>
      </c>
      <c r="G890" t="s">
        <v>56</v>
      </c>
      <c r="H890" t="s">
        <v>19</v>
      </c>
      <c r="I890" t="s">
        <v>36</v>
      </c>
      <c r="J890" t="s">
        <v>37</v>
      </c>
      <c r="K890">
        <v>1</v>
      </c>
      <c r="L890">
        <v>3</v>
      </c>
      <c r="M890">
        <v>8</v>
      </c>
      <c r="N890">
        <v>1</v>
      </c>
      <c r="O890" t="str">
        <f>IF(financial_fraud_data[[#This Row],[Risk_Score]]&gt;8,"High",IF(financial_fraud_data[[#This Row],[Risk_Score]]&gt;5,"Med","Low"))</f>
        <v>Med</v>
      </c>
      <c r="P890" t="str">
        <f>TEXT(financial_fraud_data[[#This Row],[Transaction_Date]],"MMM")</f>
        <v>Feb</v>
      </c>
      <c r="Q890" t="str">
        <f>IF(financial_fraud_data[[#This Row],[Is_Fraud]]=1,"Yes","No")</f>
        <v>Yes</v>
      </c>
    </row>
    <row r="891" spans="1:17" x14ac:dyDescent="0.2">
      <c r="A891" t="s">
        <v>1343</v>
      </c>
      <c r="B891" t="s">
        <v>562</v>
      </c>
      <c r="C891" s="1">
        <v>45329.041666666664</v>
      </c>
      <c r="D891">
        <v>12196.45</v>
      </c>
      <c r="E891" t="s">
        <v>42</v>
      </c>
      <c r="F891" t="s">
        <v>27</v>
      </c>
      <c r="G891" t="s">
        <v>56</v>
      </c>
      <c r="H891" t="s">
        <v>19</v>
      </c>
      <c r="I891" t="s">
        <v>24</v>
      </c>
      <c r="J891" t="s">
        <v>51</v>
      </c>
      <c r="K891">
        <v>0</v>
      </c>
      <c r="L891">
        <v>1</v>
      </c>
      <c r="M891">
        <v>3.72</v>
      </c>
      <c r="N891">
        <v>0</v>
      </c>
      <c r="O891" t="str">
        <f>IF(financial_fraud_data[[#This Row],[Risk_Score]]&gt;8,"High",IF(financial_fraud_data[[#This Row],[Risk_Score]]&gt;5,"Med","Low"))</f>
        <v>Low</v>
      </c>
      <c r="P891" t="str">
        <f>TEXT(financial_fraud_data[[#This Row],[Transaction_Date]],"MMM")</f>
        <v>Feb</v>
      </c>
      <c r="Q891" t="str">
        <f>IF(financial_fraud_data[[#This Row],[Is_Fraud]]=1,"Yes","No")</f>
        <v>No</v>
      </c>
    </row>
    <row r="892" spans="1:17" x14ac:dyDescent="0.2">
      <c r="A892" t="s">
        <v>1344</v>
      </c>
      <c r="B892" t="s">
        <v>1345</v>
      </c>
      <c r="C892" s="1">
        <v>45329.083333333336</v>
      </c>
      <c r="D892">
        <v>36127.230000000003</v>
      </c>
      <c r="E892" t="s">
        <v>80</v>
      </c>
      <c r="F892" t="s">
        <v>47</v>
      </c>
      <c r="G892" t="s">
        <v>65</v>
      </c>
      <c r="H892" t="s">
        <v>19</v>
      </c>
      <c r="I892" t="s">
        <v>19</v>
      </c>
      <c r="J892" t="s">
        <v>51</v>
      </c>
      <c r="K892">
        <v>1</v>
      </c>
      <c r="L892">
        <v>2</v>
      </c>
      <c r="M892">
        <v>8.61</v>
      </c>
      <c r="N892">
        <v>1</v>
      </c>
      <c r="O892" t="str">
        <f>IF(financial_fraud_data[[#This Row],[Risk_Score]]&gt;8,"High",IF(financial_fraud_data[[#This Row],[Risk_Score]]&gt;5,"Med","Low"))</f>
        <v>High</v>
      </c>
      <c r="P892" t="str">
        <f>TEXT(financial_fraud_data[[#This Row],[Transaction_Date]],"MMM")</f>
        <v>Feb</v>
      </c>
      <c r="Q892" t="str">
        <f>IF(financial_fraud_data[[#This Row],[Is_Fraud]]=1,"Yes","No")</f>
        <v>Yes</v>
      </c>
    </row>
    <row r="893" spans="1:17" x14ac:dyDescent="0.2">
      <c r="A893" t="s">
        <v>1346</v>
      </c>
      <c r="B893" t="s">
        <v>570</v>
      </c>
      <c r="C893" s="1">
        <v>45329.125</v>
      </c>
      <c r="D893">
        <v>42792.04</v>
      </c>
      <c r="E893" t="s">
        <v>42</v>
      </c>
      <c r="F893" t="s">
        <v>47</v>
      </c>
      <c r="G893" t="s">
        <v>56</v>
      </c>
      <c r="H893" t="s">
        <v>36</v>
      </c>
      <c r="I893" t="s">
        <v>29</v>
      </c>
      <c r="J893" t="s">
        <v>51</v>
      </c>
      <c r="K893">
        <v>0</v>
      </c>
      <c r="L893">
        <v>1</v>
      </c>
      <c r="M893">
        <v>6.78</v>
      </c>
      <c r="N893">
        <v>1</v>
      </c>
      <c r="O893" t="str">
        <f>IF(financial_fraud_data[[#This Row],[Risk_Score]]&gt;8,"High",IF(financial_fraud_data[[#This Row],[Risk_Score]]&gt;5,"Med","Low"))</f>
        <v>Med</v>
      </c>
      <c r="P893" t="str">
        <f>TEXT(financial_fraud_data[[#This Row],[Transaction_Date]],"MMM")</f>
        <v>Feb</v>
      </c>
      <c r="Q893" t="str">
        <f>IF(financial_fraud_data[[#This Row],[Is_Fraud]]=1,"Yes","No")</f>
        <v>Yes</v>
      </c>
    </row>
    <row r="894" spans="1:17" x14ac:dyDescent="0.2">
      <c r="A894" t="s">
        <v>1347</v>
      </c>
      <c r="B894" t="s">
        <v>108</v>
      </c>
      <c r="C894" s="1">
        <v>45329.166666666664</v>
      </c>
      <c r="D894">
        <v>41519.480000000003</v>
      </c>
      <c r="E894" t="s">
        <v>42</v>
      </c>
      <c r="F894" t="s">
        <v>17</v>
      </c>
      <c r="G894" t="s">
        <v>56</v>
      </c>
      <c r="H894" t="s">
        <v>24</v>
      </c>
      <c r="I894" t="s">
        <v>24</v>
      </c>
      <c r="J894" t="s">
        <v>37</v>
      </c>
      <c r="K894">
        <v>0</v>
      </c>
      <c r="L894">
        <v>4</v>
      </c>
      <c r="M894">
        <v>10.15</v>
      </c>
      <c r="N894">
        <v>1</v>
      </c>
      <c r="O894" t="str">
        <f>IF(financial_fraud_data[[#This Row],[Risk_Score]]&gt;8,"High",IF(financial_fraud_data[[#This Row],[Risk_Score]]&gt;5,"Med","Low"))</f>
        <v>High</v>
      </c>
      <c r="P894" t="str">
        <f>TEXT(financial_fraud_data[[#This Row],[Transaction_Date]],"MMM")</f>
        <v>Feb</v>
      </c>
      <c r="Q894" t="str">
        <f>IF(financial_fraud_data[[#This Row],[Is_Fraud]]=1,"Yes","No")</f>
        <v>Yes</v>
      </c>
    </row>
    <row r="895" spans="1:17" x14ac:dyDescent="0.2">
      <c r="A895" t="s">
        <v>1348</v>
      </c>
      <c r="B895" t="s">
        <v>1349</v>
      </c>
      <c r="C895" s="1">
        <v>45329.208333333336</v>
      </c>
      <c r="D895">
        <v>19889.32</v>
      </c>
      <c r="E895" t="s">
        <v>16</v>
      </c>
      <c r="F895" t="s">
        <v>47</v>
      </c>
      <c r="G895" t="s">
        <v>18</v>
      </c>
      <c r="H895" t="s">
        <v>29</v>
      </c>
      <c r="I895" t="s">
        <v>29</v>
      </c>
      <c r="J895" t="s">
        <v>20</v>
      </c>
      <c r="K895">
        <v>0</v>
      </c>
      <c r="L895">
        <v>0</v>
      </c>
      <c r="M895">
        <v>1.99</v>
      </c>
      <c r="N895">
        <v>0</v>
      </c>
      <c r="O895" t="str">
        <f>IF(financial_fraud_data[[#This Row],[Risk_Score]]&gt;8,"High",IF(financial_fraud_data[[#This Row],[Risk_Score]]&gt;5,"Med","Low"))</f>
        <v>Low</v>
      </c>
      <c r="P895" t="str">
        <f>TEXT(financial_fraud_data[[#This Row],[Transaction_Date]],"MMM")</f>
        <v>Feb</v>
      </c>
      <c r="Q895" t="str">
        <f>IF(financial_fraud_data[[#This Row],[Is_Fraud]]=1,"Yes","No")</f>
        <v>No</v>
      </c>
    </row>
    <row r="896" spans="1:17" x14ac:dyDescent="0.2">
      <c r="A896" t="s">
        <v>1350</v>
      </c>
      <c r="B896" t="s">
        <v>812</v>
      </c>
      <c r="C896" s="1">
        <v>45329.25</v>
      </c>
      <c r="D896">
        <v>33420.85</v>
      </c>
      <c r="E896" t="s">
        <v>42</v>
      </c>
      <c r="F896" t="s">
        <v>50</v>
      </c>
      <c r="G896" t="s">
        <v>18</v>
      </c>
      <c r="H896" t="s">
        <v>24</v>
      </c>
      <c r="I896" t="s">
        <v>36</v>
      </c>
      <c r="J896" t="s">
        <v>20</v>
      </c>
      <c r="K896">
        <v>0</v>
      </c>
      <c r="L896">
        <v>4</v>
      </c>
      <c r="M896">
        <v>10.34</v>
      </c>
      <c r="N896">
        <v>1</v>
      </c>
      <c r="O896" t="str">
        <f>IF(financial_fraud_data[[#This Row],[Risk_Score]]&gt;8,"High",IF(financial_fraud_data[[#This Row],[Risk_Score]]&gt;5,"Med","Low"))</f>
        <v>High</v>
      </c>
      <c r="P896" t="str">
        <f>TEXT(financial_fraud_data[[#This Row],[Transaction_Date]],"MMM")</f>
        <v>Feb</v>
      </c>
      <c r="Q896" t="str">
        <f>IF(financial_fraud_data[[#This Row],[Is_Fraud]]=1,"Yes","No")</f>
        <v>Yes</v>
      </c>
    </row>
    <row r="897" spans="1:17" x14ac:dyDescent="0.2">
      <c r="A897" t="s">
        <v>1351</v>
      </c>
      <c r="B897" t="s">
        <v>1352</v>
      </c>
      <c r="C897" s="1">
        <v>45329.291666666664</v>
      </c>
      <c r="D897">
        <v>10288.969999999999</v>
      </c>
      <c r="E897" t="s">
        <v>16</v>
      </c>
      <c r="F897" t="s">
        <v>17</v>
      </c>
      <c r="G897" t="s">
        <v>28</v>
      </c>
      <c r="H897" t="s">
        <v>24</v>
      </c>
      <c r="I897" t="s">
        <v>29</v>
      </c>
      <c r="J897" t="s">
        <v>51</v>
      </c>
      <c r="K897">
        <v>1</v>
      </c>
      <c r="L897">
        <v>3</v>
      </c>
      <c r="M897">
        <v>8.5299999999999994</v>
      </c>
      <c r="N897">
        <v>1</v>
      </c>
      <c r="O897" t="str">
        <f>IF(financial_fraud_data[[#This Row],[Risk_Score]]&gt;8,"High",IF(financial_fraud_data[[#This Row],[Risk_Score]]&gt;5,"Med","Low"))</f>
        <v>High</v>
      </c>
      <c r="P897" t="str">
        <f>TEXT(financial_fraud_data[[#This Row],[Transaction_Date]],"MMM")</f>
        <v>Feb</v>
      </c>
      <c r="Q897" t="str">
        <f>IF(financial_fraud_data[[#This Row],[Is_Fraud]]=1,"Yes","No")</f>
        <v>Yes</v>
      </c>
    </row>
    <row r="898" spans="1:17" x14ac:dyDescent="0.2">
      <c r="A898" t="s">
        <v>1353</v>
      </c>
      <c r="B898" t="s">
        <v>108</v>
      </c>
      <c r="C898" s="1">
        <v>45329.333333333336</v>
      </c>
      <c r="D898">
        <v>14692.73</v>
      </c>
      <c r="E898" t="s">
        <v>34</v>
      </c>
      <c r="F898" t="s">
        <v>17</v>
      </c>
      <c r="G898" t="s">
        <v>65</v>
      </c>
      <c r="H898" t="s">
        <v>23</v>
      </c>
      <c r="I898" t="s">
        <v>24</v>
      </c>
      <c r="J898" t="s">
        <v>51</v>
      </c>
      <c r="K898">
        <v>0</v>
      </c>
      <c r="L898">
        <v>2</v>
      </c>
      <c r="M898">
        <v>5.47</v>
      </c>
      <c r="N898">
        <v>1</v>
      </c>
      <c r="O898" t="str">
        <f>IF(financial_fraud_data[[#This Row],[Risk_Score]]&gt;8,"High",IF(financial_fraud_data[[#This Row],[Risk_Score]]&gt;5,"Med","Low"))</f>
        <v>Med</v>
      </c>
      <c r="P898" t="str">
        <f>TEXT(financial_fraud_data[[#This Row],[Transaction_Date]],"MMM")</f>
        <v>Feb</v>
      </c>
      <c r="Q898" t="str">
        <f>IF(financial_fraud_data[[#This Row],[Is_Fraud]]=1,"Yes","No")</f>
        <v>Yes</v>
      </c>
    </row>
    <row r="899" spans="1:17" x14ac:dyDescent="0.2">
      <c r="A899" t="s">
        <v>1354</v>
      </c>
      <c r="B899" t="s">
        <v>392</v>
      </c>
      <c r="C899" s="1">
        <v>45329.375</v>
      </c>
      <c r="D899">
        <v>44821.97</v>
      </c>
      <c r="E899" t="s">
        <v>42</v>
      </c>
      <c r="F899" t="s">
        <v>27</v>
      </c>
      <c r="G899" t="s">
        <v>56</v>
      </c>
      <c r="H899" t="s">
        <v>19</v>
      </c>
      <c r="I899" t="s">
        <v>19</v>
      </c>
      <c r="J899" t="s">
        <v>37</v>
      </c>
      <c r="K899">
        <v>0</v>
      </c>
      <c r="L899">
        <v>0</v>
      </c>
      <c r="M899">
        <v>4.4800000000000004</v>
      </c>
      <c r="N899">
        <v>0</v>
      </c>
      <c r="O899" t="str">
        <f>IF(financial_fraud_data[[#This Row],[Risk_Score]]&gt;8,"High",IF(financial_fraud_data[[#This Row],[Risk_Score]]&gt;5,"Med","Low"))</f>
        <v>Low</v>
      </c>
      <c r="P899" t="str">
        <f>TEXT(financial_fraud_data[[#This Row],[Transaction_Date]],"MMM")</f>
        <v>Feb</v>
      </c>
      <c r="Q899" t="str">
        <f>IF(financial_fraud_data[[#This Row],[Is_Fraud]]=1,"Yes","No")</f>
        <v>No</v>
      </c>
    </row>
    <row r="900" spans="1:17" x14ac:dyDescent="0.2">
      <c r="A900" t="s">
        <v>1355</v>
      </c>
      <c r="B900" t="s">
        <v>1237</v>
      </c>
      <c r="C900" s="1">
        <v>45329.416666666664</v>
      </c>
      <c r="D900">
        <v>699.45</v>
      </c>
      <c r="E900" t="s">
        <v>42</v>
      </c>
      <c r="F900" t="s">
        <v>47</v>
      </c>
      <c r="G900" t="s">
        <v>65</v>
      </c>
      <c r="H900" t="s">
        <v>19</v>
      </c>
      <c r="I900" t="s">
        <v>23</v>
      </c>
      <c r="J900" t="s">
        <v>51</v>
      </c>
      <c r="K900">
        <v>0</v>
      </c>
      <c r="L900">
        <v>1</v>
      </c>
      <c r="M900">
        <v>2.57</v>
      </c>
      <c r="N900">
        <v>0</v>
      </c>
      <c r="O900" t="str">
        <f>IF(financial_fraud_data[[#This Row],[Risk_Score]]&gt;8,"High",IF(financial_fraud_data[[#This Row],[Risk_Score]]&gt;5,"Med","Low"))</f>
        <v>Low</v>
      </c>
      <c r="P900" t="str">
        <f>TEXT(financial_fraud_data[[#This Row],[Transaction_Date]],"MMM")</f>
        <v>Feb</v>
      </c>
      <c r="Q900" t="str">
        <f>IF(financial_fraud_data[[#This Row],[Is_Fraud]]=1,"Yes","No")</f>
        <v>No</v>
      </c>
    </row>
    <row r="901" spans="1:17" x14ac:dyDescent="0.2">
      <c r="A901" t="s">
        <v>1356</v>
      </c>
      <c r="B901" t="s">
        <v>1357</v>
      </c>
      <c r="C901" s="1">
        <v>45329.458333333336</v>
      </c>
      <c r="D901">
        <v>4321.1499999999996</v>
      </c>
      <c r="E901" t="s">
        <v>16</v>
      </c>
      <c r="F901" t="s">
        <v>47</v>
      </c>
      <c r="G901" t="s">
        <v>35</v>
      </c>
      <c r="H901" t="s">
        <v>19</v>
      </c>
      <c r="I901" t="s">
        <v>29</v>
      </c>
      <c r="J901" t="s">
        <v>51</v>
      </c>
      <c r="K901">
        <v>0</v>
      </c>
      <c r="L901">
        <v>2</v>
      </c>
      <c r="M901">
        <v>4.43</v>
      </c>
      <c r="N901">
        <v>0</v>
      </c>
      <c r="O901" t="str">
        <f>IF(financial_fraud_data[[#This Row],[Risk_Score]]&gt;8,"High",IF(financial_fraud_data[[#This Row],[Risk_Score]]&gt;5,"Med","Low"))</f>
        <v>Low</v>
      </c>
      <c r="P901" t="str">
        <f>TEXT(financial_fraud_data[[#This Row],[Transaction_Date]],"MMM")</f>
        <v>Feb</v>
      </c>
      <c r="Q901" t="str">
        <f>IF(financial_fraud_data[[#This Row],[Is_Fraud]]=1,"Yes","No")</f>
        <v>No</v>
      </c>
    </row>
    <row r="902" spans="1:17" x14ac:dyDescent="0.2">
      <c r="A902" t="s">
        <v>1358</v>
      </c>
      <c r="B902" t="s">
        <v>286</v>
      </c>
      <c r="C902" s="1">
        <v>45329.5</v>
      </c>
      <c r="D902">
        <v>10433.92</v>
      </c>
      <c r="E902" t="s">
        <v>34</v>
      </c>
      <c r="F902" t="s">
        <v>50</v>
      </c>
      <c r="G902" t="s">
        <v>56</v>
      </c>
      <c r="H902" t="s">
        <v>23</v>
      </c>
      <c r="I902" t="s">
        <v>23</v>
      </c>
      <c r="J902" t="s">
        <v>51</v>
      </c>
      <c r="K902">
        <v>0</v>
      </c>
      <c r="L902">
        <v>1</v>
      </c>
      <c r="M902">
        <v>2.54</v>
      </c>
      <c r="N902">
        <v>0</v>
      </c>
      <c r="O902" t="str">
        <f>IF(financial_fraud_data[[#This Row],[Risk_Score]]&gt;8,"High",IF(financial_fraud_data[[#This Row],[Risk_Score]]&gt;5,"Med","Low"))</f>
        <v>Low</v>
      </c>
      <c r="P902" t="str">
        <f>TEXT(financial_fraud_data[[#This Row],[Transaction_Date]],"MMM")</f>
        <v>Feb</v>
      </c>
      <c r="Q902" t="str">
        <f>IF(financial_fraud_data[[#This Row],[Is_Fraud]]=1,"Yes","No")</f>
        <v>No</v>
      </c>
    </row>
    <row r="903" spans="1:17" x14ac:dyDescent="0.2">
      <c r="A903" t="s">
        <v>1359</v>
      </c>
      <c r="B903" t="s">
        <v>322</v>
      </c>
      <c r="C903" s="1">
        <v>45329.541666666664</v>
      </c>
      <c r="D903">
        <v>1375.28</v>
      </c>
      <c r="E903" t="s">
        <v>80</v>
      </c>
      <c r="F903" t="s">
        <v>27</v>
      </c>
      <c r="G903" t="s">
        <v>65</v>
      </c>
      <c r="H903" t="s">
        <v>36</v>
      </c>
      <c r="I903" t="s">
        <v>29</v>
      </c>
      <c r="J903" t="s">
        <v>20</v>
      </c>
      <c r="K903">
        <v>0</v>
      </c>
      <c r="L903">
        <v>3</v>
      </c>
      <c r="M903">
        <v>5.64</v>
      </c>
      <c r="N903">
        <v>1</v>
      </c>
      <c r="O903" t="str">
        <f>IF(financial_fraud_data[[#This Row],[Risk_Score]]&gt;8,"High",IF(financial_fraud_data[[#This Row],[Risk_Score]]&gt;5,"Med","Low"))</f>
        <v>Med</v>
      </c>
      <c r="P903" t="str">
        <f>TEXT(financial_fraud_data[[#This Row],[Transaction_Date]],"MMM")</f>
        <v>Feb</v>
      </c>
      <c r="Q903" t="str">
        <f>IF(financial_fraud_data[[#This Row],[Is_Fraud]]=1,"Yes","No")</f>
        <v>Yes</v>
      </c>
    </row>
    <row r="904" spans="1:17" x14ac:dyDescent="0.2">
      <c r="A904" t="s">
        <v>1360</v>
      </c>
      <c r="B904" t="s">
        <v>844</v>
      </c>
      <c r="C904" s="1">
        <v>45329.583333333336</v>
      </c>
      <c r="D904">
        <v>9112.7000000000007</v>
      </c>
      <c r="E904" t="s">
        <v>34</v>
      </c>
      <c r="F904" t="s">
        <v>27</v>
      </c>
      <c r="G904" t="s">
        <v>28</v>
      </c>
      <c r="H904" t="s">
        <v>36</v>
      </c>
      <c r="I904" t="s">
        <v>29</v>
      </c>
      <c r="J904" t="s">
        <v>51</v>
      </c>
      <c r="K904">
        <v>0</v>
      </c>
      <c r="L904">
        <v>0</v>
      </c>
      <c r="M904">
        <v>1.91</v>
      </c>
      <c r="N904">
        <v>0</v>
      </c>
      <c r="O904" t="str">
        <f>IF(financial_fraud_data[[#This Row],[Risk_Score]]&gt;8,"High",IF(financial_fraud_data[[#This Row],[Risk_Score]]&gt;5,"Med","Low"))</f>
        <v>Low</v>
      </c>
      <c r="P904" t="str">
        <f>TEXT(financial_fraud_data[[#This Row],[Transaction_Date]],"MMM")</f>
        <v>Feb</v>
      </c>
      <c r="Q904" t="str">
        <f>IF(financial_fraud_data[[#This Row],[Is_Fraud]]=1,"Yes","No")</f>
        <v>No</v>
      </c>
    </row>
    <row r="905" spans="1:17" x14ac:dyDescent="0.2">
      <c r="A905" t="s">
        <v>1361</v>
      </c>
      <c r="B905" t="s">
        <v>1362</v>
      </c>
      <c r="C905" s="1">
        <v>45329.625</v>
      </c>
      <c r="D905">
        <v>29172.93</v>
      </c>
      <c r="E905" t="s">
        <v>16</v>
      </c>
      <c r="F905" t="s">
        <v>17</v>
      </c>
      <c r="G905" t="s">
        <v>28</v>
      </c>
      <c r="H905" t="s">
        <v>29</v>
      </c>
      <c r="I905" t="s">
        <v>19</v>
      </c>
      <c r="J905" t="s">
        <v>20</v>
      </c>
      <c r="K905">
        <v>0</v>
      </c>
      <c r="L905">
        <v>3</v>
      </c>
      <c r="M905">
        <v>8.42</v>
      </c>
      <c r="N905">
        <v>1</v>
      </c>
      <c r="O905" t="str">
        <f>IF(financial_fraud_data[[#This Row],[Risk_Score]]&gt;8,"High",IF(financial_fraud_data[[#This Row],[Risk_Score]]&gt;5,"Med","Low"))</f>
        <v>High</v>
      </c>
      <c r="P905" t="str">
        <f>TEXT(financial_fraud_data[[#This Row],[Transaction_Date]],"MMM")</f>
        <v>Feb</v>
      </c>
      <c r="Q905" t="str">
        <f>IF(financial_fraud_data[[#This Row],[Is_Fraud]]=1,"Yes","No")</f>
        <v>Yes</v>
      </c>
    </row>
    <row r="906" spans="1:17" x14ac:dyDescent="0.2">
      <c r="A906" t="s">
        <v>1363</v>
      </c>
      <c r="B906" t="s">
        <v>229</v>
      </c>
      <c r="C906" s="1">
        <v>45329.666666666664</v>
      </c>
      <c r="D906">
        <v>21100.16</v>
      </c>
      <c r="E906" t="s">
        <v>34</v>
      </c>
      <c r="F906" t="s">
        <v>17</v>
      </c>
      <c r="G906" t="s">
        <v>56</v>
      </c>
      <c r="H906" t="s">
        <v>36</v>
      </c>
      <c r="I906" t="s">
        <v>36</v>
      </c>
      <c r="J906" t="s">
        <v>37</v>
      </c>
      <c r="K906">
        <v>0</v>
      </c>
      <c r="L906">
        <v>3</v>
      </c>
      <c r="M906">
        <v>6.61</v>
      </c>
      <c r="N906">
        <v>1</v>
      </c>
      <c r="O906" t="str">
        <f>IF(financial_fraud_data[[#This Row],[Risk_Score]]&gt;8,"High",IF(financial_fraud_data[[#This Row],[Risk_Score]]&gt;5,"Med","Low"))</f>
        <v>Med</v>
      </c>
      <c r="P906" t="str">
        <f>TEXT(financial_fraud_data[[#This Row],[Transaction_Date]],"MMM")</f>
        <v>Feb</v>
      </c>
      <c r="Q906" t="str">
        <f>IF(financial_fraud_data[[#This Row],[Is_Fraud]]=1,"Yes","No")</f>
        <v>Yes</v>
      </c>
    </row>
    <row r="907" spans="1:17" x14ac:dyDescent="0.2">
      <c r="A907" t="s">
        <v>1364</v>
      </c>
      <c r="B907" t="s">
        <v>1345</v>
      </c>
      <c r="C907" s="1">
        <v>45329.708333333336</v>
      </c>
      <c r="D907">
        <v>44638.95</v>
      </c>
      <c r="E907" t="s">
        <v>16</v>
      </c>
      <c r="F907" t="s">
        <v>17</v>
      </c>
      <c r="G907" t="s">
        <v>35</v>
      </c>
      <c r="H907" t="s">
        <v>36</v>
      </c>
      <c r="I907" t="s">
        <v>24</v>
      </c>
      <c r="J907" t="s">
        <v>37</v>
      </c>
      <c r="K907">
        <v>0</v>
      </c>
      <c r="L907">
        <v>3</v>
      </c>
      <c r="M907">
        <v>9.9600000000000009</v>
      </c>
      <c r="N907">
        <v>1</v>
      </c>
      <c r="O907" t="str">
        <f>IF(financial_fraud_data[[#This Row],[Risk_Score]]&gt;8,"High",IF(financial_fraud_data[[#This Row],[Risk_Score]]&gt;5,"Med","Low"))</f>
        <v>High</v>
      </c>
      <c r="P907" t="str">
        <f>TEXT(financial_fraud_data[[#This Row],[Transaction_Date]],"MMM")</f>
        <v>Feb</v>
      </c>
      <c r="Q907" t="str">
        <f>IF(financial_fraud_data[[#This Row],[Is_Fraud]]=1,"Yes","No")</f>
        <v>Yes</v>
      </c>
    </row>
    <row r="908" spans="1:17" x14ac:dyDescent="0.2">
      <c r="A908" t="s">
        <v>1365</v>
      </c>
      <c r="B908" t="s">
        <v>601</v>
      </c>
      <c r="C908" s="1">
        <v>45329.75</v>
      </c>
      <c r="D908">
        <v>40881.31</v>
      </c>
      <c r="E908" t="s">
        <v>16</v>
      </c>
      <c r="F908" t="s">
        <v>50</v>
      </c>
      <c r="G908" t="s">
        <v>28</v>
      </c>
      <c r="H908" t="s">
        <v>19</v>
      </c>
      <c r="I908" t="s">
        <v>24</v>
      </c>
      <c r="J908" t="s">
        <v>20</v>
      </c>
      <c r="K908">
        <v>1</v>
      </c>
      <c r="L908">
        <v>3</v>
      </c>
      <c r="M908">
        <v>11.59</v>
      </c>
      <c r="N908">
        <v>1</v>
      </c>
      <c r="O908" t="str">
        <f>IF(financial_fraud_data[[#This Row],[Risk_Score]]&gt;8,"High",IF(financial_fraud_data[[#This Row],[Risk_Score]]&gt;5,"Med","Low"))</f>
        <v>High</v>
      </c>
      <c r="P908" t="str">
        <f>TEXT(financial_fraud_data[[#This Row],[Transaction_Date]],"MMM")</f>
        <v>Feb</v>
      </c>
      <c r="Q908" t="str">
        <f>IF(financial_fraud_data[[#This Row],[Is_Fraud]]=1,"Yes","No")</f>
        <v>Yes</v>
      </c>
    </row>
    <row r="909" spans="1:17" x14ac:dyDescent="0.2">
      <c r="A909" t="s">
        <v>1366</v>
      </c>
      <c r="B909" t="s">
        <v>715</v>
      </c>
      <c r="C909" s="1">
        <v>45329.791666666664</v>
      </c>
      <c r="D909">
        <v>17123.78</v>
      </c>
      <c r="E909" t="s">
        <v>80</v>
      </c>
      <c r="F909" t="s">
        <v>50</v>
      </c>
      <c r="G909" t="s">
        <v>28</v>
      </c>
      <c r="H909" t="s">
        <v>24</v>
      </c>
      <c r="I909" t="s">
        <v>24</v>
      </c>
      <c r="J909" t="s">
        <v>20</v>
      </c>
      <c r="K909">
        <v>0</v>
      </c>
      <c r="L909">
        <v>1</v>
      </c>
      <c r="M909">
        <v>3.21</v>
      </c>
      <c r="N909">
        <v>0</v>
      </c>
      <c r="O909" t="str">
        <f>IF(financial_fraud_data[[#This Row],[Risk_Score]]&gt;8,"High",IF(financial_fraud_data[[#This Row],[Risk_Score]]&gt;5,"Med","Low"))</f>
        <v>Low</v>
      </c>
      <c r="P909" t="str">
        <f>TEXT(financial_fraud_data[[#This Row],[Transaction_Date]],"MMM")</f>
        <v>Feb</v>
      </c>
      <c r="Q909" t="str">
        <f>IF(financial_fraud_data[[#This Row],[Is_Fraud]]=1,"Yes","No")</f>
        <v>No</v>
      </c>
    </row>
    <row r="910" spans="1:17" x14ac:dyDescent="0.2">
      <c r="A910" t="s">
        <v>1367</v>
      </c>
      <c r="B910" t="s">
        <v>213</v>
      </c>
      <c r="C910" s="1">
        <v>45329.833333333336</v>
      </c>
      <c r="D910">
        <v>13008.2</v>
      </c>
      <c r="E910" t="s">
        <v>42</v>
      </c>
      <c r="F910" t="s">
        <v>17</v>
      </c>
      <c r="G910" t="s">
        <v>35</v>
      </c>
      <c r="H910" t="s">
        <v>36</v>
      </c>
      <c r="I910" t="s">
        <v>36</v>
      </c>
      <c r="J910" t="s">
        <v>20</v>
      </c>
      <c r="K910">
        <v>1</v>
      </c>
      <c r="L910">
        <v>4</v>
      </c>
      <c r="M910">
        <v>9.3000000000000007</v>
      </c>
      <c r="N910">
        <v>1</v>
      </c>
      <c r="O910" t="str">
        <f>IF(financial_fraud_data[[#This Row],[Risk_Score]]&gt;8,"High",IF(financial_fraud_data[[#This Row],[Risk_Score]]&gt;5,"Med","Low"))</f>
        <v>High</v>
      </c>
      <c r="P910" t="str">
        <f>TEXT(financial_fraud_data[[#This Row],[Transaction_Date]],"MMM")</f>
        <v>Feb</v>
      </c>
      <c r="Q910" t="str">
        <f>IF(financial_fraud_data[[#This Row],[Is_Fraud]]=1,"Yes","No")</f>
        <v>Yes</v>
      </c>
    </row>
    <row r="911" spans="1:17" x14ac:dyDescent="0.2">
      <c r="A911" t="s">
        <v>1368</v>
      </c>
      <c r="B911" t="s">
        <v>433</v>
      </c>
      <c r="C911" s="1">
        <v>45329.875</v>
      </c>
      <c r="D911">
        <v>19015.64</v>
      </c>
      <c r="E911" t="s">
        <v>16</v>
      </c>
      <c r="F911" t="s">
        <v>27</v>
      </c>
      <c r="G911" t="s">
        <v>65</v>
      </c>
      <c r="H911" t="s">
        <v>36</v>
      </c>
      <c r="I911" t="s">
        <v>23</v>
      </c>
      <c r="J911" t="s">
        <v>20</v>
      </c>
      <c r="K911">
        <v>0</v>
      </c>
      <c r="L911">
        <v>1</v>
      </c>
      <c r="M911">
        <v>4.4000000000000004</v>
      </c>
      <c r="N911">
        <v>0</v>
      </c>
      <c r="O911" t="str">
        <f>IF(financial_fraud_data[[#This Row],[Risk_Score]]&gt;8,"High",IF(financial_fraud_data[[#This Row],[Risk_Score]]&gt;5,"Med","Low"))</f>
        <v>Low</v>
      </c>
      <c r="P911" t="str">
        <f>TEXT(financial_fraud_data[[#This Row],[Transaction_Date]],"MMM")</f>
        <v>Feb</v>
      </c>
      <c r="Q911" t="str">
        <f>IF(financial_fraud_data[[#This Row],[Is_Fraud]]=1,"Yes","No")</f>
        <v>No</v>
      </c>
    </row>
    <row r="912" spans="1:17" x14ac:dyDescent="0.2">
      <c r="A912" t="s">
        <v>1369</v>
      </c>
      <c r="B912" t="s">
        <v>746</v>
      </c>
      <c r="C912" s="1">
        <v>45329.916666666664</v>
      </c>
      <c r="D912">
        <v>29535.23</v>
      </c>
      <c r="E912" t="s">
        <v>16</v>
      </c>
      <c r="F912" t="s">
        <v>50</v>
      </c>
      <c r="G912" t="s">
        <v>28</v>
      </c>
      <c r="H912" t="s">
        <v>23</v>
      </c>
      <c r="I912" t="s">
        <v>24</v>
      </c>
      <c r="J912" t="s">
        <v>51</v>
      </c>
      <c r="K912">
        <v>0</v>
      </c>
      <c r="L912">
        <v>2</v>
      </c>
      <c r="M912">
        <v>6.95</v>
      </c>
      <c r="N912">
        <v>1</v>
      </c>
      <c r="O912" t="str">
        <f>IF(financial_fraud_data[[#This Row],[Risk_Score]]&gt;8,"High",IF(financial_fraud_data[[#This Row],[Risk_Score]]&gt;5,"Med","Low"))</f>
        <v>Med</v>
      </c>
      <c r="P912" t="str">
        <f>TEXT(financial_fraud_data[[#This Row],[Transaction_Date]],"MMM")</f>
        <v>Feb</v>
      </c>
      <c r="Q912" t="str">
        <f>IF(financial_fraud_data[[#This Row],[Is_Fraud]]=1,"Yes","No")</f>
        <v>Yes</v>
      </c>
    </row>
    <row r="913" spans="1:17" x14ac:dyDescent="0.2">
      <c r="A913" t="s">
        <v>1370</v>
      </c>
      <c r="B913" t="s">
        <v>616</v>
      </c>
      <c r="C913" s="1">
        <v>45329.958333333336</v>
      </c>
      <c r="D913">
        <v>13439.78</v>
      </c>
      <c r="E913" t="s">
        <v>80</v>
      </c>
      <c r="F913" t="s">
        <v>27</v>
      </c>
      <c r="G913" t="s">
        <v>18</v>
      </c>
      <c r="H913" t="s">
        <v>29</v>
      </c>
      <c r="I913" t="s">
        <v>23</v>
      </c>
      <c r="J913" t="s">
        <v>20</v>
      </c>
      <c r="K913">
        <v>0</v>
      </c>
      <c r="L913">
        <v>3</v>
      </c>
      <c r="M913">
        <v>6.84</v>
      </c>
      <c r="N913">
        <v>1</v>
      </c>
      <c r="O913" t="str">
        <f>IF(financial_fraud_data[[#This Row],[Risk_Score]]&gt;8,"High",IF(financial_fraud_data[[#This Row],[Risk_Score]]&gt;5,"Med","Low"))</f>
        <v>Med</v>
      </c>
      <c r="P913" t="str">
        <f>TEXT(financial_fraud_data[[#This Row],[Transaction_Date]],"MMM")</f>
        <v>Feb</v>
      </c>
      <c r="Q913" t="str">
        <f>IF(financial_fraud_data[[#This Row],[Is_Fraud]]=1,"Yes","No")</f>
        <v>Yes</v>
      </c>
    </row>
    <row r="914" spans="1:17" x14ac:dyDescent="0.2">
      <c r="A914" t="s">
        <v>1371</v>
      </c>
      <c r="B914" t="s">
        <v>751</v>
      </c>
      <c r="C914" s="1">
        <v>45330</v>
      </c>
      <c r="D914">
        <v>31226.240000000002</v>
      </c>
      <c r="E914" t="s">
        <v>16</v>
      </c>
      <c r="F914" t="s">
        <v>27</v>
      </c>
      <c r="G914" t="s">
        <v>28</v>
      </c>
      <c r="H914" t="s">
        <v>23</v>
      </c>
      <c r="I914" t="s">
        <v>36</v>
      </c>
      <c r="J914" t="s">
        <v>20</v>
      </c>
      <c r="K914">
        <v>0</v>
      </c>
      <c r="L914">
        <v>2</v>
      </c>
      <c r="M914">
        <v>7.12</v>
      </c>
      <c r="N914">
        <v>1</v>
      </c>
      <c r="O914" t="str">
        <f>IF(financial_fraud_data[[#This Row],[Risk_Score]]&gt;8,"High",IF(financial_fraud_data[[#This Row],[Risk_Score]]&gt;5,"Med","Low"))</f>
        <v>Med</v>
      </c>
      <c r="P914" t="str">
        <f>TEXT(financial_fraud_data[[#This Row],[Transaction_Date]],"MMM")</f>
        <v>Feb</v>
      </c>
      <c r="Q914" t="str">
        <f>IF(financial_fraud_data[[#This Row],[Is_Fraud]]=1,"Yes","No")</f>
        <v>Yes</v>
      </c>
    </row>
    <row r="915" spans="1:17" x14ac:dyDescent="0.2">
      <c r="A915" t="s">
        <v>1372</v>
      </c>
      <c r="B915" t="s">
        <v>1373</v>
      </c>
      <c r="C915" s="1">
        <v>45330.041666666664</v>
      </c>
      <c r="D915">
        <v>20500.11</v>
      </c>
      <c r="E915" t="s">
        <v>42</v>
      </c>
      <c r="F915" t="s">
        <v>47</v>
      </c>
      <c r="G915" t="s">
        <v>65</v>
      </c>
      <c r="H915" t="s">
        <v>19</v>
      </c>
      <c r="I915" t="s">
        <v>36</v>
      </c>
      <c r="J915" t="s">
        <v>20</v>
      </c>
      <c r="K915">
        <v>1</v>
      </c>
      <c r="L915">
        <v>1</v>
      </c>
      <c r="M915">
        <v>6.55</v>
      </c>
      <c r="N915">
        <v>1</v>
      </c>
      <c r="O915" t="str">
        <f>IF(financial_fraud_data[[#This Row],[Risk_Score]]&gt;8,"High",IF(financial_fraud_data[[#This Row],[Risk_Score]]&gt;5,"Med","Low"))</f>
        <v>Med</v>
      </c>
      <c r="P915" t="str">
        <f>TEXT(financial_fraud_data[[#This Row],[Transaction_Date]],"MMM")</f>
        <v>Feb</v>
      </c>
      <c r="Q915" t="str">
        <f>IF(financial_fraud_data[[#This Row],[Is_Fraud]]=1,"Yes","No")</f>
        <v>Yes</v>
      </c>
    </row>
    <row r="916" spans="1:17" x14ac:dyDescent="0.2">
      <c r="A916" t="s">
        <v>1374</v>
      </c>
      <c r="B916" t="s">
        <v>199</v>
      </c>
      <c r="C916" s="1">
        <v>45330.083333333336</v>
      </c>
      <c r="D916">
        <v>27624.76</v>
      </c>
      <c r="E916" t="s">
        <v>80</v>
      </c>
      <c r="F916" t="s">
        <v>17</v>
      </c>
      <c r="G916" t="s">
        <v>65</v>
      </c>
      <c r="H916" t="s">
        <v>24</v>
      </c>
      <c r="I916" t="s">
        <v>19</v>
      </c>
      <c r="J916" t="s">
        <v>51</v>
      </c>
      <c r="K916">
        <v>0</v>
      </c>
      <c r="L916">
        <v>3</v>
      </c>
      <c r="M916">
        <v>8.26</v>
      </c>
      <c r="N916">
        <v>1</v>
      </c>
      <c r="O916" t="str">
        <f>IF(financial_fraud_data[[#This Row],[Risk_Score]]&gt;8,"High",IF(financial_fraud_data[[#This Row],[Risk_Score]]&gt;5,"Med","Low"))</f>
        <v>High</v>
      </c>
      <c r="P916" t="str">
        <f>TEXT(financial_fraud_data[[#This Row],[Transaction_Date]],"MMM")</f>
        <v>Feb</v>
      </c>
      <c r="Q916" t="str">
        <f>IF(financial_fraud_data[[#This Row],[Is_Fraud]]=1,"Yes","No")</f>
        <v>Yes</v>
      </c>
    </row>
    <row r="917" spans="1:17" x14ac:dyDescent="0.2">
      <c r="A917" t="s">
        <v>1375</v>
      </c>
      <c r="B917" t="s">
        <v>1077</v>
      </c>
      <c r="C917" s="1">
        <v>45330.125</v>
      </c>
      <c r="D917">
        <v>21834.52</v>
      </c>
      <c r="E917" t="s">
        <v>42</v>
      </c>
      <c r="F917" t="s">
        <v>47</v>
      </c>
      <c r="G917" t="s">
        <v>56</v>
      </c>
      <c r="H917" t="s">
        <v>29</v>
      </c>
      <c r="I917" t="s">
        <v>24</v>
      </c>
      <c r="J917" t="s">
        <v>51</v>
      </c>
      <c r="K917">
        <v>0</v>
      </c>
      <c r="L917">
        <v>1</v>
      </c>
      <c r="M917">
        <v>4.68</v>
      </c>
      <c r="N917">
        <v>0</v>
      </c>
      <c r="O917" t="str">
        <f>IF(financial_fraud_data[[#This Row],[Risk_Score]]&gt;8,"High",IF(financial_fraud_data[[#This Row],[Risk_Score]]&gt;5,"Med","Low"))</f>
        <v>Low</v>
      </c>
      <c r="P917" t="str">
        <f>TEXT(financial_fraud_data[[#This Row],[Transaction_Date]],"MMM")</f>
        <v>Feb</v>
      </c>
      <c r="Q917" t="str">
        <f>IF(financial_fraud_data[[#This Row],[Is_Fraud]]=1,"Yes","No")</f>
        <v>No</v>
      </c>
    </row>
    <row r="918" spans="1:17" x14ac:dyDescent="0.2">
      <c r="A918" t="s">
        <v>1376</v>
      </c>
      <c r="B918" t="s">
        <v>772</v>
      </c>
      <c r="C918" s="1">
        <v>45330.166666666664</v>
      </c>
      <c r="D918">
        <v>14758.56</v>
      </c>
      <c r="E918" t="s">
        <v>42</v>
      </c>
      <c r="F918" t="s">
        <v>17</v>
      </c>
      <c r="G918" t="s">
        <v>18</v>
      </c>
      <c r="H918" t="s">
        <v>23</v>
      </c>
      <c r="I918" t="s">
        <v>19</v>
      </c>
      <c r="J918" t="s">
        <v>51</v>
      </c>
      <c r="K918">
        <v>0</v>
      </c>
      <c r="L918">
        <v>3</v>
      </c>
      <c r="M918">
        <v>6.98</v>
      </c>
      <c r="N918">
        <v>1</v>
      </c>
      <c r="O918" t="str">
        <f>IF(financial_fraud_data[[#This Row],[Risk_Score]]&gt;8,"High",IF(financial_fraud_data[[#This Row],[Risk_Score]]&gt;5,"Med","Low"))</f>
        <v>Med</v>
      </c>
      <c r="P918" t="str">
        <f>TEXT(financial_fraud_data[[#This Row],[Transaction_Date]],"MMM")</f>
        <v>Feb</v>
      </c>
      <c r="Q918" t="str">
        <f>IF(financial_fraud_data[[#This Row],[Is_Fraud]]=1,"Yes","No")</f>
        <v>Yes</v>
      </c>
    </row>
    <row r="919" spans="1:17" x14ac:dyDescent="0.2">
      <c r="A919" t="s">
        <v>1377</v>
      </c>
      <c r="B919" t="s">
        <v>1378</v>
      </c>
      <c r="C919" s="1">
        <v>45330.208333333336</v>
      </c>
      <c r="D919">
        <v>47425.24</v>
      </c>
      <c r="E919" t="s">
        <v>80</v>
      </c>
      <c r="F919" t="s">
        <v>17</v>
      </c>
      <c r="G919" t="s">
        <v>65</v>
      </c>
      <c r="H919" t="s">
        <v>36</v>
      </c>
      <c r="I919" t="s">
        <v>24</v>
      </c>
      <c r="J919" t="s">
        <v>37</v>
      </c>
      <c r="K919">
        <v>0</v>
      </c>
      <c r="L919">
        <v>1</v>
      </c>
      <c r="M919">
        <v>7.24</v>
      </c>
      <c r="N919">
        <v>1</v>
      </c>
      <c r="O919" t="str">
        <f>IF(financial_fraud_data[[#This Row],[Risk_Score]]&gt;8,"High",IF(financial_fraud_data[[#This Row],[Risk_Score]]&gt;5,"Med","Low"))</f>
        <v>Med</v>
      </c>
      <c r="P919" t="str">
        <f>TEXT(financial_fraud_data[[#This Row],[Transaction_Date]],"MMM")</f>
        <v>Feb</v>
      </c>
      <c r="Q919" t="str">
        <f>IF(financial_fraud_data[[#This Row],[Is_Fraud]]=1,"Yes","No")</f>
        <v>Yes</v>
      </c>
    </row>
    <row r="920" spans="1:17" x14ac:dyDescent="0.2">
      <c r="A920" t="s">
        <v>1379</v>
      </c>
      <c r="B920" t="s">
        <v>1038</v>
      </c>
      <c r="C920" s="1">
        <v>45330.25</v>
      </c>
      <c r="D920">
        <v>38192.11</v>
      </c>
      <c r="E920" t="s">
        <v>16</v>
      </c>
      <c r="F920" t="s">
        <v>27</v>
      </c>
      <c r="G920" t="s">
        <v>35</v>
      </c>
      <c r="H920" t="s">
        <v>36</v>
      </c>
      <c r="I920" t="s">
        <v>36</v>
      </c>
      <c r="J920" t="s">
        <v>51</v>
      </c>
      <c r="K920">
        <v>0</v>
      </c>
      <c r="L920">
        <v>0</v>
      </c>
      <c r="M920">
        <v>3.82</v>
      </c>
      <c r="N920">
        <v>0</v>
      </c>
      <c r="O920" t="str">
        <f>IF(financial_fraud_data[[#This Row],[Risk_Score]]&gt;8,"High",IF(financial_fraud_data[[#This Row],[Risk_Score]]&gt;5,"Med","Low"))</f>
        <v>Low</v>
      </c>
      <c r="P920" t="str">
        <f>TEXT(financial_fraud_data[[#This Row],[Transaction_Date]],"MMM")</f>
        <v>Feb</v>
      </c>
      <c r="Q920" t="str">
        <f>IF(financial_fraud_data[[#This Row],[Is_Fraud]]=1,"Yes","No")</f>
        <v>No</v>
      </c>
    </row>
    <row r="921" spans="1:17" x14ac:dyDescent="0.2">
      <c r="A921" t="s">
        <v>1380</v>
      </c>
      <c r="B921" t="s">
        <v>1172</v>
      </c>
      <c r="C921" s="1">
        <v>45330.291666666664</v>
      </c>
      <c r="D921">
        <v>7048.65</v>
      </c>
      <c r="E921" t="s">
        <v>42</v>
      </c>
      <c r="F921" t="s">
        <v>17</v>
      </c>
      <c r="G921" t="s">
        <v>18</v>
      </c>
      <c r="H921" t="s">
        <v>29</v>
      </c>
      <c r="I921" t="s">
        <v>36</v>
      </c>
      <c r="J921" t="s">
        <v>20</v>
      </c>
      <c r="K921">
        <v>0</v>
      </c>
      <c r="L921">
        <v>4</v>
      </c>
      <c r="M921">
        <v>7.7</v>
      </c>
      <c r="N921">
        <v>1</v>
      </c>
      <c r="O921" t="str">
        <f>IF(financial_fraud_data[[#This Row],[Risk_Score]]&gt;8,"High",IF(financial_fraud_data[[#This Row],[Risk_Score]]&gt;5,"Med","Low"))</f>
        <v>Med</v>
      </c>
      <c r="P921" t="str">
        <f>TEXT(financial_fraud_data[[#This Row],[Transaction_Date]],"MMM")</f>
        <v>Feb</v>
      </c>
      <c r="Q921" t="str">
        <f>IF(financial_fraud_data[[#This Row],[Is_Fraud]]=1,"Yes","No")</f>
        <v>Yes</v>
      </c>
    </row>
    <row r="922" spans="1:17" x14ac:dyDescent="0.2">
      <c r="A922" t="s">
        <v>1381</v>
      </c>
      <c r="B922" t="s">
        <v>486</v>
      </c>
      <c r="C922" s="1">
        <v>45330.333333333336</v>
      </c>
      <c r="D922">
        <v>43429.98</v>
      </c>
      <c r="E922" t="s">
        <v>42</v>
      </c>
      <c r="F922" t="s">
        <v>27</v>
      </c>
      <c r="G922" t="s">
        <v>18</v>
      </c>
      <c r="H922" t="s">
        <v>36</v>
      </c>
      <c r="I922" t="s">
        <v>29</v>
      </c>
      <c r="J922" t="s">
        <v>51</v>
      </c>
      <c r="K922">
        <v>0</v>
      </c>
      <c r="L922">
        <v>4</v>
      </c>
      <c r="M922">
        <v>11.34</v>
      </c>
      <c r="N922">
        <v>1</v>
      </c>
      <c r="O922" t="str">
        <f>IF(financial_fraud_data[[#This Row],[Risk_Score]]&gt;8,"High",IF(financial_fraud_data[[#This Row],[Risk_Score]]&gt;5,"Med","Low"))</f>
        <v>High</v>
      </c>
      <c r="P922" t="str">
        <f>TEXT(financial_fraud_data[[#This Row],[Transaction_Date]],"MMM")</f>
        <v>Feb</v>
      </c>
      <c r="Q922" t="str">
        <f>IF(financial_fraud_data[[#This Row],[Is_Fraud]]=1,"Yes","No")</f>
        <v>Yes</v>
      </c>
    </row>
    <row r="923" spans="1:17" x14ac:dyDescent="0.2">
      <c r="A923" t="s">
        <v>1382</v>
      </c>
      <c r="B923" t="s">
        <v>121</v>
      </c>
      <c r="C923" s="1">
        <v>45330.375</v>
      </c>
      <c r="D923">
        <v>24397.19</v>
      </c>
      <c r="E923" t="s">
        <v>42</v>
      </c>
      <c r="F923" t="s">
        <v>27</v>
      </c>
      <c r="G923" t="s">
        <v>35</v>
      </c>
      <c r="H923" t="s">
        <v>23</v>
      </c>
      <c r="I923" t="s">
        <v>29</v>
      </c>
      <c r="J923" t="s">
        <v>51</v>
      </c>
      <c r="K923">
        <v>0</v>
      </c>
      <c r="L923">
        <v>3</v>
      </c>
      <c r="M923">
        <v>7.94</v>
      </c>
      <c r="N923">
        <v>1</v>
      </c>
      <c r="O923" t="str">
        <f>IF(financial_fraud_data[[#This Row],[Risk_Score]]&gt;8,"High",IF(financial_fraud_data[[#This Row],[Risk_Score]]&gt;5,"Med","Low"))</f>
        <v>Med</v>
      </c>
      <c r="P923" t="str">
        <f>TEXT(financial_fraud_data[[#This Row],[Transaction_Date]],"MMM")</f>
        <v>Feb</v>
      </c>
      <c r="Q923" t="str">
        <f>IF(financial_fraud_data[[#This Row],[Is_Fraud]]=1,"Yes","No")</f>
        <v>Yes</v>
      </c>
    </row>
    <row r="924" spans="1:17" x14ac:dyDescent="0.2">
      <c r="A924" t="s">
        <v>1383</v>
      </c>
      <c r="B924" t="s">
        <v>123</v>
      </c>
      <c r="C924" s="1">
        <v>45330.416666666664</v>
      </c>
      <c r="D924">
        <v>44732.88</v>
      </c>
      <c r="E924" t="s">
        <v>42</v>
      </c>
      <c r="F924" t="s">
        <v>17</v>
      </c>
      <c r="G924" t="s">
        <v>28</v>
      </c>
      <c r="H924" t="s">
        <v>23</v>
      </c>
      <c r="I924" t="s">
        <v>36</v>
      </c>
      <c r="J924" t="s">
        <v>20</v>
      </c>
      <c r="K924">
        <v>0</v>
      </c>
      <c r="L924">
        <v>0</v>
      </c>
      <c r="M924">
        <v>5.47</v>
      </c>
      <c r="N924">
        <v>1</v>
      </c>
      <c r="O924" t="str">
        <f>IF(financial_fraud_data[[#This Row],[Risk_Score]]&gt;8,"High",IF(financial_fraud_data[[#This Row],[Risk_Score]]&gt;5,"Med","Low"))</f>
        <v>Med</v>
      </c>
      <c r="P924" t="str">
        <f>TEXT(financial_fraud_data[[#This Row],[Transaction_Date]],"MMM")</f>
        <v>Feb</v>
      </c>
      <c r="Q924" t="str">
        <f>IF(financial_fraud_data[[#This Row],[Is_Fraud]]=1,"Yes","No")</f>
        <v>Yes</v>
      </c>
    </row>
    <row r="925" spans="1:17" x14ac:dyDescent="0.2">
      <c r="A925" t="s">
        <v>1384</v>
      </c>
      <c r="B925" t="s">
        <v>666</v>
      </c>
      <c r="C925" s="1">
        <v>45330.458333333336</v>
      </c>
      <c r="D925">
        <v>40002.769999999997</v>
      </c>
      <c r="E925" t="s">
        <v>80</v>
      </c>
      <c r="F925" t="s">
        <v>27</v>
      </c>
      <c r="G925" t="s">
        <v>35</v>
      </c>
      <c r="H925" t="s">
        <v>36</v>
      </c>
      <c r="I925" t="s">
        <v>36</v>
      </c>
      <c r="J925" t="s">
        <v>51</v>
      </c>
      <c r="K925">
        <v>0</v>
      </c>
      <c r="L925">
        <v>2</v>
      </c>
      <c r="M925">
        <v>7</v>
      </c>
      <c r="N925">
        <v>1</v>
      </c>
      <c r="O925" t="str">
        <f>IF(financial_fraud_data[[#This Row],[Risk_Score]]&gt;8,"High",IF(financial_fraud_data[[#This Row],[Risk_Score]]&gt;5,"Med","Low"))</f>
        <v>Med</v>
      </c>
      <c r="P925" t="str">
        <f>TEXT(financial_fraud_data[[#This Row],[Transaction_Date]],"MMM")</f>
        <v>Feb</v>
      </c>
      <c r="Q925" t="str">
        <f>IF(financial_fraud_data[[#This Row],[Is_Fraud]]=1,"Yes","No")</f>
        <v>Yes</v>
      </c>
    </row>
    <row r="926" spans="1:17" x14ac:dyDescent="0.2">
      <c r="A926" t="s">
        <v>1385</v>
      </c>
      <c r="B926" t="s">
        <v>409</v>
      </c>
      <c r="C926" s="1">
        <v>45330.5</v>
      </c>
      <c r="D926">
        <v>21289.41</v>
      </c>
      <c r="E926" t="s">
        <v>80</v>
      </c>
      <c r="F926" t="s">
        <v>27</v>
      </c>
      <c r="G926" t="s">
        <v>35</v>
      </c>
      <c r="H926" t="s">
        <v>36</v>
      </c>
      <c r="I926" t="s">
        <v>23</v>
      </c>
      <c r="J926" t="s">
        <v>37</v>
      </c>
      <c r="K926">
        <v>0</v>
      </c>
      <c r="L926">
        <v>0</v>
      </c>
      <c r="M926">
        <v>3.13</v>
      </c>
      <c r="N926">
        <v>0</v>
      </c>
      <c r="O926" t="str">
        <f>IF(financial_fraud_data[[#This Row],[Risk_Score]]&gt;8,"High",IF(financial_fraud_data[[#This Row],[Risk_Score]]&gt;5,"Med","Low"))</f>
        <v>Low</v>
      </c>
      <c r="P926" t="str">
        <f>TEXT(financial_fraud_data[[#This Row],[Transaction_Date]],"MMM")</f>
        <v>Feb</v>
      </c>
      <c r="Q926" t="str">
        <f>IF(financial_fraud_data[[#This Row],[Is_Fraud]]=1,"Yes","No")</f>
        <v>No</v>
      </c>
    </row>
    <row r="927" spans="1:17" x14ac:dyDescent="0.2">
      <c r="A927" t="s">
        <v>1386</v>
      </c>
      <c r="B927" t="s">
        <v>1387</v>
      </c>
      <c r="C927" s="1">
        <v>45330.541666666664</v>
      </c>
      <c r="D927">
        <v>1172.3399999999999</v>
      </c>
      <c r="E927" t="s">
        <v>34</v>
      </c>
      <c r="F927" t="s">
        <v>27</v>
      </c>
      <c r="G927" t="s">
        <v>28</v>
      </c>
      <c r="H927" t="s">
        <v>19</v>
      </c>
      <c r="I927" t="s">
        <v>23</v>
      </c>
      <c r="J927" t="s">
        <v>51</v>
      </c>
      <c r="K927">
        <v>0</v>
      </c>
      <c r="L927">
        <v>3</v>
      </c>
      <c r="M927">
        <v>5.62</v>
      </c>
      <c r="N927">
        <v>1</v>
      </c>
      <c r="O927" t="str">
        <f>IF(financial_fraud_data[[#This Row],[Risk_Score]]&gt;8,"High",IF(financial_fraud_data[[#This Row],[Risk_Score]]&gt;5,"Med","Low"))</f>
        <v>Med</v>
      </c>
      <c r="P927" t="str">
        <f>TEXT(financial_fraud_data[[#This Row],[Transaction_Date]],"MMM")</f>
        <v>Feb</v>
      </c>
      <c r="Q927" t="str">
        <f>IF(financial_fraud_data[[#This Row],[Is_Fraud]]=1,"Yes","No")</f>
        <v>Yes</v>
      </c>
    </row>
    <row r="928" spans="1:17" x14ac:dyDescent="0.2">
      <c r="A928" t="s">
        <v>1388</v>
      </c>
      <c r="B928" t="s">
        <v>1389</v>
      </c>
      <c r="C928" s="1">
        <v>45330.583333333336</v>
      </c>
      <c r="D928">
        <v>13470.43</v>
      </c>
      <c r="E928" t="s">
        <v>34</v>
      </c>
      <c r="F928" t="s">
        <v>50</v>
      </c>
      <c r="G928" t="s">
        <v>28</v>
      </c>
      <c r="H928" t="s">
        <v>24</v>
      </c>
      <c r="I928" t="s">
        <v>19</v>
      </c>
      <c r="J928" t="s">
        <v>37</v>
      </c>
      <c r="K928">
        <v>0</v>
      </c>
      <c r="L928">
        <v>0</v>
      </c>
      <c r="M928">
        <v>2.35</v>
      </c>
      <c r="N928">
        <v>0</v>
      </c>
      <c r="O928" t="str">
        <f>IF(financial_fraud_data[[#This Row],[Risk_Score]]&gt;8,"High",IF(financial_fraud_data[[#This Row],[Risk_Score]]&gt;5,"Med","Low"))</f>
        <v>Low</v>
      </c>
      <c r="P928" t="str">
        <f>TEXT(financial_fraud_data[[#This Row],[Transaction_Date]],"MMM")</f>
        <v>Feb</v>
      </c>
      <c r="Q928" t="str">
        <f>IF(financial_fraud_data[[#This Row],[Is_Fraud]]=1,"Yes","No")</f>
        <v>No</v>
      </c>
    </row>
    <row r="929" spans="1:17" x14ac:dyDescent="0.2">
      <c r="A929" t="s">
        <v>1390</v>
      </c>
      <c r="B929" t="s">
        <v>844</v>
      </c>
      <c r="C929" s="1">
        <v>45330.625</v>
      </c>
      <c r="D929">
        <v>27104.63</v>
      </c>
      <c r="E929" t="s">
        <v>42</v>
      </c>
      <c r="F929" t="s">
        <v>27</v>
      </c>
      <c r="G929" t="s">
        <v>28</v>
      </c>
      <c r="H929" t="s">
        <v>29</v>
      </c>
      <c r="I929" t="s">
        <v>29</v>
      </c>
      <c r="J929" t="s">
        <v>37</v>
      </c>
      <c r="K929">
        <v>0</v>
      </c>
      <c r="L929">
        <v>2</v>
      </c>
      <c r="M929">
        <v>5.71</v>
      </c>
      <c r="N929">
        <v>1</v>
      </c>
      <c r="O929" t="str">
        <f>IF(financial_fraud_data[[#This Row],[Risk_Score]]&gt;8,"High",IF(financial_fraud_data[[#This Row],[Risk_Score]]&gt;5,"Med","Low"))</f>
        <v>Med</v>
      </c>
      <c r="P929" t="str">
        <f>TEXT(financial_fraud_data[[#This Row],[Transaction_Date]],"MMM")</f>
        <v>Feb</v>
      </c>
      <c r="Q929" t="str">
        <f>IF(financial_fraud_data[[#This Row],[Is_Fraud]]=1,"Yes","No")</f>
        <v>Yes</v>
      </c>
    </row>
    <row r="930" spans="1:17" x14ac:dyDescent="0.2">
      <c r="A930" t="s">
        <v>1391</v>
      </c>
      <c r="B930" t="s">
        <v>1083</v>
      </c>
      <c r="C930" s="1">
        <v>45330.666666666664</v>
      </c>
      <c r="D930">
        <v>31692.240000000002</v>
      </c>
      <c r="E930" t="s">
        <v>16</v>
      </c>
      <c r="F930" t="s">
        <v>50</v>
      </c>
      <c r="G930" t="s">
        <v>28</v>
      </c>
      <c r="H930" t="s">
        <v>23</v>
      </c>
      <c r="I930" t="s">
        <v>29</v>
      </c>
      <c r="J930" t="s">
        <v>37</v>
      </c>
      <c r="K930">
        <v>0</v>
      </c>
      <c r="L930">
        <v>3</v>
      </c>
      <c r="M930">
        <v>8.67</v>
      </c>
      <c r="N930">
        <v>1</v>
      </c>
      <c r="O930" t="str">
        <f>IF(financial_fraud_data[[#This Row],[Risk_Score]]&gt;8,"High",IF(financial_fraud_data[[#This Row],[Risk_Score]]&gt;5,"Med","Low"))</f>
        <v>High</v>
      </c>
      <c r="P930" t="str">
        <f>TEXT(financial_fraud_data[[#This Row],[Transaction_Date]],"MMM")</f>
        <v>Feb</v>
      </c>
      <c r="Q930" t="str">
        <f>IF(financial_fraud_data[[#This Row],[Is_Fraud]]=1,"Yes","No")</f>
        <v>Yes</v>
      </c>
    </row>
    <row r="931" spans="1:17" x14ac:dyDescent="0.2">
      <c r="A931" t="s">
        <v>1392</v>
      </c>
      <c r="B931" t="s">
        <v>293</v>
      </c>
      <c r="C931" s="1">
        <v>45330.708333333336</v>
      </c>
      <c r="D931">
        <v>12931.49</v>
      </c>
      <c r="E931" t="s">
        <v>42</v>
      </c>
      <c r="F931" t="s">
        <v>50</v>
      </c>
      <c r="G931" t="s">
        <v>28</v>
      </c>
      <c r="H931" t="s">
        <v>29</v>
      </c>
      <c r="I931" t="s">
        <v>36</v>
      </c>
      <c r="J931" t="s">
        <v>20</v>
      </c>
      <c r="K931">
        <v>0</v>
      </c>
      <c r="L931">
        <v>4</v>
      </c>
      <c r="M931">
        <v>8.2899999999999991</v>
      </c>
      <c r="N931">
        <v>1</v>
      </c>
      <c r="O931" t="str">
        <f>IF(financial_fraud_data[[#This Row],[Risk_Score]]&gt;8,"High",IF(financial_fraud_data[[#This Row],[Risk_Score]]&gt;5,"Med","Low"))</f>
        <v>High</v>
      </c>
      <c r="P931" t="str">
        <f>TEXT(financial_fraud_data[[#This Row],[Transaction_Date]],"MMM")</f>
        <v>Feb</v>
      </c>
      <c r="Q931" t="str">
        <f>IF(financial_fraud_data[[#This Row],[Is_Fraud]]=1,"Yes","No")</f>
        <v>Yes</v>
      </c>
    </row>
    <row r="932" spans="1:17" x14ac:dyDescent="0.2">
      <c r="A932" t="s">
        <v>1393</v>
      </c>
      <c r="B932" t="s">
        <v>545</v>
      </c>
      <c r="C932" s="1">
        <v>45330.75</v>
      </c>
      <c r="D932">
        <v>7010.84</v>
      </c>
      <c r="E932" t="s">
        <v>16</v>
      </c>
      <c r="F932" t="s">
        <v>27</v>
      </c>
      <c r="G932" t="s">
        <v>35</v>
      </c>
      <c r="H932" t="s">
        <v>19</v>
      </c>
      <c r="I932" t="s">
        <v>36</v>
      </c>
      <c r="J932" t="s">
        <v>51</v>
      </c>
      <c r="K932">
        <v>0</v>
      </c>
      <c r="L932">
        <v>0</v>
      </c>
      <c r="M932">
        <v>1.7</v>
      </c>
      <c r="N932">
        <v>0</v>
      </c>
      <c r="O932" t="str">
        <f>IF(financial_fraud_data[[#This Row],[Risk_Score]]&gt;8,"High",IF(financial_fraud_data[[#This Row],[Risk_Score]]&gt;5,"Med","Low"))</f>
        <v>Low</v>
      </c>
      <c r="P932" t="str">
        <f>TEXT(financial_fraud_data[[#This Row],[Transaction_Date]],"MMM")</f>
        <v>Feb</v>
      </c>
      <c r="Q932" t="str">
        <f>IF(financial_fraud_data[[#This Row],[Is_Fraud]]=1,"Yes","No")</f>
        <v>No</v>
      </c>
    </row>
    <row r="933" spans="1:17" x14ac:dyDescent="0.2">
      <c r="A933" t="s">
        <v>1394</v>
      </c>
      <c r="B933" t="s">
        <v>502</v>
      </c>
      <c r="C933" s="1">
        <v>45330.791666666664</v>
      </c>
      <c r="D933">
        <v>41754.769999999997</v>
      </c>
      <c r="E933" t="s">
        <v>42</v>
      </c>
      <c r="F933" t="s">
        <v>27</v>
      </c>
      <c r="G933" t="s">
        <v>56</v>
      </c>
      <c r="H933" t="s">
        <v>23</v>
      </c>
      <c r="I933" t="s">
        <v>19</v>
      </c>
      <c r="J933" t="s">
        <v>37</v>
      </c>
      <c r="K933">
        <v>0</v>
      </c>
      <c r="L933">
        <v>4</v>
      </c>
      <c r="M933">
        <v>11.18</v>
      </c>
      <c r="N933">
        <v>1</v>
      </c>
      <c r="O933" t="str">
        <f>IF(financial_fraud_data[[#This Row],[Risk_Score]]&gt;8,"High",IF(financial_fraud_data[[#This Row],[Risk_Score]]&gt;5,"Med","Low"))</f>
        <v>High</v>
      </c>
      <c r="P933" t="str">
        <f>TEXT(financial_fraud_data[[#This Row],[Transaction_Date]],"MMM")</f>
        <v>Feb</v>
      </c>
      <c r="Q933" t="str">
        <f>IF(financial_fraud_data[[#This Row],[Is_Fraud]]=1,"Yes","No")</f>
        <v>Yes</v>
      </c>
    </row>
    <row r="934" spans="1:17" x14ac:dyDescent="0.2">
      <c r="A934" t="s">
        <v>1395</v>
      </c>
      <c r="B934" t="s">
        <v>302</v>
      </c>
      <c r="C934" s="1">
        <v>45330.833333333336</v>
      </c>
      <c r="D934">
        <v>49220.89</v>
      </c>
      <c r="E934" t="s">
        <v>34</v>
      </c>
      <c r="F934" t="s">
        <v>50</v>
      </c>
      <c r="G934" t="s">
        <v>56</v>
      </c>
      <c r="H934" t="s">
        <v>19</v>
      </c>
      <c r="I934" t="s">
        <v>29</v>
      </c>
      <c r="J934" t="s">
        <v>37</v>
      </c>
      <c r="K934">
        <v>0</v>
      </c>
      <c r="L934">
        <v>4</v>
      </c>
      <c r="M934">
        <v>11.92</v>
      </c>
      <c r="N934">
        <v>1</v>
      </c>
      <c r="O934" t="str">
        <f>IF(financial_fraud_data[[#This Row],[Risk_Score]]&gt;8,"High",IF(financial_fraud_data[[#This Row],[Risk_Score]]&gt;5,"Med","Low"))</f>
        <v>High</v>
      </c>
      <c r="P934" t="str">
        <f>TEXT(financial_fraud_data[[#This Row],[Transaction_Date]],"MMM")</f>
        <v>Feb</v>
      </c>
      <c r="Q934" t="str">
        <f>IF(financial_fraud_data[[#This Row],[Is_Fraud]]=1,"Yes","No")</f>
        <v>Yes</v>
      </c>
    </row>
    <row r="935" spans="1:17" x14ac:dyDescent="0.2">
      <c r="A935" t="s">
        <v>1396</v>
      </c>
      <c r="B935" t="s">
        <v>901</v>
      </c>
      <c r="C935" s="1">
        <v>45330.875</v>
      </c>
      <c r="D935">
        <v>26308.22</v>
      </c>
      <c r="E935" t="s">
        <v>34</v>
      </c>
      <c r="F935" t="s">
        <v>50</v>
      </c>
      <c r="G935" t="s">
        <v>65</v>
      </c>
      <c r="H935" t="s">
        <v>19</v>
      </c>
      <c r="I935" t="s">
        <v>23</v>
      </c>
      <c r="J935" t="s">
        <v>51</v>
      </c>
      <c r="K935">
        <v>1</v>
      </c>
      <c r="L935">
        <v>1</v>
      </c>
      <c r="M935">
        <v>7.13</v>
      </c>
      <c r="N935">
        <v>1</v>
      </c>
      <c r="O935" t="str">
        <f>IF(financial_fraud_data[[#This Row],[Risk_Score]]&gt;8,"High",IF(financial_fraud_data[[#This Row],[Risk_Score]]&gt;5,"Med","Low"))</f>
        <v>Med</v>
      </c>
      <c r="P935" t="str">
        <f>TEXT(financial_fraud_data[[#This Row],[Transaction_Date]],"MMM")</f>
        <v>Feb</v>
      </c>
      <c r="Q935" t="str">
        <f>IF(financial_fraud_data[[#This Row],[Is_Fraud]]=1,"Yes","No")</f>
        <v>Yes</v>
      </c>
    </row>
    <row r="936" spans="1:17" x14ac:dyDescent="0.2">
      <c r="A936" t="s">
        <v>1397</v>
      </c>
      <c r="B936" t="s">
        <v>855</v>
      </c>
      <c r="C936" s="1">
        <v>45330.916666666664</v>
      </c>
      <c r="D936">
        <v>8625.3799999999992</v>
      </c>
      <c r="E936" t="s">
        <v>16</v>
      </c>
      <c r="F936" t="s">
        <v>27</v>
      </c>
      <c r="G936" t="s">
        <v>56</v>
      </c>
      <c r="H936" t="s">
        <v>36</v>
      </c>
      <c r="I936" t="s">
        <v>24</v>
      </c>
      <c r="J936" t="s">
        <v>20</v>
      </c>
      <c r="K936">
        <v>1</v>
      </c>
      <c r="L936">
        <v>2</v>
      </c>
      <c r="M936">
        <v>6.86</v>
      </c>
      <c r="N936">
        <v>1</v>
      </c>
      <c r="O936" t="str">
        <f>IF(financial_fraud_data[[#This Row],[Risk_Score]]&gt;8,"High",IF(financial_fraud_data[[#This Row],[Risk_Score]]&gt;5,"Med","Low"))</f>
        <v>Med</v>
      </c>
      <c r="P936" t="str">
        <f>TEXT(financial_fraud_data[[#This Row],[Transaction_Date]],"MMM")</f>
        <v>Feb</v>
      </c>
      <c r="Q936" t="str">
        <f>IF(financial_fraud_data[[#This Row],[Is_Fraud]]=1,"Yes","No")</f>
        <v>Yes</v>
      </c>
    </row>
    <row r="937" spans="1:17" x14ac:dyDescent="0.2">
      <c r="A937" t="s">
        <v>1398</v>
      </c>
      <c r="B937" t="s">
        <v>394</v>
      </c>
      <c r="C937" s="1">
        <v>45330.958333333336</v>
      </c>
      <c r="D937">
        <v>13651.75</v>
      </c>
      <c r="E937" t="s">
        <v>42</v>
      </c>
      <c r="F937" t="s">
        <v>27</v>
      </c>
      <c r="G937" t="s">
        <v>56</v>
      </c>
      <c r="H937" t="s">
        <v>29</v>
      </c>
      <c r="I937" t="s">
        <v>19</v>
      </c>
      <c r="J937" t="s">
        <v>20</v>
      </c>
      <c r="K937">
        <v>0</v>
      </c>
      <c r="L937">
        <v>0</v>
      </c>
      <c r="M937">
        <v>2.37</v>
      </c>
      <c r="N937">
        <v>0</v>
      </c>
      <c r="O937" t="str">
        <f>IF(financial_fraud_data[[#This Row],[Risk_Score]]&gt;8,"High",IF(financial_fraud_data[[#This Row],[Risk_Score]]&gt;5,"Med","Low"))</f>
        <v>Low</v>
      </c>
      <c r="P937" t="str">
        <f>TEXT(financial_fraud_data[[#This Row],[Transaction_Date]],"MMM")</f>
        <v>Feb</v>
      </c>
      <c r="Q937" t="str">
        <f>IF(financial_fraud_data[[#This Row],[Is_Fraud]]=1,"Yes","No")</f>
        <v>No</v>
      </c>
    </row>
    <row r="938" spans="1:17" x14ac:dyDescent="0.2">
      <c r="A938" t="s">
        <v>1399</v>
      </c>
      <c r="B938" t="s">
        <v>170</v>
      </c>
      <c r="C938" s="1">
        <v>45331</v>
      </c>
      <c r="D938">
        <v>968.61</v>
      </c>
      <c r="E938" t="s">
        <v>16</v>
      </c>
      <c r="F938" t="s">
        <v>17</v>
      </c>
      <c r="G938" t="s">
        <v>35</v>
      </c>
      <c r="H938" t="s">
        <v>29</v>
      </c>
      <c r="I938" t="s">
        <v>24</v>
      </c>
      <c r="J938" t="s">
        <v>37</v>
      </c>
      <c r="K938">
        <v>0</v>
      </c>
      <c r="L938">
        <v>4</v>
      </c>
      <c r="M938">
        <v>7.1</v>
      </c>
      <c r="N938">
        <v>1</v>
      </c>
      <c r="O938" t="str">
        <f>IF(financial_fraud_data[[#This Row],[Risk_Score]]&gt;8,"High",IF(financial_fraud_data[[#This Row],[Risk_Score]]&gt;5,"Med","Low"))</f>
        <v>Med</v>
      </c>
      <c r="P938" t="str">
        <f>TEXT(financial_fraud_data[[#This Row],[Transaction_Date]],"MMM")</f>
        <v>Feb</v>
      </c>
      <c r="Q938" t="str">
        <f>IF(financial_fraud_data[[#This Row],[Is_Fraud]]=1,"Yes","No")</f>
        <v>Yes</v>
      </c>
    </row>
    <row r="939" spans="1:17" x14ac:dyDescent="0.2">
      <c r="A939" t="s">
        <v>1400</v>
      </c>
      <c r="B939" t="s">
        <v>1401</v>
      </c>
      <c r="C939" s="1">
        <v>45331.041666666664</v>
      </c>
      <c r="D939">
        <v>45719.23</v>
      </c>
      <c r="E939" t="s">
        <v>34</v>
      </c>
      <c r="F939" t="s">
        <v>50</v>
      </c>
      <c r="G939" t="s">
        <v>28</v>
      </c>
      <c r="H939" t="s">
        <v>36</v>
      </c>
      <c r="I939" t="s">
        <v>23</v>
      </c>
      <c r="J939" t="s">
        <v>20</v>
      </c>
      <c r="K939">
        <v>1</v>
      </c>
      <c r="L939">
        <v>4</v>
      </c>
      <c r="M939">
        <v>13.57</v>
      </c>
      <c r="N939">
        <v>1</v>
      </c>
      <c r="O939" t="str">
        <f>IF(financial_fraud_data[[#This Row],[Risk_Score]]&gt;8,"High",IF(financial_fraud_data[[#This Row],[Risk_Score]]&gt;5,"Med","Low"))</f>
        <v>High</v>
      </c>
      <c r="P939" t="str">
        <f>TEXT(financial_fraud_data[[#This Row],[Transaction_Date]],"MMM")</f>
        <v>Feb</v>
      </c>
      <c r="Q939" t="str">
        <f>IF(financial_fraud_data[[#This Row],[Is_Fraud]]=1,"Yes","No")</f>
        <v>Yes</v>
      </c>
    </row>
    <row r="940" spans="1:17" x14ac:dyDescent="0.2">
      <c r="A940" t="s">
        <v>1402</v>
      </c>
      <c r="B940" t="s">
        <v>58</v>
      </c>
      <c r="C940" s="1">
        <v>45331.083333333336</v>
      </c>
      <c r="D940">
        <v>5931.67</v>
      </c>
      <c r="E940" t="s">
        <v>42</v>
      </c>
      <c r="F940" t="s">
        <v>50</v>
      </c>
      <c r="G940" t="s">
        <v>28</v>
      </c>
      <c r="H940" t="s">
        <v>29</v>
      </c>
      <c r="I940" t="s">
        <v>23</v>
      </c>
      <c r="J940" t="s">
        <v>51</v>
      </c>
      <c r="K940">
        <v>0</v>
      </c>
      <c r="L940">
        <v>2</v>
      </c>
      <c r="M940">
        <v>4.59</v>
      </c>
      <c r="N940">
        <v>0</v>
      </c>
      <c r="O940" t="str">
        <f>IF(financial_fraud_data[[#This Row],[Risk_Score]]&gt;8,"High",IF(financial_fraud_data[[#This Row],[Risk_Score]]&gt;5,"Med","Low"))</f>
        <v>Low</v>
      </c>
      <c r="P940" t="str">
        <f>TEXT(financial_fraud_data[[#This Row],[Transaction_Date]],"MMM")</f>
        <v>Feb</v>
      </c>
      <c r="Q940" t="str">
        <f>IF(financial_fraud_data[[#This Row],[Is_Fraud]]=1,"Yes","No")</f>
        <v>No</v>
      </c>
    </row>
    <row r="941" spans="1:17" x14ac:dyDescent="0.2">
      <c r="A941" t="s">
        <v>1403</v>
      </c>
      <c r="B941" t="s">
        <v>814</v>
      </c>
      <c r="C941" s="1">
        <v>45331.125</v>
      </c>
      <c r="D941">
        <v>28847</v>
      </c>
      <c r="E941" t="s">
        <v>42</v>
      </c>
      <c r="F941" t="s">
        <v>17</v>
      </c>
      <c r="G941" t="s">
        <v>35</v>
      </c>
      <c r="H941" t="s">
        <v>36</v>
      </c>
      <c r="I941" t="s">
        <v>24</v>
      </c>
      <c r="J941" t="s">
        <v>20</v>
      </c>
      <c r="K941">
        <v>0</v>
      </c>
      <c r="L941">
        <v>4</v>
      </c>
      <c r="M941">
        <v>9.8800000000000008</v>
      </c>
      <c r="N941">
        <v>1</v>
      </c>
      <c r="O941" t="str">
        <f>IF(financial_fraud_data[[#This Row],[Risk_Score]]&gt;8,"High",IF(financial_fraud_data[[#This Row],[Risk_Score]]&gt;5,"Med","Low"))</f>
        <v>High</v>
      </c>
      <c r="P941" t="str">
        <f>TEXT(financial_fraud_data[[#This Row],[Transaction_Date]],"MMM")</f>
        <v>Feb</v>
      </c>
      <c r="Q941" t="str">
        <f>IF(financial_fraud_data[[#This Row],[Is_Fraud]]=1,"Yes","No")</f>
        <v>Yes</v>
      </c>
    </row>
    <row r="942" spans="1:17" x14ac:dyDescent="0.2">
      <c r="A942" t="s">
        <v>1404</v>
      </c>
      <c r="B942" t="s">
        <v>627</v>
      </c>
      <c r="C942" s="1">
        <v>45331.166666666664</v>
      </c>
      <c r="D942">
        <v>13739.06</v>
      </c>
      <c r="E942" t="s">
        <v>16</v>
      </c>
      <c r="F942" t="s">
        <v>50</v>
      </c>
      <c r="G942" t="s">
        <v>56</v>
      </c>
      <c r="H942" t="s">
        <v>23</v>
      </c>
      <c r="I942" t="s">
        <v>19</v>
      </c>
      <c r="J942" t="s">
        <v>51</v>
      </c>
      <c r="K942">
        <v>0</v>
      </c>
      <c r="L942">
        <v>4</v>
      </c>
      <c r="M942">
        <v>8.3699999999999992</v>
      </c>
      <c r="N942">
        <v>1</v>
      </c>
      <c r="O942" t="str">
        <f>IF(financial_fraud_data[[#This Row],[Risk_Score]]&gt;8,"High",IF(financial_fraud_data[[#This Row],[Risk_Score]]&gt;5,"Med","Low"))</f>
        <v>High</v>
      </c>
      <c r="P942" t="str">
        <f>TEXT(financial_fraud_data[[#This Row],[Transaction_Date]],"MMM")</f>
        <v>Feb</v>
      </c>
      <c r="Q942" t="str">
        <f>IF(financial_fraud_data[[#This Row],[Is_Fraud]]=1,"Yes","No")</f>
        <v>Yes</v>
      </c>
    </row>
    <row r="943" spans="1:17" x14ac:dyDescent="0.2">
      <c r="A943" t="s">
        <v>1405</v>
      </c>
      <c r="B943" t="s">
        <v>491</v>
      </c>
      <c r="C943" s="1">
        <v>45331.208333333336</v>
      </c>
      <c r="D943">
        <v>27731.19</v>
      </c>
      <c r="E943" t="s">
        <v>80</v>
      </c>
      <c r="F943" t="s">
        <v>47</v>
      </c>
      <c r="G943" t="s">
        <v>35</v>
      </c>
      <c r="H943" t="s">
        <v>19</v>
      </c>
      <c r="I943" t="s">
        <v>24</v>
      </c>
      <c r="J943" t="s">
        <v>37</v>
      </c>
      <c r="K943">
        <v>0</v>
      </c>
      <c r="L943">
        <v>4</v>
      </c>
      <c r="M943">
        <v>9.77</v>
      </c>
      <c r="N943">
        <v>1</v>
      </c>
      <c r="O943" t="str">
        <f>IF(financial_fraud_data[[#This Row],[Risk_Score]]&gt;8,"High",IF(financial_fraud_data[[#This Row],[Risk_Score]]&gt;5,"Med","Low"))</f>
        <v>High</v>
      </c>
      <c r="P943" t="str">
        <f>TEXT(financial_fraud_data[[#This Row],[Transaction_Date]],"MMM")</f>
        <v>Feb</v>
      </c>
      <c r="Q943" t="str">
        <f>IF(financial_fraud_data[[#This Row],[Is_Fraud]]=1,"Yes","No")</f>
        <v>Yes</v>
      </c>
    </row>
    <row r="944" spans="1:17" x14ac:dyDescent="0.2">
      <c r="A944" t="s">
        <v>1406</v>
      </c>
      <c r="B944" t="s">
        <v>809</v>
      </c>
      <c r="C944" s="1">
        <v>45331.25</v>
      </c>
      <c r="D944">
        <v>32588.45</v>
      </c>
      <c r="E944" t="s">
        <v>16</v>
      </c>
      <c r="F944" t="s">
        <v>50</v>
      </c>
      <c r="G944" t="s">
        <v>65</v>
      </c>
      <c r="H944" t="s">
        <v>19</v>
      </c>
      <c r="I944" t="s">
        <v>19</v>
      </c>
      <c r="J944" t="s">
        <v>51</v>
      </c>
      <c r="K944">
        <v>0</v>
      </c>
      <c r="L944">
        <v>4</v>
      </c>
      <c r="M944">
        <v>9.26</v>
      </c>
      <c r="N944">
        <v>1</v>
      </c>
      <c r="O944" t="str">
        <f>IF(financial_fraud_data[[#This Row],[Risk_Score]]&gt;8,"High",IF(financial_fraud_data[[#This Row],[Risk_Score]]&gt;5,"Med","Low"))</f>
        <v>High</v>
      </c>
      <c r="P944" t="str">
        <f>TEXT(financial_fraud_data[[#This Row],[Transaction_Date]],"MMM")</f>
        <v>Feb</v>
      </c>
      <c r="Q944" t="str">
        <f>IF(financial_fraud_data[[#This Row],[Is_Fraud]]=1,"Yes","No")</f>
        <v>Yes</v>
      </c>
    </row>
    <row r="945" spans="1:17" x14ac:dyDescent="0.2">
      <c r="A945" t="s">
        <v>1407</v>
      </c>
      <c r="B945" t="s">
        <v>1408</v>
      </c>
      <c r="C945" s="1">
        <v>45331.291666666664</v>
      </c>
      <c r="D945">
        <v>41495.599999999999</v>
      </c>
      <c r="E945" t="s">
        <v>34</v>
      </c>
      <c r="F945" t="s">
        <v>17</v>
      </c>
      <c r="G945" t="s">
        <v>28</v>
      </c>
      <c r="H945" t="s">
        <v>29</v>
      </c>
      <c r="I945" t="s">
        <v>19</v>
      </c>
      <c r="J945" t="s">
        <v>37</v>
      </c>
      <c r="K945">
        <v>1</v>
      </c>
      <c r="L945">
        <v>1</v>
      </c>
      <c r="M945">
        <v>8.65</v>
      </c>
      <c r="N945">
        <v>1</v>
      </c>
      <c r="O945" t="str">
        <f>IF(financial_fraud_data[[#This Row],[Risk_Score]]&gt;8,"High",IF(financial_fraud_data[[#This Row],[Risk_Score]]&gt;5,"Med","Low"))</f>
        <v>High</v>
      </c>
      <c r="P945" t="str">
        <f>TEXT(financial_fraud_data[[#This Row],[Transaction_Date]],"MMM")</f>
        <v>Feb</v>
      </c>
      <c r="Q945" t="str">
        <f>IF(financial_fraud_data[[#This Row],[Is_Fraud]]=1,"Yes","No")</f>
        <v>Yes</v>
      </c>
    </row>
    <row r="946" spans="1:17" x14ac:dyDescent="0.2">
      <c r="A946" t="s">
        <v>1409</v>
      </c>
      <c r="B946" t="s">
        <v>1024</v>
      </c>
      <c r="C946" s="1">
        <v>45331.333333333336</v>
      </c>
      <c r="D946">
        <v>10360.74</v>
      </c>
      <c r="E946" t="s">
        <v>34</v>
      </c>
      <c r="F946" t="s">
        <v>47</v>
      </c>
      <c r="G946" t="s">
        <v>18</v>
      </c>
      <c r="H946" t="s">
        <v>24</v>
      </c>
      <c r="I946" t="s">
        <v>36</v>
      </c>
      <c r="J946" t="s">
        <v>51</v>
      </c>
      <c r="K946">
        <v>0</v>
      </c>
      <c r="L946">
        <v>1</v>
      </c>
      <c r="M946">
        <v>3.54</v>
      </c>
      <c r="N946">
        <v>0</v>
      </c>
      <c r="O946" t="str">
        <f>IF(financial_fraud_data[[#This Row],[Risk_Score]]&gt;8,"High",IF(financial_fraud_data[[#This Row],[Risk_Score]]&gt;5,"Med","Low"))</f>
        <v>Low</v>
      </c>
      <c r="P946" t="str">
        <f>TEXT(financial_fraud_data[[#This Row],[Transaction_Date]],"MMM")</f>
        <v>Feb</v>
      </c>
      <c r="Q946" t="str">
        <f>IF(financial_fraud_data[[#This Row],[Is_Fraud]]=1,"Yes","No")</f>
        <v>No</v>
      </c>
    </row>
    <row r="947" spans="1:17" x14ac:dyDescent="0.2">
      <c r="A947" t="s">
        <v>1410</v>
      </c>
      <c r="B947" t="s">
        <v>590</v>
      </c>
      <c r="C947" s="1">
        <v>45331.375</v>
      </c>
      <c r="D947">
        <v>599.24</v>
      </c>
      <c r="E947" t="s">
        <v>34</v>
      </c>
      <c r="F947" t="s">
        <v>27</v>
      </c>
      <c r="G947" t="s">
        <v>65</v>
      </c>
      <c r="H947" t="s">
        <v>19</v>
      </c>
      <c r="I947" t="s">
        <v>29</v>
      </c>
      <c r="J947" t="s">
        <v>51</v>
      </c>
      <c r="K947">
        <v>0</v>
      </c>
      <c r="L947">
        <v>3</v>
      </c>
      <c r="M947">
        <v>5.56</v>
      </c>
      <c r="N947">
        <v>1</v>
      </c>
      <c r="O947" t="str">
        <f>IF(financial_fraud_data[[#This Row],[Risk_Score]]&gt;8,"High",IF(financial_fraud_data[[#This Row],[Risk_Score]]&gt;5,"Med","Low"))</f>
        <v>Med</v>
      </c>
      <c r="P947" t="str">
        <f>TEXT(financial_fraud_data[[#This Row],[Transaction_Date]],"MMM")</f>
        <v>Feb</v>
      </c>
      <c r="Q947" t="str">
        <f>IF(financial_fraud_data[[#This Row],[Is_Fraud]]=1,"Yes","No")</f>
        <v>Yes</v>
      </c>
    </row>
    <row r="948" spans="1:17" x14ac:dyDescent="0.2">
      <c r="A948" t="s">
        <v>1411</v>
      </c>
      <c r="B948" t="s">
        <v>746</v>
      </c>
      <c r="C948" s="1">
        <v>45331.416666666664</v>
      </c>
      <c r="D948">
        <v>6887.44</v>
      </c>
      <c r="E948" t="s">
        <v>34</v>
      </c>
      <c r="F948" t="s">
        <v>17</v>
      </c>
      <c r="G948" t="s">
        <v>65</v>
      </c>
      <c r="H948" t="s">
        <v>36</v>
      </c>
      <c r="I948" t="s">
        <v>29</v>
      </c>
      <c r="J948" t="s">
        <v>20</v>
      </c>
      <c r="K948">
        <v>0</v>
      </c>
      <c r="L948">
        <v>0</v>
      </c>
      <c r="M948">
        <v>1.69</v>
      </c>
      <c r="N948">
        <v>0</v>
      </c>
      <c r="O948" t="str">
        <f>IF(financial_fraud_data[[#This Row],[Risk_Score]]&gt;8,"High",IF(financial_fraud_data[[#This Row],[Risk_Score]]&gt;5,"Med","Low"))</f>
        <v>Low</v>
      </c>
      <c r="P948" t="str">
        <f>TEXT(financial_fraud_data[[#This Row],[Transaction_Date]],"MMM")</f>
        <v>Feb</v>
      </c>
      <c r="Q948" t="str">
        <f>IF(financial_fraud_data[[#This Row],[Is_Fraud]]=1,"Yes","No")</f>
        <v>No</v>
      </c>
    </row>
    <row r="949" spans="1:17" x14ac:dyDescent="0.2">
      <c r="A949" t="s">
        <v>1412</v>
      </c>
      <c r="B949" t="s">
        <v>22</v>
      </c>
      <c r="C949" s="1">
        <v>45331.458333333336</v>
      </c>
      <c r="D949">
        <v>45005.93</v>
      </c>
      <c r="E949" t="s">
        <v>34</v>
      </c>
      <c r="F949" t="s">
        <v>17</v>
      </c>
      <c r="G949" t="s">
        <v>35</v>
      </c>
      <c r="H949" t="s">
        <v>24</v>
      </c>
      <c r="I949" t="s">
        <v>23</v>
      </c>
      <c r="J949" t="s">
        <v>51</v>
      </c>
      <c r="K949">
        <v>0</v>
      </c>
      <c r="L949">
        <v>2</v>
      </c>
      <c r="M949">
        <v>8.5</v>
      </c>
      <c r="N949">
        <v>1</v>
      </c>
      <c r="O949" t="str">
        <f>IF(financial_fraud_data[[#This Row],[Risk_Score]]&gt;8,"High",IF(financial_fraud_data[[#This Row],[Risk_Score]]&gt;5,"Med","Low"))</f>
        <v>High</v>
      </c>
      <c r="P949" t="str">
        <f>TEXT(financial_fraud_data[[#This Row],[Transaction_Date]],"MMM")</f>
        <v>Feb</v>
      </c>
      <c r="Q949" t="str">
        <f>IF(financial_fraud_data[[#This Row],[Is_Fraud]]=1,"Yes","No")</f>
        <v>Yes</v>
      </c>
    </row>
    <row r="950" spans="1:17" x14ac:dyDescent="0.2">
      <c r="A950" t="s">
        <v>1413</v>
      </c>
      <c r="B950" t="s">
        <v>848</v>
      </c>
      <c r="C950" s="1">
        <v>45331.5</v>
      </c>
      <c r="D950">
        <v>43700.81</v>
      </c>
      <c r="E950" t="s">
        <v>80</v>
      </c>
      <c r="F950" t="s">
        <v>27</v>
      </c>
      <c r="G950" t="s">
        <v>56</v>
      </c>
      <c r="H950" t="s">
        <v>24</v>
      </c>
      <c r="I950" t="s">
        <v>36</v>
      </c>
      <c r="J950" t="s">
        <v>37</v>
      </c>
      <c r="K950">
        <v>0</v>
      </c>
      <c r="L950">
        <v>3</v>
      </c>
      <c r="M950">
        <v>9.8699999999999992</v>
      </c>
      <c r="N950">
        <v>1</v>
      </c>
      <c r="O950" t="str">
        <f>IF(financial_fraud_data[[#This Row],[Risk_Score]]&gt;8,"High",IF(financial_fraud_data[[#This Row],[Risk_Score]]&gt;5,"Med","Low"))</f>
        <v>High</v>
      </c>
      <c r="P950" t="str">
        <f>TEXT(financial_fraud_data[[#This Row],[Transaction_Date]],"MMM")</f>
        <v>Feb</v>
      </c>
      <c r="Q950" t="str">
        <f>IF(financial_fraud_data[[#This Row],[Is_Fraud]]=1,"Yes","No")</f>
        <v>Yes</v>
      </c>
    </row>
    <row r="951" spans="1:17" x14ac:dyDescent="0.2">
      <c r="A951" t="s">
        <v>1414</v>
      </c>
      <c r="B951" t="s">
        <v>152</v>
      </c>
      <c r="C951" s="1">
        <v>45331.541666666664</v>
      </c>
      <c r="D951">
        <v>29890.78</v>
      </c>
      <c r="E951" t="s">
        <v>42</v>
      </c>
      <c r="F951" t="s">
        <v>17</v>
      </c>
      <c r="G951" t="s">
        <v>28</v>
      </c>
      <c r="H951" t="s">
        <v>19</v>
      </c>
      <c r="I951" t="s">
        <v>29</v>
      </c>
      <c r="J951" t="s">
        <v>51</v>
      </c>
      <c r="K951">
        <v>0</v>
      </c>
      <c r="L951">
        <v>1</v>
      </c>
      <c r="M951">
        <v>5.49</v>
      </c>
      <c r="N951">
        <v>1</v>
      </c>
      <c r="O951" t="str">
        <f>IF(financial_fraud_data[[#This Row],[Risk_Score]]&gt;8,"High",IF(financial_fraud_data[[#This Row],[Risk_Score]]&gt;5,"Med","Low"))</f>
        <v>Med</v>
      </c>
      <c r="P951" t="str">
        <f>TEXT(financial_fraud_data[[#This Row],[Transaction_Date]],"MMM")</f>
        <v>Feb</v>
      </c>
      <c r="Q951" t="str">
        <f>IF(financial_fraud_data[[#This Row],[Is_Fraud]]=1,"Yes","No")</f>
        <v>Yes</v>
      </c>
    </row>
    <row r="952" spans="1:17" x14ac:dyDescent="0.2">
      <c r="A952" t="s">
        <v>1415</v>
      </c>
      <c r="B952" t="s">
        <v>15</v>
      </c>
      <c r="C952" s="1">
        <v>45331.583333333336</v>
      </c>
      <c r="D952">
        <v>30045.82</v>
      </c>
      <c r="E952" t="s">
        <v>16</v>
      </c>
      <c r="F952" t="s">
        <v>50</v>
      </c>
      <c r="G952" t="s">
        <v>18</v>
      </c>
      <c r="H952" t="s">
        <v>19</v>
      </c>
      <c r="I952" t="s">
        <v>19</v>
      </c>
      <c r="J952" t="s">
        <v>37</v>
      </c>
      <c r="K952">
        <v>0</v>
      </c>
      <c r="L952">
        <v>1</v>
      </c>
      <c r="M952">
        <v>4.5</v>
      </c>
      <c r="N952">
        <v>0</v>
      </c>
      <c r="O952" t="str">
        <f>IF(financial_fraud_data[[#This Row],[Risk_Score]]&gt;8,"High",IF(financial_fraud_data[[#This Row],[Risk_Score]]&gt;5,"Med","Low"))</f>
        <v>Low</v>
      </c>
      <c r="P952" t="str">
        <f>TEXT(financial_fraud_data[[#This Row],[Transaction_Date]],"MMM")</f>
        <v>Feb</v>
      </c>
      <c r="Q952" t="str">
        <f>IF(financial_fraud_data[[#This Row],[Is_Fraud]]=1,"Yes","No")</f>
        <v>No</v>
      </c>
    </row>
    <row r="953" spans="1:17" x14ac:dyDescent="0.2">
      <c r="A953" t="s">
        <v>1416</v>
      </c>
      <c r="B953" t="s">
        <v>1157</v>
      </c>
      <c r="C953" s="1">
        <v>45331.625</v>
      </c>
      <c r="D953">
        <v>33268.58</v>
      </c>
      <c r="E953" t="s">
        <v>16</v>
      </c>
      <c r="F953" t="s">
        <v>27</v>
      </c>
      <c r="G953" t="s">
        <v>65</v>
      </c>
      <c r="H953" t="s">
        <v>19</v>
      </c>
      <c r="I953" t="s">
        <v>19</v>
      </c>
      <c r="J953" t="s">
        <v>37</v>
      </c>
      <c r="K953">
        <v>1</v>
      </c>
      <c r="L953">
        <v>1</v>
      </c>
      <c r="M953">
        <v>6.83</v>
      </c>
      <c r="N953">
        <v>1</v>
      </c>
      <c r="O953" t="str">
        <f>IF(financial_fraud_data[[#This Row],[Risk_Score]]&gt;8,"High",IF(financial_fraud_data[[#This Row],[Risk_Score]]&gt;5,"Med","Low"))</f>
        <v>Med</v>
      </c>
      <c r="P953" t="str">
        <f>TEXT(financial_fraud_data[[#This Row],[Transaction_Date]],"MMM")</f>
        <v>Feb</v>
      </c>
      <c r="Q953" t="str">
        <f>IF(financial_fraud_data[[#This Row],[Is_Fraud]]=1,"Yes","No")</f>
        <v>Yes</v>
      </c>
    </row>
    <row r="954" spans="1:17" x14ac:dyDescent="0.2">
      <c r="A954" t="s">
        <v>1417</v>
      </c>
      <c r="B954" t="s">
        <v>671</v>
      </c>
      <c r="C954" s="1">
        <v>45331.666666666664</v>
      </c>
      <c r="D954">
        <v>8809.7999999999993</v>
      </c>
      <c r="E954" t="s">
        <v>34</v>
      </c>
      <c r="F954" t="s">
        <v>17</v>
      </c>
      <c r="G954" t="s">
        <v>18</v>
      </c>
      <c r="H954" t="s">
        <v>36</v>
      </c>
      <c r="I954" t="s">
        <v>24</v>
      </c>
      <c r="J954" t="s">
        <v>51</v>
      </c>
      <c r="K954">
        <v>0</v>
      </c>
      <c r="L954">
        <v>3</v>
      </c>
      <c r="M954">
        <v>6.38</v>
      </c>
      <c r="N954">
        <v>1</v>
      </c>
      <c r="O954" t="str">
        <f>IF(financial_fraud_data[[#This Row],[Risk_Score]]&gt;8,"High",IF(financial_fraud_data[[#This Row],[Risk_Score]]&gt;5,"Med","Low"))</f>
        <v>Med</v>
      </c>
      <c r="P954" t="str">
        <f>TEXT(financial_fraud_data[[#This Row],[Transaction_Date]],"MMM")</f>
        <v>Feb</v>
      </c>
      <c r="Q954" t="str">
        <f>IF(financial_fraud_data[[#This Row],[Is_Fraud]]=1,"Yes","No")</f>
        <v>Yes</v>
      </c>
    </row>
    <row r="955" spans="1:17" x14ac:dyDescent="0.2">
      <c r="A955" t="s">
        <v>1418</v>
      </c>
      <c r="B955" t="s">
        <v>674</v>
      </c>
      <c r="C955" s="1">
        <v>45331.708333333336</v>
      </c>
      <c r="D955">
        <v>45724.88</v>
      </c>
      <c r="E955" t="s">
        <v>16</v>
      </c>
      <c r="F955" t="s">
        <v>27</v>
      </c>
      <c r="G955" t="s">
        <v>56</v>
      </c>
      <c r="H955" t="s">
        <v>24</v>
      </c>
      <c r="I955" t="s">
        <v>24</v>
      </c>
      <c r="J955" t="s">
        <v>20</v>
      </c>
      <c r="K955">
        <v>0</v>
      </c>
      <c r="L955">
        <v>1</v>
      </c>
      <c r="M955">
        <v>6.07</v>
      </c>
      <c r="N955">
        <v>1</v>
      </c>
      <c r="O955" t="str">
        <f>IF(financial_fraud_data[[#This Row],[Risk_Score]]&gt;8,"High",IF(financial_fraud_data[[#This Row],[Risk_Score]]&gt;5,"Med","Low"))</f>
        <v>Med</v>
      </c>
      <c r="P955" t="str">
        <f>TEXT(financial_fraud_data[[#This Row],[Transaction_Date]],"MMM")</f>
        <v>Feb</v>
      </c>
      <c r="Q955" t="str">
        <f>IF(financial_fraud_data[[#This Row],[Is_Fraud]]=1,"Yes","No")</f>
        <v>Yes</v>
      </c>
    </row>
    <row r="956" spans="1:17" x14ac:dyDescent="0.2">
      <c r="A956" t="s">
        <v>1419</v>
      </c>
      <c r="B956" t="s">
        <v>805</v>
      </c>
      <c r="C956" s="1">
        <v>45331.75</v>
      </c>
      <c r="D956">
        <v>20967.59</v>
      </c>
      <c r="E956" t="s">
        <v>34</v>
      </c>
      <c r="F956" t="s">
        <v>27</v>
      </c>
      <c r="G956" t="s">
        <v>56</v>
      </c>
      <c r="H956" t="s">
        <v>29</v>
      </c>
      <c r="I956" t="s">
        <v>19</v>
      </c>
      <c r="J956" t="s">
        <v>51</v>
      </c>
      <c r="K956">
        <v>0</v>
      </c>
      <c r="L956">
        <v>3</v>
      </c>
      <c r="M956">
        <v>7.6</v>
      </c>
      <c r="N956">
        <v>1</v>
      </c>
      <c r="O956" t="str">
        <f>IF(financial_fraud_data[[#This Row],[Risk_Score]]&gt;8,"High",IF(financial_fraud_data[[#This Row],[Risk_Score]]&gt;5,"Med","Low"))</f>
        <v>Med</v>
      </c>
      <c r="P956" t="str">
        <f>TEXT(financial_fraud_data[[#This Row],[Transaction_Date]],"MMM")</f>
        <v>Feb</v>
      </c>
      <c r="Q956" t="str">
        <f>IF(financial_fraud_data[[#This Row],[Is_Fraud]]=1,"Yes","No")</f>
        <v>Yes</v>
      </c>
    </row>
    <row r="957" spans="1:17" x14ac:dyDescent="0.2">
      <c r="A957" t="s">
        <v>1420</v>
      </c>
      <c r="B957" t="s">
        <v>1107</v>
      </c>
      <c r="C957" s="1">
        <v>45331.791666666664</v>
      </c>
      <c r="D957">
        <v>19187.77</v>
      </c>
      <c r="E957" t="s">
        <v>80</v>
      </c>
      <c r="F957" t="s">
        <v>27</v>
      </c>
      <c r="G957" t="s">
        <v>18</v>
      </c>
      <c r="H957" t="s">
        <v>36</v>
      </c>
      <c r="I957" t="s">
        <v>19</v>
      </c>
      <c r="J957" t="s">
        <v>51</v>
      </c>
      <c r="K957">
        <v>0</v>
      </c>
      <c r="L957">
        <v>1</v>
      </c>
      <c r="M957">
        <v>4.42</v>
      </c>
      <c r="N957">
        <v>0</v>
      </c>
      <c r="O957" t="str">
        <f>IF(financial_fraud_data[[#This Row],[Risk_Score]]&gt;8,"High",IF(financial_fraud_data[[#This Row],[Risk_Score]]&gt;5,"Med","Low"))</f>
        <v>Low</v>
      </c>
      <c r="P957" t="str">
        <f>TEXT(financial_fraud_data[[#This Row],[Transaction_Date]],"MMM")</f>
        <v>Feb</v>
      </c>
      <c r="Q957" t="str">
        <f>IF(financial_fraud_data[[#This Row],[Is_Fraud]]=1,"Yes","No")</f>
        <v>No</v>
      </c>
    </row>
    <row r="958" spans="1:17" x14ac:dyDescent="0.2">
      <c r="A958" t="s">
        <v>1421</v>
      </c>
      <c r="B958" t="s">
        <v>356</v>
      </c>
      <c r="C958" s="1">
        <v>45331.833333333336</v>
      </c>
      <c r="D958">
        <v>25969.94</v>
      </c>
      <c r="E958" t="s">
        <v>80</v>
      </c>
      <c r="F958" t="s">
        <v>47</v>
      </c>
      <c r="G958" t="s">
        <v>28</v>
      </c>
      <c r="H958" t="s">
        <v>23</v>
      </c>
      <c r="I958" t="s">
        <v>24</v>
      </c>
      <c r="J958" t="s">
        <v>20</v>
      </c>
      <c r="K958">
        <v>0</v>
      </c>
      <c r="L958">
        <v>4</v>
      </c>
      <c r="M958">
        <v>9.6</v>
      </c>
      <c r="N958">
        <v>1</v>
      </c>
      <c r="O958" t="str">
        <f>IF(financial_fraud_data[[#This Row],[Risk_Score]]&gt;8,"High",IF(financial_fraud_data[[#This Row],[Risk_Score]]&gt;5,"Med","Low"))</f>
        <v>High</v>
      </c>
      <c r="P958" t="str">
        <f>TEXT(financial_fraud_data[[#This Row],[Transaction_Date]],"MMM")</f>
        <v>Feb</v>
      </c>
      <c r="Q958" t="str">
        <f>IF(financial_fraud_data[[#This Row],[Is_Fraud]]=1,"Yes","No")</f>
        <v>Yes</v>
      </c>
    </row>
    <row r="959" spans="1:17" x14ac:dyDescent="0.2">
      <c r="A959" t="s">
        <v>1422</v>
      </c>
      <c r="B959" t="s">
        <v>1423</v>
      </c>
      <c r="C959" s="1">
        <v>45331.875</v>
      </c>
      <c r="D959">
        <v>2395.9499999999998</v>
      </c>
      <c r="E959" t="s">
        <v>42</v>
      </c>
      <c r="F959" t="s">
        <v>17</v>
      </c>
      <c r="G959" t="s">
        <v>56</v>
      </c>
      <c r="H959" t="s">
        <v>19</v>
      </c>
      <c r="I959" t="s">
        <v>29</v>
      </c>
      <c r="J959" t="s">
        <v>37</v>
      </c>
      <c r="K959">
        <v>1</v>
      </c>
      <c r="L959">
        <v>4</v>
      </c>
      <c r="M959">
        <v>9.24</v>
      </c>
      <c r="N959">
        <v>1</v>
      </c>
      <c r="O959" t="str">
        <f>IF(financial_fraud_data[[#This Row],[Risk_Score]]&gt;8,"High",IF(financial_fraud_data[[#This Row],[Risk_Score]]&gt;5,"Med","Low"))</f>
        <v>High</v>
      </c>
      <c r="P959" t="str">
        <f>TEXT(financial_fraud_data[[#This Row],[Transaction_Date]],"MMM")</f>
        <v>Feb</v>
      </c>
      <c r="Q959" t="str">
        <f>IF(financial_fraud_data[[#This Row],[Is_Fraud]]=1,"Yes","No")</f>
        <v>Yes</v>
      </c>
    </row>
    <row r="960" spans="1:17" x14ac:dyDescent="0.2">
      <c r="A960" t="s">
        <v>1424</v>
      </c>
      <c r="B960" t="s">
        <v>512</v>
      </c>
      <c r="C960" s="1">
        <v>45331.916666666664</v>
      </c>
      <c r="D960">
        <v>8355.85</v>
      </c>
      <c r="E960" t="s">
        <v>80</v>
      </c>
      <c r="F960" t="s">
        <v>47</v>
      </c>
      <c r="G960" t="s">
        <v>18</v>
      </c>
      <c r="H960" t="s">
        <v>24</v>
      </c>
      <c r="I960" t="s">
        <v>23</v>
      </c>
      <c r="J960" t="s">
        <v>51</v>
      </c>
      <c r="K960">
        <v>1</v>
      </c>
      <c r="L960">
        <v>0</v>
      </c>
      <c r="M960">
        <v>3.84</v>
      </c>
      <c r="N960">
        <v>0</v>
      </c>
      <c r="O960" t="str">
        <f>IF(financial_fraud_data[[#This Row],[Risk_Score]]&gt;8,"High",IF(financial_fraud_data[[#This Row],[Risk_Score]]&gt;5,"Med","Low"))</f>
        <v>Low</v>
      </c>
      <c r="P960" t="str">
        <f>TEXT(financial_fraud_data[[#This Row],[Transaction_Date]],"MMM")</f>
        <v>Feb</v>
      </c>
      <c r="Q960" t="str">
        <f>IF(financial_fraud_data[[#This Row],[Is_Fraud]]=1,"Yes","No")</f>
        <v>No</v>
      </c>
    </row>
    <row r="961" spans="1:17" x14ac:dyDescent="0.2">
      <c r="A961" t="s">
        <v>1425</v>
      </c>
      <c r="B961" t="s">
        <v>759</v>
      </c>
      <c r="C961" s="1">
        <v>45331.958333333336</v>
      </c>
      <c r="D961">
        <v>36914.78</v>
      </c>
      <c r="E961" t="s">
        <v>80</v>
      </c>
      <c r="F961" t="s">
        <v>17</v>
      </c>
      <c r="G961" t="s">
        <v>65</v>
      </c>
      <c r="H961" t="s">
        <v>36</v>
      </c>
      <c r="I961" t="s">
        <v>24</v>
      </c>
      <c r="J961" t="s">
        <v>20</v>
      </c>
      <c r="K961">
        <v>0</v>
      </c>
      <c r="L961">
        <v>1</v>
      </c>
      <c r="M961">
        <v>6.19</v>
      </c>
      <c r="N961">
        <v>1</v>
      </c>
      <c r="O961" t="str">
        <f>IF(financial_fraud_data[[#This Row],[Risk_Score]]&gt;8,"High",IF(financial_fraud_data[[#This Row],[Risk_Score]]&gt;5,"Med","Low"))</f>
        <v>Med</v>
      </c>
      <c r="P961" t="str">
        <f>TEXT(financial_fraud_data[[#This Row],[Transaction_Date]],"MMM")</f>
        <v>Feb</v>
      </c>
      <c r="Q961" t="str">
        <f>IF(financial_fraud_data[[#This Row],[Is_Fraud]]=1,"Yes","No")</f>
        <v>Yes</v>
      </c>
    </row>
    <row r="962" spans="1:17" x14ac:dyDescent="0.2">
      <c r="A962" t="s">
        <v>1426</v>
      </c>
      <c r="B962" t="s">
        <v>282</v>
      </c>
      <c r="C962" s="1">
        <v>45332</v>
      </c>
      <c r="D962">
        <v>4185.79</v>
      </c>
      <c r="E962" t="s">
        <v>42</v>
      </c>
      <c r="F962" t="s">
        <v>50</v>
      </c>
      <c r="G962" t="s">
        <v>18</v>
      </c>
      <c r="H962" t="s">
        <v>23</v>
      </c>
      <c r="I962" t="s">
        <v>29</v>
      </c>
      <c r="J962" t="s">
        <v>20</v>
      </c>
      <c r="K962">
        <v>0</v>
      </c>
      <c r="L962">
        <v>0</v>
      </c>
      <c r="M962">
        <v>1.42</v>
      </c>
      <c r="N962">
        <v>0</v>
      </c>
      <c r="O962" t="str">
        <f>IF(financial_fraud_data[[#This Row],[Risk_Score]]&gt;8,"High",IF(financial_fraud_data[[#This Row],[Risk_Score]]&gt;5,"Med","Low"))</f>
        <v>Low</v>
      </c>
      <c r="P962" t="str">
        <f>TEXT(financial_fraud_data[[#This Row],[Transaction_Date]],"MMM")</f>
        <v>Feb</v>
      </c>
      <c r="Q962" t="str">
        <f>IF(financial_fraud_data[[#This Row],[Is_Fraud]]=1,"Yes","No")</f>
        <v>No</v>
      </c>
    </row>
    <row r="963" spans="1:17" x14ac:dyDescent="0.2">
      <c r="A963" t="s">
        <v>1427</v>
      </c>
      <c r="B963" t="s">
        <v>986</v>
      </c>
      <c r="C963" s="1">
        <v>45332.041666666664</v>
      </c>
      <c r="D963">
        <v>30177.45</v>
      </c>
      <c r="E963" t="s">
        <v>16</v>
      </c>
      <c r="F963" t="s">
        <v>50</v>
      </c>
      <c r="G963" t="s">
        <v>18</v>
      </c>
      <c r="H963" t="s">
        <v>36</v>
      </c>
      <c r="I963" t="s">
        <v>29</v>
      </c>
      <c r="J963" t="s">
        <v>37</v>
      </c>
      <c r="K963">
        <v>0</v>
      </c>
      <c r="L963">
        <v>3</v>
      </c>
      <c r="M963">
        <v>8.52</v>
      </c>
      <c r="N963">
        <v>1</v>
      </c>
      <c r="O963" t="str">
        <f>IF(financial_fraud_data[[#This Row],[Risk_Score]]&gt;8,"High",IF(financial_fraud_data[[#This Row],[Risk_Score]]&gt;5,"Med","Low"))</f>
        <v>High</v>
      </c>
      <c r="P963" t="str">
        <f>TEXT(financial_fraud_data[[#This Row],[Transaction_Date]],"MMM")</f>
        <v>Feb</v>
      </c>
      <c r="Q963" t="str">
        <f>IF(financial_fraud_data[[#This Row],[Is_Fraud]]=1,"Yes","No")</f>
        <v>Yes</v>
      </c>
    </row>
    <row r="964" spans="1:17" x14ac:dyDescent="0.2">
      <c r="A964" t="s">
        <v>1428</v>
      </c>
      <c r="B964" t="s">
        <v>470</v>
      </c>
      <c r="C964" s="1">
        <v>45332.083333333336</v>
      </c>
      <c r="D964">
        <v>12305.19</v>
      </c>
      <c r="E964" t="s">
        <v>34</v>
      </c>
      <c r="F964" t="s">
        <v>50</v>
      </c>
      <c r="G964" t="s">
        <v>35</v>
      </c>
      <c r="H964" t="s">
        <v>36</v>
      </c>
      <c r="I964" t="s">
        <v>29</v>
      </c>
      <c r="J964" t="s">
        <v>20</v>
      </c>
      <c r="K964">
        <v>0</v>
      </c>
      <c r="L964">
        <v>0</v>
      </c>
      <c r="M964">
        <v>2.23</v>
      </c>
      <c r="N964">
        <v>0</v>
      </c>
      <c r="O964" t="str">
        <f>IF(financial_fraud_data[[#This Row],[Risk_Score]]&gt;8,"High",IF(financial_fraud_data[[#This Row],[Risk_Score]]&gt;5,"Med","Low"))</f>
        <v>Low</v>
      </c>
      <c r="P964" t="str">
        <f>TEXT(financial_fraud_data[[#This Row],[Transaction_Date]],"MMM")</f>
        <v>Feb</v>
      </c>
      <c r="Q964" t="str">
        <f>IF(financial_fraud_data[[#This Row],[Is_Fraud]]=1,"Yes","No")</f>
        <v>No</v>
      </c>
    </row>
    <row r="965" spans="1:17" x14ac:dyDescent="0.2">
      <c r="A965" t="s">
        <v>1429</v>
      </c>
      <c r="B965" t="s">
        <v>625</v>
      </c>
      <c r="C965" s="1">
        <v>45332.125</v>
      </c>
      <c r="D965">
        <v>19495.32</v>
      </c>
      <c r="E965" t="s">
        <v>34</v>
      </c>
      <c r="F965" t="s">
        <v>17</v>
      </c>
      <c r="G965" t="s">
        <v>56</v>
      </c>
      <c r="H965" t="s">
        <v>29</v>
      </c>
      <c r="I965" t="s">
        <v>36</v>
      </c>
      <c r="J965" t="s">
        <v>37</v>
      </c>
      <c r="K965">
        <v>0</v>
      </c>
      <c r="L965">
        <v>1</v>
      </c>
      <c r="M965">
        <v>4.45</v>
      </c>
      <c r="N965">
        <v>0</v>
      </c>
      <c r="O965" t="str">
        <f>IF(financial_fraud_data[[#This Row],[Risk_Score]]&gt;8,"High",IF(financial_fraud_data[[#This Row],[Risk_Score]]&gt;5,"Med","Low"))</f>
        <v>Low</v>
      </c>
      <c r="P965" t="str">
        <f>TEXT(financial_fraud_data[[#This Row],[Transaction_Date]],"MMM")</f>
        <v>Feb</v>
      </c>
      <c r="Q965" t="str">
        <f>IF(financial_fraud_data[[#This Row],[Is_Fraud]]=1,"Yes","No")</f>
        <v>No</v>
      </c>
    </row>
    <row r="966" spans="1:17" x14ac:dyDescent="0.2">
      <c r="A966" t="s">
        <v>1430</v>
      </c>
      <c r="B966" t="s">
        <v>166</v>
      </c>
      <c r="C966" s="1">
        <v>45332.166666666664</v>
      </c>
      <c r="D966">
        <v>14470.25</v>
      </c>
      <c r="E966" t="s">
        <v>16</v>
      </c>
      <c r="F966" t="s">
        <v>27</v>
      </c>
      <c r="G966" t="s">
        <v>28</v>
      </c>
      <c r="H966" t="s">
        <v>29</v>
      </c>
      <c r="I966" t="s">
        <v>36</v>
      </c>
      <c r="J966" t="s">
        <v>51</v>
      </c>
      <c r="K966">
        <v>1</v>
      </c>
      <c r="L966">
        <v>3</v>
      </c>
      <c r="M966">
        <v>8.9499999999999993</v>
      </c>
      <c r="N966">
        <v>1</v>
      </c>
      <c r="O966" t="str">
        <f>IF(financial_fraud_data[[#This Row],[Risk_Score]]&gt;8,"High",IF(financial_fraud_data[[#This Row],[Risk_Score]]&gt;5,"Med","Low"))</f>
        <v>High</v>
      </c>
      <c r="P966" t="str">
        <f>TEXT(financial_fraud_data[[#This Row],[Transaction_Date]],"MMM")</f>
        <v>Feb</v>
      </c>
      <c r="Q966" t="str">
        <f>IF(financial_fraud_data[[#This Row],[Is_Fraud]]=1,"Yes","No")</f>
        <v>Yes</v>
      </c>
    </row>
    <row r="967" spans="1:17" x14ac:dyDescent="0.2">
      <c r="A967" t="s">
        <v>1431</v>
      </c>
      <c r="B967" t="s">
        <v>235</v>
      </c>
      <c r="C967" s="1">
        <v>45332.208333333336</v>
      </c>
      <c r="D967">
        <v>17815.849999999999</v>
      </c>
      <c r="E967" t="s">
        <v>42</v>
      </c>
      <c r="F967" t="s">
        <v>27</v>
      </c>
      <c r="G967" t="s">
        <v>28</v>
      </c>
      <c r="H967" t="s">
        <v>36</v>
      </c>
      <c r="I967" t="s">
        <v>29</v>
      </c>
      <c r="J967" t="s">
        <v>20</v>
      </c>
      <c r="K967">
        <v>0</v>
      </c>
      <c r="L967">
        <v>3</v>
      </c>
      <c r="M967">
        <v>7.28</v>
      </c>
      <c r="N967">
        <v>1</v>
      </c>
      <c r="O967" t="str">
        <f>IF(financial_fraud_data[[#This Row],[Risk_Score]]&gt;8,"High",IF(financial_fraud_data[[#This Row],[Risk_Score]]&gt;5,"Med","Low"))</f>
        <v>Med</v>
      </c>
      <c r="P967" t="str">
        <f>TEXT(financial_fraud_data[[#This Row],[Transaction_Date]],"MMM")</f>
        <v>Feb</v>
      </c>
      <c r="Q967" t="str">
        <f>IF(financial_fraud_data[[#This Row],[Is_Fraud]]=1,"Yes","No")</f>
        <v>Yes</v>
      </c>
    </row>
    <row r="968" spans="1:17" x14ac:dyDescent="0.2">
      <c r="A968" t="s">
        <v>1432</v>
      </c>
      <c r="B968" t="s">
        <v>772</v>
      </c>
      <c r="C968" s="1">
        <v>45332.25</v>
      </c>
      <c r="D968">
        <v>35966.339999999997</v>
      </c>
      <c r="E968" t="s">
        <v>16</v>
      </c>
      <c r="F968" t="s">
        <v>47</v>
      </c>
      <c r="G968" t="s">
        <v>35</v>
      </c>
      <c r="H968" t="s">
        <v>23</v>
      </c>
      <c r="I968" t="s">
        <v>19</v>
      </c>
      <c r="J968" t="s">
        <v>51</v>
      </c>
      <c r="K968">
        <v>0</v>
      </c>
      <c r="L968">
        <v>4</v>
      </c>
      <c r="M968">
        <v>10.6</v>
      </c>
      <c r="N968">
        <v>1</v>
      </c>
      <c r="O968" t="str">
        <f>IF(financial_fraud_data[[#This Row],[Risk_Score]]&gt;8,"High",IF(financial_fraud_data[[#This Row],[Risk_Score]]&gt;5,"Med","Low"))</f>
        <v>High</v>
      </c>
      <c r="P968" t="str">
        <f>TEXT(financial_fraud_data[[#This Row],[Transaction_Date]],"MMM")</f>
        <v>Feb</v>
      </c>
      <c r="Q968" t="str">
        <f>IF(financial_fraud_data[[#This Row],[Is_Fraud]]=1,"Yes","No")</f>
        <v>Yes</v>
      </c>
    </row>
    <row r="969" spans="1:17" x14ac:dyDescent="0.2">
      <c r="A969" t="s">
        <v>1433</v>
      </c>
      <c r="B969" t="s">
        <v>1268</v>
      </c>
      <c r="C969" s="1">
        <v>45332.291666666664</v>
      </c>
      <c r="D969">
        <v>14891.23</v>
      </c>
      <c r="E969" t="s">
        <v>80</v>
      </c>
      <c r="F969" t="s">
        <v>47</v>
      </c>
      <c r="G969" t="s">
        <v>28</v>
      </c>
      <c r="H969" t="s">
        <v>24</v>
      </c>
      <c r="I969" t="s">
        <v>36</v>
      </c>
      <c r="J969" t="s">
        <v>20</v>
      </c>
      <c r="K969">
        <v>0</v>
      </c>
      <c r="L969">
        <v>3</v>
      </c>
      <c r="M969">
        <v>6.99</v>
      </c>
      <c r="N969">
        <v>1</v>
      </c>
      <c r="O969" t="str">
        <f>IF(financial_fraud_data[[#This Row],[Risk_Score]]&gt;8,"High",IF(financial_fraud_data[[#This Row],[Risk_Score]]&gt;5,"Med","Low"))</f>
        <v>Med</v>
      </c>
      <c r="P969" t="str">
        <f>TEXT(financial_fraud_data[[#This Row],[Transaction_Date]],"MMM")</f>
        <v>Feb</v>
      </c>
      <c r="Q969" t="str">
        <f>IF(financial_fraud_data[[#This Row],[Is_Fraud]]=1,"Yes","No")</f>
        <v>Yes</v>
      </c>
    </row>
    <row r="970" spans="1:17" x14ac:dyDescent="0.2">
      <c r="A970" t="s">
        <v>1434</v>
      </c>
      <c r="B970" t="s">
        <v>79</v>
      </c>
      <c r="C970" s="1">
        <v>45332.333333333336</v>
      </c>
      <c r="D970">
        <v>28341.91</v>
      </c>
      <c r="E970" t="s">
        <v>42</v>
      </c>
      <c r="F970" t="s">
        <v>50</v>
      </c>
      <c r="G970" t="s">
        <v>18</v>
      </c>
      <c r="H970" t="s">
        <v>24</v>
      </c>
      <c r="I970" t="s">
        <v>24</v>
      </c>
      <c r="J970" t="s">
        <v>20</v>
      </c>
      <c r="K970">
        <v>0</v>
      </c>
      <c r="L970">
        <v>3</v>
      </c>
      <c r="M970">
        <v>7.33</v>
      </c>
      <c r="N970">
        <v>1</v>
      </c>
      <c r="O970" t="str">
        <f>IF(financial_fraud_data[[#This Row],[Risk_Score]]&gt;8,"High",IF(financial_fraud_data[[#This Row],[Risk_Score]]&gt;5,"Med","Low"))</f>
        <v>Med</v>
      </c>
      <c r="P970" t="str">
        <f>TEXT(financial_fraud_data[[#This Row],[Transaction_Date]],"MMM")</f>
        <v>Feb</v>
      </c>
      <c r="Q970" t="str">
        <f>IF(financial_fraud_data[[#This Row],[Is_Fraud]]=1,"Yes","No")</f>
        <v>Yes</v>
      </c>
    </row>
    <row r="971" spans="1:17" x14ac:dyDescent="0.2">
      <c r="A971" t="s">
        <v>1435</v>
      </c>
      <c r="B971" t="s">
        <v>140</v>
      </c>
      <c r="C971" s="1">
        <v>45332.375</v>
      </c>
      <c r="D971">
        <v>23828.720000000001</v>
      </c>
      <c r="E971" t="s">
        <v>42</v>
      </c>
      <c r="F971" t="s">
        <v>47</v>
      </c>
      <c r="G971" t="s">
        <v>35</v>
      </c>
      <c r="H971" t="s">
        <v>19</v>
      </c>
      <c r="I971" t="s">
        <v>36</v>
      </c>
      <c r="J971" t="s">
        <v>51</v>
      </c>
      <c r="K971">
        <v>0</v>
      </c>
      <c r="L971">
        <v>0</v>
      </c>
      <c r="M971">
        <v>3.38</v>
      </c>
      <c r="N971">
        <v>0</v>
      </c>
      <c r="O971" t="str">
        <f>IF(financial_fraud_data[[#This Row],[Risk_Score]]&gt;8,"High",IF(financial_fraud_data[[#This Row],[Risk_Score]]&gt;5,"Med","Low"))</f>
        <v>Low</v>
      </c>
      <c r="P971" t="str">
        <f>TEXT(financial_fraud_data[[#This Row],[Transaction_Date]],"MMM")</f>
        <v>Feb</v>
      </c>
      <c r="Q971" t="str">
        <f>IF(financial_fraud_data[[#This Row],[Is_Fraud]]=1,"Yes","No")</f>
        <v>No</v>
      </c>
    </row>
    <row r="972" spans="1:17" x14ac:dyDescent="0.2">
      <c r="A972" t="s">
        <v>1436</v>
      </c>
      <c r="B972" t="s">
        <v>659</v>
      </c>
      <c r="C972" s="1">
        <v>45332.416666666664</v>
      </c>
      <c r="D972">
        <v>33200.370000000003</v>
      </c>
      <c r="E972" t="s">
        <v>42</v>
      </c>
      <c r="F972" t="s">
        <v>17</v>
      </c>
      <c r="G972" t="s">
        <v>65</v>
      </c>
      <c r="H972" t="s">
        <v>19</v>
      </c>
      <c r="I972" t="s">
        <v>19</v>
      </c>
      <c r="J972" t="s">
        <v>20</v>
      </c>
      <c r="K972">
        <v>0</v>
      </c>
      <c r="L972">
        <v>3</v>
      </c>
      <c r="M972">
        <v>7.82</v>
      </c>
      <c r="N972">
        <v>1</v>
      </c>
      <c r="O972" t="str">
        <f>IF(financial_fraud_data[[#This Row],[Risk_Score]]&gt;8,"High",IF(financial_fraud_data[[#This Row],[Risk_Score]]&gt;5,"Med","Low"))</f>
        <v>Med</v>
      </c>
      <c r="P972" t="str">
        <f>TEXT(financial_fraud_data[[#This Row],[Transaction_Date]],"MMM")</f>
        <v>Feb</v>
      </c>
      <c r="Q972" t="str">
        <f>IF(financial_fraud_data[[#This Row],[Is_Fraud]]=1,"Yes","No")</f>
        <v>Yes</v>
      </c>
    </row>
    <row r="973" spans="1:17" x14ac:dyDescent="0.2">
      <c r="A973" t="s">
        <v>1437</v>
      </c>
      <c r="B973" t="s">
        <v>778</v>
      </c>
      <c r="C973" s="1">
        <v>45332.458333333336</v>
      </c>
      <c r="D973">
        <v>46844.65</v>
      </c>
      <c r="E973" t="s">
        <v>34</v>
      </c>
      <c r="F973" t="s">
        <v>17</v>
      </c>
      <c r="G973" t="s">
        <v>56</v>
      </c>
      <c r="H973" t="s">
        <v>24</v>
      </c>
      <c r="I973" t="s">
        <v>23</v>
      </c>
      <c r="J973" t="s">
        <v>51</v>
      </c>
      <c r="K973">
        <v>0</v>
      </c>
      <c r="L973">
        <v>2</v>
      </c>
      <c r="M973">
        <v>8.68</v>
      </c>
      <c r="N973">
        <v>1</v>
      </c>
      <c r="O973" t="str">
        <f>IF(financial_fraud_data[[#This Row],[Risk_Score]]&gt;8,"High",IF(financial_fraud_data[[#This Row],[Risk_Score]]&gt;5,"Med","Low"))</f>
        <v>High</v>
      </c>
      <c r="P973" t="str">
        <f>TEXT(financial_fraud_data[[#This Row],[Transaction_Date]],"MMM")</f>
        <v>Feb</v>
      </c>
      <c r="Q973" t="str">
        <f>IF(financial_fraud_data[[#This Row],[Is_Fraud]]=1,"Yes","No")</f>
        <v>Yes</v>
      </c>
    </row>
    <row r="974" spans="1:17" x14ac:dyDescent="0.2">
      <c r="A974" t="s">
        <v>1438</v>
      </c>
      <c r="B974" t="s">
        <v>428</v>
      </c>
      <c r="C974" s="1">
        <v>45332.5</v>
      </c>
      <c r="D974">
        <v>36641.980000000003</v>
      </c>
      <c r="E974" t="s">
        <v>16</v>
      </c>
      <c r="F974" t="s">
        <v>47</v>
      </c>
      <c r="G974" t="s">
        <v>56</v>
      </c>
      <c r="H974" t="s">
        <v>36</v>
      </c>
      <c r="I974" t="s">
        <v>36</v>
      </c>
      <c r="J974" t="s">
        <v>51</v>
      </c>
      <c r="K974">
        <v>0</v>
      </c>
      <c r="L974">
        <v>4</v>
      </c>
      <c r="M974">
        <v>9.66</v>
      </c>
      <c r="N974">
        <v>1</v>
      </c>
      <c r="O974" t="str">
        <f>IF(financial_fraud_data[[#This Row],[Risk_Score]]&gt;8,"High",IF(financial_fraud_data[[#This Row],[Risk_Score]]&gt;5,"Med","Low"))</f>
        <v>High</v>
      </c>
      <c r="P974" t="str">
        <f>TEXT(financial_fraud_data[[#This Row],[Transaction_Date]],"MMM")</f>
        <v>Feb</v>
      </c>
      <c r="Q974" t="str">
        <f>IF(financial_fraud_data[[#This Row],[Is_Fraud]]=1,"Yes","No")</f>
        <v>Yes</v>
      </c>
    </row>
    <row r="975" spans="1:17" x14ac:dyDescent="0.2">
      <c r="A975" t="s">
        <v>1439</v>
      </c>
      <c r="B975" t="s">
        <v>115</v>
      </c>
      <c r="C975" s="1">
        <v>45332.541666666664</v>
      </c>
      <c r="D975">
        <v>10786.27</v>
      </c>
      <c r="E975" t="s">
        <v>42</v>
      </c>
      <c r="F975" t="s">
        <v>47</v>
      </c>
      <c r="G975" t="s">
        <v>56</v>
      </c>
      <c r="H975" t="s">
        <v>36</v>
      </c>
      <c r="I975" t="s">
        <v>29</v>
      </c>
      <c r="J975" t="s">
        <v>37</v>
      </c>
      <c r="K975">
        <v>0</v>
      </c>
      <c r="L975">
        <v>4</v>
      </c>
      <c r="M975">
        <v>8.08</v>
      </c>
      <c r="N975">
        <v>1</v>
      </c>
      <c r="O975" t="str">
        <f>IF(financial_fraud_data[[#This Row],[Risk_Score]]&gt;8,"High",IF(financial_fraud_data[[#This Row],[Risk_Score]]&gt;5,"Med","Low"))</f>
        <v>High</v>
      </c>
      <c r="P975" t="str">
        <f>TEXT(financial_fraud_data[[#This Row],[Transaction_Date]],"MMM")</f>
        <v>Feb</v>
      </c>
      <c r="Q975" t="str">
        <f>IF(financial_fraud_data[[#This Row],[Is_Fraud]]=1,"Yes","No")</f>
        <v>Yes</v>
      </c>
    </row>
    <row r="976" spans="1:17" x14ac:dyDescent="0.2">
      <c r="A976" t="s">
        <v>1440</v>
      </c>
      <c r="B976" t="s">
        <v>1441</v>
      </c>
      <c r="C976" s="1">
        <v>45332.583333333336</v>
      </c>
      <c r="D976">
        <v>1607.6</v>
      </c>
      <c r="E976" t="s">
        <v>42</v>
      </c>
      <c r="F976" t="s">
        <v>47</v>
      </c>
      <c r="G976" t="s">
        <v>18</v>
      </c>
      <c r="H976" t="s">
        <v>29</v>
      </c>
      <c r="I976" t="s">
        <v>29</v>
      </c>
      <c r="J976" t="s">
        <v>51</v>
      </c>
      <c r="K976">
        <v>0</v>
      </c>
      <c r="L976">
        <v>3</v>
      </c>
      <c r="M976">
        <v>4.66</v>
      </c>
      <c r="N976">
        <v>0</v>
      </c>
      <c r="O976" t="str">
        <f>IF(financial_fraud_data[[#This Row],[Risk_Score]]&gt;8,"High",IF(financial_fraud_data[[#This Row],[Risk_Score]]&gt;5,"Med","Low"))</f>
        <v>Low</v>
      </c>
      <c r="P976" t="str">
        <f>TEXT(financial_fraud_data[[#This Row],[Transaction_Date]],"MMM")</f>
        <v>Feb</v>
      </c>
      <c r="Q976" t="str">
        <f>IF(financial_fraud_data[[#This Row],[Is_Fraud]]=1,"Yes","No")</f>
        <v>No</v>
      </c>
    </row>
    <row r="977" spans="1:17" x14ac:dyDescent="0.2">
      <c r="A977" t="s">
        <v>1442</v>
      </c>
      <c r="B977" t="s">
        <v>1443</v>
      </c>
      <c r="C977" s="1">
        <v>45332.625</v>
      </c>
      <c r="D977">
        <v>13150.09</v>
      </c>
      <c r="E977" t="s">
        <v>42</v>
      </c>
      <c r="F977" t="s">
        <v>47</v>
      </c>
      <c r="G977" t="s">
        <v>65</v>
      </c>
      <c r="H977" t="s">
        <v>29</v>
      </c>
      <c r="I977" t="s">
        <v>29</v>
      </c>
      <c r="J977" t="s">
        <v>37</v>
      </c>
      <c r="K977">
        <v>0</v>
      </c>
      <c r="L977">
        <v>0</v>
      </c>
      <c r="M977">
        <v>1.32</v>
      </c>
      <c r="N977">
        <v>0</v>
      </c>
      <c r="O977" t="str">
        <f>IF(financial_fraud_data[[#This Row],[Risk_Score]]&gt;8,"High",IF(financial_fraud_data[[#This Row],[Risk_Score]]&gt;5,"Med","Low"))</f>
        <v>Low</v>
      </c>
      <c r="P977" t="str">
        <f>TEXT(financial_fraud_data[[#This Row],[Transaction_Date]],"MMM")</f>
        <v>Feb</v>
      </c>
      <c r="Q977" t="str">
        <f>IF(financial_fraud_data[[#This Row],[Is_Fraud]]=1,"Yes","No")</f>
        <v>No</v>
      </c>
    </row>
    <row r="978" spans="1:17" x14ac:dyDescent="0.2">
      <c r="A978" t="s">
        <v>1444</v>
      </c>
      <c r="B978" t="s">
        <v>450</v>
      </c>
      <c r="C978" s="1">
        <v>45332.666666666664</v>
      </c>
      <c r="D978">
        <v>29774.14</v>
      </c>
      <c r="E978" t="s">
        <v>16</v>
      </c>
      <c r="F978" t="s">
        <v>50</v>
      </c>
      <c r="G978" t="s">
        <v>35</v>
      </c>
      <c r="H978" t="s">
        <v>19</v>
      </c>
      <c r="I978" t="s">
        <v>23</v>
      </c>
      <c r="J978" t="s">
        <v>51</v>
      </c>
      <c r="K978">
        <v>1</v>
      </c>
      <c r="L978">
        <v>4</v>
      </c>
      <c r="M978">
        <v>11.98</v>
      </c>
      <c r="N978">
        <v>1</v>
      </c>
      <c r="O978" t="str">
        <f>IF(financial_fraud_data[[#This Row],[Risk_Score]]&gt;8,"High",IF(financial_fraud_data[[#This Row],[Risk_Score]]&gt;5,"Med","Low"))</f>
        <v>High</v>
      </c>
      <c r="P978" t="str">
        <f>TEXT(financial_fraud_data[[#This Row],[Transaction_Date]],"MMM")</f>
        <v>Feb</v>
      </c>
      <c r="Q978" t="str">
        <f>IF(financial_fraud_data[[#This Row],[Is_Fraud]]=1,"Yes","No")</f>
        <v>Yes</v>
      </c>
    </row>
    <row r="979" spans="1:17" x14ac:dyDescent="0.2">
      <c r="A979" t="s">
        <v>1445</v>
      </c>
      <c r="B979" t="s">
        <v>1446</v>
      </c>
      <c r="C979" s="1">
        <v>45332.708333333336</v>
      </c>
      <c r="D979">
        <v>2618.7199999999998</v>
      </c>
      <c r="E979" t="s">
        <v>34</v>
      </c>
      <c r="F979" t="s">
        <v>50</v>
      </c>
      <c r="G979" t="s">
        <v>35</v>
      </c>
      <c r="H979" t="s">
        <v>24</v>
      </c>
      <c r="I979" t="s">
        <v>19</v>
      </c>
      <c r="J979" t="s">
        <v>20</v>
      </c>
      <c r="K979">
        <v>0</v>
      </c>
      <c r="L979">
        <v>4</v>
      </c>
      <c r="M979">
        <v>7.26</v>
      </c>
      <c r="N979">
        <v>1</v>
      </c>
      <c r="O979" t="str">
        <f>IF(financial_fraud_data[[#This Row],[Risk_Score]]&gt;8,"High",IF(financial_fraud_data[[#This Row],[Risk_Score]]&gt;5,"Med","Low"))</f>
        <v>Med</v>
      </c>
      <c r="P979" t="str">
        <f>TEXT(financial_fraud_data[[#This Row],[Transaction_Date]],"MMM")</f>
        <v>Feb</v>
      </c>
      <c r="Q979" t="str">
        <f>IF(financial_fraud_data[[#This Row],[Is_Fraud]]=1,"Yes","No")</f>
        <v>Yes</v>
      </c>
    </row>
    <row r="980" spans="1:17" x14ac:dyDescent="0.2">
      <c r="A980" t="s">
        <v>1447</v>
      </c>
      <c r="B980" t="s">
        <v>15</v>
      </c>
      <c r="C980" s="1">
        <v>45332.75</v>
      </c>
      <c r="D980">
        <v>24843.49</v>
      </c>
      <c r="E980" t="s">
        <v>80</v>
      </c>
      <c r="F980" t="s">
        <v>47</v>
      </c>
      <c r="G980" t="s">
        <v>56</v>
      </c>
      <c r="H980" t="s">
        <v>36</v>
      </c>
      <c r="I980" t="s">
        <v>24</v>
      </c>
      <c r="J980" t="s">
        <v>51</v>
      </c>
      <c r="K980">
        <v>0</v>
      </c>
      <c r="L980">
        <v>2</v>
      </c>
      <c r="M980">
        <v>6.48</v>
      </c>
      <c r="N980">
        <v>1</v>
      </c>
      <c r="O980" t="str">
        <f>IF(financial_fraud_data[[#This Row],[Risk_Score]]&gt;8,"High",IF(financial_fraud_data[[#This Row],[Risk_Score]]&gt;5,"Med","Low"))</f>
        <v>Med</v>
      </c>
      <c r="P980" t="str">
        <f>TEXT(financial_fraud_data[[#This Row],[Transaction_Date]],"MMM")</f>
        <v>Feb</v>
      </c>
      <c r="Q980" t="str">
        <f>IF(financial_fraud_data[[#This Row],[Is_Fraud]]=1,"Yes","No")</f>
        <v>Yes</v>
      </c>
    </row>
    <row r="981" spans="1:17" x14ac:dyDescent="0.2">
      <c r="A981" t="s">
        <v>1448</v>
      </c>
      <c r="B981" t="s">
        <v>182</v>
      </c>
      <c r="C981" s="1">
        <v>45332.791666666664</v>
      </c>
      <c r="D981">
        <v>29862.3</v>
      </c>
      <c r="E981" t="s">
        <v>34</v>
      </c>
      <c r="F981" t="s">
        <v>17</v>
      </c>
      <c r="G981" t="s">
        <v>65</v>
      </c>
      <c r="H981" t="s">
        <v>24</v>
      </c>
      <c r="I981" t="s">
        <v>19</v>
      </c>
      <c r="J981" t="s">
        <v>20</v>
      </c>
      <c r="K981">
        <v>0</v>
      </c>
      <c r="L981">
        <v>3</v>
      </c>
      <c r="M981">
        <v>8.49</v>
      </c>
      <c r="N981">
        <v>1</v>
      </c>
      <c r="O981" t="str">
        <f>IF(financial_fraud_data[[#This Row],[Risk_Score]]&gt;8,"High",IF(financial_fraud_data[[#This Row],[Risk_Score]]&gt;5,"Med","Low"))</f>
        <v>High</v>
      </c>
      <c r="P981" t="str">
        <f>TEXT(financial_fraud_data[[#This Row],[Transaction_Date]],"MMM")</f>
        <v>Feb</v>
      </c>
      <c r="Q981" t="str">
        <f>IF(financial_fraud_data[[#This Row],[Is_Fraud]]=1,"Yes","No")</f>
        <v>Yes</v>
      </c>
    </row>
    <row r="982" spans="1:17" x14ac:dyDescent="0.2">
      <c r="A982" t="s">
        <v>1449</v>
      </c>
      <c r="B982" t="s">
        <v>160</v>
      </c>
      <c r="C982" s="1">
        <v>45332.833333333336</v>
      </c>
      <c r="D982">
        <v>16745.48</v>
      </c>
      <c r="E982" t="s">
        <v>42</v>
      </c>
      <c r="F982" t="s">
        <v>50</v>
      </c>
      <c r="G982" t="s">
        <v>65</v>
      </c>
      <c r="H982" t="s">
        <v>23</v>
      </c>
      <c r="I982" t="s">
        <v>23</v>
      </c>
      <c r="J982" t="s">
        <v>37</v>
      </c>
      <c r="K982">
        <v>0</v>
      </c>
      <c r="L982">
        <v>4</v>
      </c>
      <c r="M982">
        <v>7.67</v>
      </c>
      <c r="N982">
        <v>1</v>
      </c>
      <c r="O982" t="str">
        <f>IF(financial_fraud_data[[#This Row],[Risk_Score]]&gt;8,"High",IF(financial_fraud_data[[#This Row],[Risk_Score]]&gt;5,"Med","Low"))</f>
        <v>Med</v>
      </c>
      <c r="P982" t="str">
        <f>TEXT(financial_fraud_data[[#This Row],[Transaction_Date]],"MMM")</f>
        <v>Feb</v>
      </c>
      <c r="Q982" t="str">
        <f>IF(financial_fraud_data[[#This Row],[Is_Fraud]]=1,"Yes","No")</f>
        <v>Yes</v>
      </c>
    </row>
    <row r="983" spans="1:17" x14ac:dyDescent="0.2">
      <c r="A983" t="s">
        <v>1450</v>
      </c>
      <c r="B983" t="s">
        <v>1157</v>
      </c>
      <c r="C983" s="1">
        <v>45332.875</v>
      </c>
      <c r="D983">
        <v>38557.06</v>
      </c>
      <c r="E983" t="s">
        <v>34</v>
      </c>
      <c r="F983" t="s">
        <v>17</v>
      </c>
      <c r="G983" t="s">
        <v>65</v>
      </c>
      <c r="H983" t="s">
        <v>24</v>
      </c>
      <c r="I983" t="s">
        <v>29</v>
      </c>
      <c r="J983" t="s">
        <v>20</v>
      </c>
      <c r="K983">
        <v>0</v>
      </c>
      <c r="L983">
        <v>4</v>
      </c>
      <c r="M983">
        <v>10.86</v>
      </c>
      <c r="N983">
        <v>1</v>
      </c>
      <c r="O983" t="str">
        <f>IF(financial_fraud_data[[#This Row],[Risk_Score]]&gt;8,"High",IF(financial_fraud_data[[#This Row],[Risk_Score]]&gt;5,"Med","Low"))</f>
        <v>High</v>
      </c>
      <c r="P983" t="str">
        <f>TEXT(financial_fraud_data[[#This Row],[Transaction_Date]],"MMM")</f>
        <v>Feb</v>
      </c>
      <c r="Q983" t="str">
        <f>IF(financial_fraud_data[[#This Row],[Is_Fraud]]=1,"Yes","No")</f>
        <v>Yes</v>
      </c>
    </row>
    <row r="984" spans="1:17" x14ac:dyDescent="0.2">
      <c r="A984" t="s">
        <v>1451</v>
      </c>
      <c r="B984" t="s">
        <v>293</v>
      </c>
      <c r="C984" s="1">
        <v>45332.916666666664</v>
      </c>
      <c r="D984">
        <v>5374.58</v>
      </c>
      <c r="E984" t="s">
        <v>34</v>
      </c>
      <c r="F984" t="s">
        <v>27</v>
      </c>
      <c r="G984" t="s">
        <v>28</v>
      </c>
      <c r="H984" t="s">
        <v>23</v>
      </c>
      <c r="I984" t="s">
        <v>19</v>
      </c>
      <c r="J984" t="s">
        <v>51</v>
      </c>
      <c r="K984">
        <v>0</v>
      </c>
      <c r="L984">
        <v>4</v>
      </c>
      <c r="M984">
        <v>7.54</v>
      </c>
      <c r="N984">
        <v>1</v>
      </c>
      <c r="O984" t="str">
        <f>IF(financial_fraud_data[[#This Row],[Risk_Score]]&gt;8,"High",IF(financial_fraud_data[[#This Row],[Risk_Score]]&gt;5,"Med","Low"))</f>
        <v>Med</v>
      </c>
      <c r="P984" t="str">
        <f>TEXT(financial_fraud_data[[#This Row],[Transaction_Date]],"MMM")</f>
        <v>Feb</v>
      </c>
      <c r="Q984" t="str">
        <f>IF(financial_fraud_data[[#This Row],[Is_Fraud]]=1,"Yes","No")</f>
        <v>Yes</v>
      </c>
    </row>
    <row r="985" spans="1:17" x14ac:dyDescent="0.2">
      <c r="A985" t="s">
        <v>1452</v>
      </c>
      <c r="B985" t="s">
        <v>53</v>
      </c>
      <c r="C985" s="1">
        <v>45332.958333333336</v>
      </c>
      <c r="D985">
        <v>3803.13</v>
      </c>
      <c r="E985" t="s">
        <v>80</v>
      </c>
      <c r="F985" t="s">
        <v>17</v>
      </c>
      <c r="G985" t="s">
        <v>28</v>
      </c>
      <c r="H985" t="s">
        <v>29</v>
      </c>
      <c r="I985" t="s">
        <v>24</v>
      </c>
      <c r="J985" t="s">
        <v>20</v>
      </c>
      <c r="K985">
        <v>0</v>
      </c>
      <c r="L985">
        <v>4</v>
      </c>
      <c r="M985">
        <v>7.38</v>
      </c>
      <c r="N985">
        <v>1</v>
      </c>
      <c r="O985" t="str">
        <f>IF(financial_fraud_data[[#This Row],[Risk_Score]]&gt;8,"High",IF(financial_fraud_data[[#This Row],[Risk_Score]]&gt;5,"Med","Low"))</f>
        <v>Med</v>
      </c>
      <c r="P985" t="str">
        <f>TEXT(financial_fraud_data[[#This Row],[Transaction_Date]],"MMM")</f>
        <v>Feb</v>
      </c>
      <c r="Q985" t="str">
        <f>IF(financial_fraud_data[[#This Row],[Is_Fraud]]=1,"Yes","No")</f>
        <v>Yes</v>
      </c>
    </row>
    <row r="986" spans="1:17" x14ac:dyDescent="0.2">
      <c r="A986" t="s">
        <v>1453</v>
      </c>
      <c r="B986" t="s">
        <v>1191</v>
      </c>
      <c r="C986" s="1">
        <v>45333</v>
      </c>
      <c r="D986">
        <v>36423.03</v>
      </c>
      <c r="E986" t="s">
        <v>16</v>
      </c>
      <c r="F986" t="s">
        <v>47</v>
      </c>
      <c r="G986" t="s">
        <v>56</v>
      </c>
      <c r="H986" t="s">
        <v>29</v>
      </c>
      <c r="I986" t="s">
        <v>29</v>
      </c>
      <c r="J986" t="s">
        <v>37</v>
      </c>
      <c r="K986">
        <v>0</v>
      </c>
      <c r="L986">
        <v>0</v>
      </c>
      <c r="M986">
        <v>3.64</v>
      </c>
      <c r="N986">
        <v>0</v>
      </c>
      <c r="O986" t="str">
        <f>IF(financial_fraud_data[[#This Row],[Risk_Score]]&gt;8,"High",IF(financial_fraud_data[[#This Row],[Risk_Score]]&gt;5,"Med","Low"))</f>
        <v>Low</v>
      </c>
      <c r="P986" t="str">
        <f>TEXT(financial_fraud_data[[#This Row],[Transaction_Date]],"MMM")</f>
        <v>Feb</v>
      </c>
      <c r="Q986" t="str">
        <f>IF(financial_fraud_data[[#This Row],[Is_Fraud]]=1,"Yes","No")</f>
        <v>No</v>
      </c>
    </row>
    <row r="987" spans="1:17" x14ac:dyDescent="0.2">
      <c r="A987" t="s">
        <v>1454</v>
      </c>
      <c r="B987" t="s">
        <v>807</v>
      </c>
      <c r="C987" s="1">
        <v>45333.041666666664</v>
      </c>
      <c r="D987">
        <v>24799.79</v>
      </c>
      <c r="E987" t="s">
        <v>16</v>
      </c>
      <c r="F987" t="s">
        <v>27</v>
      </c>
      <c r="G987" t="s">
        <v>65</v>
      </c>
      <c r="H987" t="s">
        <v>19</v>
      </c>
      <c r="I987" t="s">
        <v>24</v>
      </c>
      <c r="J987" t="s">
        <v>20</v>
      </c>
      <c r="K987">
        <v>0</v>
      </c>
      <c r="L987">
        <v>1</v>
      </c>
      <c r="M987">
        <v>4.9800000000000004</v>
      </c>
      <c r="N987">
        <v>0</v>
      </c>
      <c r="O987" t="str">
        <f>IF(financial_fraud_data[[#This Row],[Risk_Score]]&gt;8,"High",IF(financial_fraud_data[[#This Row],[Risk_Score]]&gt;5,"Med","Low"))</f>
        <v>Low</v>
      </c>
      <c r="P987" t="str">
        <f>TEXT(financial_fraud_data[[#This Row],[Transaction_Date]],"MMM")</f>
        <v>Feb</v>
      </c>
      <c r="Q987" t="str">
        <f>IF(financial_fraud_data[[#This Row],[Is_Fraud]]=1,"Yes","No")</f>
        <v>No</v>
      </c>
    </row>
    <row r="988" spans="1:17" x14ac:dyDescent="0.2">
      <c r="A988" t="s">
        <v>1455</v>
      </c>
      <c r="B988" t="s">
        <v>627</v>
      </c>
      <c r="C988" s="1">
        <v>45333.083333333336</v>
      </c>
      <c r="D988">
        <v>34435.699999999997</v>
      </c>
      <c r="E988" t="s">
        <v>34</v>
      </c>
      <c r="F988" t="s">
        <v>50</v>
      </c>
      <c r="G988" t="s">
        <v>65</v>
      </c>
      <c r="H988" t="s">
        <v>24</v>
      </c>
      <c r="I988" t="s">
        <v>36</v>
      </c>
      <c r="J988" t="s">
        <v>20</v>
      </c>
      <c r="K988">
        <v>0</v>
      </c>
      <c r="L988">
        <v>2</v>
      </c>
      <c r="M988">
        <v>7.44</v>
      </c>
      <c r="N988">
        <v>1</v>
      </c>
      <c r="O988" t="str">
        <f>IF(financial_fraud_data[[#This Row],[Risk_Score]]&gt;8,"High",IF(financial_fraud_data[[#This Row],[Risk_Score]]&gt;5,"Med","Low"))</f>
        <v>Med</v>
      </c>
      <c r="P988" t="str">
        <f>TEXT(financial_fraud_data[[#This Row],[Transaction_Date]],"MMM")</f>
        <v>Feb</v>
      </c>
      <c r="Q988" t="str">
        <f>IF(financial_fraud_data[[#This Row],[Is_Fraud]]=1,"Yes","No")</f>
        <v>Yes</v>
      </c>
    </row>
    <row r="989" spans="1:17" x14ac:dyDescent="0.2">
      <c r="A989" t="s">
        <v>1456</v>
      </c>
      <c r="B989" t="s">
        <v>787</v>
      </c>
      <c r="C989" s="1">
        <v>45333.125</v>
      </c>
      <c r="D989">
        <v>21769.63</v>
      </c>
      <c r="E989" t="s">
        <v>34</v>
      </c>
      <c r="F989" t="s">
        <v>50</v>
      </c>
      <c r="G989" t="s">
        <v>35</v>
      </c>
      <c r="H989" t="s">
        <v>24</v>
      </c>
      <c r="I989" t="s">
        <v>24</v>
      </c>
      <c r="J989" t="s">
        <v>51</v>
      </c>
      <c r="K989">
        <v>0</v>
      </c>
      <c r="L989">
        <v>0</v>
      </c>
      <c r="M989">
        <v>2.1800000000000002</v>
      </c>
      <c r="N989">
        <v>0</v>
      </c>
      <c r="O989" t="str">
        <f>IF(financial_fraud_data[[#This Row],[Risk_Score]]&gt;8,"High",IF(financial_fraud_data[[#This Row],[Risk_Score]]&gt;5,"Med","Low"))</f>
        <v>Low</v>
      </c>
      <c r="P989" t="str">
        <f>TEXT(financial_fraud_data[[#This Row],[Transaction_Date]],"MMM")</f>
        <v>Feb</v>
      </c>
      <c r="Q989" t="str">
        <f>IF(financial_fraud_data[[#This Row],[Is_Fraud]]=1,"Yes","No")</f>
        <v>No</v>
      </c>
    </row>
    <row r="990" spans="1:17" x14ac:dyDescent="0.2">
      <c r="A990" t="s">
        <v>1457</v>
      </c>
      <c r="B990" t="s">
        <v>1446</v>
      </c>
      <c r="C990" s="1">
        <v>45333.166666666664</v>
      </c>
      <c r="D990">
        <v>12357.78</v>
      </c>
      <c r="E990" t="s">
        <v>16</v>
      </c>
      <c r="F990" t="s">
        <v>27</v>
      </c>
      <c r="G990" t="s">
        <v>35</v>
      </c>
      <c r="H990" t="s">
        <v>23</v>
      </c>
      <c r="I990" t="s">
        <v>29</v>
      </c>
      <c r="J990" t="s">
        <v>51</v>
      </c>
      <c r="K990">
        <v>0</v>
      </c>
      <c r="L990">
        <v>2</v>
      </c>
      <c r="M990">
        <v>5.24</v>
      </c>
      <c r="N990">
        <v>1</v>
      </c>
      <c r="O990" t="str">
        <f>IF(financial_fraud_data[[#This Row],[Risk_Score]]&gt;8,"High",IF(financial_fraud_data[[#This Row],[Risk_Score]]&gt;5,"Med","Low"))</f>
        <v>Med</v>
      </c>
      <c r="P990" t="str">
        <f>TEXT(financial_fraud_data[[#This Row],[Transaction_Date]],"MMM")</f>
        <v>Feb</v>
      </c>
      <c r="Q990" t="str">
        <f>IF(financial_fraud_data[[#This Row],[Is_Fraud]]=1,"Yes","No")</f>
        <v>Yes</v>
      </c>
    </row>
    <row r="991" spans="1:17" x14ac:dyDescent="0.2">
      <c r="A991" t="s">
        <v>1458</v>
      </c>
      <c r="B991" t="s">
        <v>772</v>
      </c>
      <c r="C991" s="1">
        <v>45333.208333333336</v>
      </c>
      <c r="D991">
        <v>40964.160000000003</v>
      </c>
      <c r="E991" t="s">
        <v>16</v>
      </c>
      <c r="F991" t="s">
        <v>17</v>
      </c>
      <c r="G991" t="s">
        <v>56</v>
      </c>
      <c r="H991" t="s">
        <v>29</v>
      </c>
      <c r="I991" t="s">
        <v>36</v>
      </c>
      <c r="J991" t="s">
        <v>20</v>
      </c>
      <c r="K991">
        <v>0</v>
      </c>
      <c r="L991">
        <v>4</v>
      </c>
      <c r="M991">
        <v>11.1</v>
      </c>
      <c r="N991">
        <v>1</v>
      </c>
      <c r="O991" t="str">
        <f>IF(financial_fraud_data[[#This Row],[Risk_Score]]&gt;8,"High",IF(financial_fraud_data[[#This Row],[Risk_Score]]&gt;5,"Med","Low"))</f>
        <v>High</v>
      </c>
      <c r="P991" t="str">
        <f>TEXT(financial_fraud_data[[#This Row],[Transaction_Date]],"MMM")</f>
        <v>Feb</v>
      </c>
      <c r="Q991" t="str">
        <f>IF(financial_fraud_data[[#This Row],[Is_Fraud]]=1,"Yes","No")</f>
        <v>Yes</v>
      </c>
    </row>
    <row r="992" spans="1:17" x14ac:dyDescent="0.2">
      <c r="A992" t="s">
        <v>1459</v>
      </c>
      <c r="B992" t="s">
        <v>1387</v>
      </c>
      <c r="C992" s="1">
        <v>45333.25</v>
      </c>
      <c r="D992">
        <v>39980.82</v>
      </c>
      <c r="E992" t="s">
        <v>80</v>
      </c>
      <c r="F992" t="s">
        <v>50</v>
      </c>
      <c r="G992" t="s">
        <v>65</v>
      </c>
      <c r="H992" t="s">
        <v>23</v>
      </c>
      <c r="I992" t="s">
        <v>29</v>
      </c>
      <c r="J992" t="s">
        <v>37</v>
      </c>
      <c r="K992">
        <v>0</v>
      </c>
      <c r="L992">
        <v>2</v>
      </c>
      <c r="M992">
        <v>8</v>
      </c>
      <c r="N992">
        <v>1</v>
      </c>
      <c r="O992" t="str">
        <f>IF(financial_fraud_data[[#This Row],[Risk_Score]]&gt;8,"High",IF(financial_fraud_data[[#This Row],[Risk_Score]]&gt;5,"Med","Low"))</f>
        <v>Med</v>
      </c>
      <c r="P992" t="str">
        <f>TEXT(financial_fraud_data[[#This Row],[Transaction_Date]],"MMM")</f>
        <v>Feb</v>
      </c>
      <c r="Q992" t="str">
        <f>IF(financial_fraud_data[[#This Row],[Is_Fraud]]=1,"Yes","No")</f>
        <v>Yes</v>
      </c>
    </row>
    <row r="993" spans="1:17" x14ac:dyDescent="0.2">
      <c r="A993" t="s">
        <v>1460</v>
      </c>
      <c r="B993" t="s">
        <v>525</v>
      </c>
      <c r="C993" s="1">
        <v>45333.291666666664</v>
      </c>
      <c r="D993">
        <v>34750.089999999997</v>
      </c>
      <c r="E993" t="s">
        <v>42</v>
      </c>
      <c r="F993" t="s">
        <v>47</v>
      </c>
      <c r="G993" t="s">
        <v>56</v>
      </c>
      <c r="H993" t="s">
        <v>29</v>
      </c>
      <c r="I993" t="s">
        <v>29</v>
      </c>
      <c r="J993" t="s">
        <v>20</v>
      </c>
      <c r="K993">
        <v>0</v>
      </c>
      <c r="L993">
        <v>3</v>
      </c>
      <c r="M993">
        <v>7.98</v>
      </c>
      <c r="N993">
        <v>1</v>
      </c>
      <c r="O993" t="str">
        <f>IF(financial_fraud_data[[#This Row],[Risk_Score]]&gt;8,"High",IF(financial_fraud_data[[#This Row],[Risk_Score]]&gt;5,"Med","Low"))</f>
        <v>Med</v>
      </c>
      <c r="P993" t="str">
        <f>TEXT(financial_fraud_data[[#This Row],[Transaction_Date]],"MMM")</f>
        <v>Feb</v>
      </c>
      <c r="Q993" t="str">
        <f>IF(financial_fraud_data[[#This Row],[Is_Fraud]]=1,"Yes","No")</f>
        <v>Yes</v>
      </c>
    </row>
    <row r="994" spans="1:17" x14ac:dyDescent="0.2">
      <c r="A994" t="s">
        <v>1461</v>
      </c>
      <c r="B994" t="s">
        <v>491</v>
      </c>
      <c r="C994" s="1">
        <v>45333.333333333336</v>
      </c>
      <c r="D994">
        <v>13643.65</v>
      </c>
      <c r="E994" t="s">
        <v>34</v>
      </c>
      <c r="F994" t="s">
        <v>27</v>
      </c>
      <c r="G994" t="s">
        <v>35</v>
      </c>
      <c r="H994" t="s">
        <v>23</v>
      </c>
      <c r="I994" t="s">
        <v>36</v>
      </c>
      <c r="J994" t="s">
        <v>37</v>
      </c>
      <c r="K994">
        <v>0</v>
      </c>
      <c r="L994">
        <v>3</v>
      </c>
      <c r="M994">
        <v>6.86</v>
      </c>
      <c r="N994">
        <v>1</v>
      </c>
      <c r="O994" t="str">
        <f>IF(financial_fraud_data[[#This Row],[Risk_Score]]&gt;8,"High",IF(financial_fraud_data[[#This Row],[Risk_Score]]&gt;5,"Med","Low"))</f>
        <v>Med</v>
      </c>
      <c r="P994" t="str">
        <f>TEXT(financial_fraud_data[[#This Row],[Transaction_Date]],"MMM")</f>
        <v>Feb</v>
      </c>
      <c r="Q994" t="str">
        <f>IF(financial_fraud_data[[#This Row],[Is_Fraud]]=1,"Yes","No")</f>
        <v>Yes</v>
      </c>
    </row>
    <row r="995" spans="1:17" x14ac:dyDescent="0.2">
      <c r="A995" t="s">
        <v>1462</v>
      </c>
      <c r="B995" t="s">
        <v>1463</v>
      </c>
      <c r="C995" s="1">
        <v>45333.375</v>
      </c>
      <c r="D995">
        <v>29532.02</v>
      </c>
      <c r="E995" t="s">
        <v>16</v>
      </c>
      <c r="F995" t="s">
        <v>47</v>
      </c>
      <c r="G995" t="s">
        <v>35</v>
      </c>
      <c r="H995" t="s">
        <v>29</v>
      </c>
      <c r="I995" t="s">
        <v>24</v>
      </c>
      <c r="J995" t="s">
        <v>37</v>
      </c>
      <c r="K995">
        <v>1</v>
      </c>
      <c r="L995">
        <v>1</v>
      </c>
      <c r="M995">
        <v>7.45</v>
      </c>
      <c r="N995">
        <v>1</v>
      </c>
      <c r="O995" t="str">
        <f>IF(financial_fraud_data[[#This Row],[Risk_Score]]&gt;8,"High",IF(financial_fraud_data[[#This Row],[Risk_Score]]&gt;5,"Med","Low"))</f>
        <v>Med</v>
      </c>
      <c r="P995" t="str">
        <f>TEXT(financial_fraud_data[[#This Row],[Transaction_Date]],"MMM")</f>
        <v>Feb</v>
      </c>
      <c r="Q995" t="str">
        <f>IF(financial_fraud_data[[#This Row],[Is_Fraud]]=1,"Yes","No")</f>
        <v>Yes</v>
      </c>
    </row>
    <row r="996" spans="1:17" x14ac:dyDescent="0.2">
      <c r="A996" t="s">
        <v>1464</v>
      </c>
      <c r="B996" t="s">
        <v>108</v>
      </c>
      <c r="C996" s="1">
        <v>45333.416666666664</v>
      </c>
      <c r="D996">
        <v>18080.650000000001</v>
      </c>
      <c r="E996" t="s">
        <v>34</v>
      </c>
      <c r="F996" t="s">
        <v>27</v>
      </c>
      <c r="G996" t="s">
        <v>28</v>
      </c>
      <c r="H996" t="s">
        <v>23</v>
      </c>
      <c r="I996" t="s">
        <v>23</v>
      </c>
      <c r="J996" t="s">
        <v>37</v>
      </c>
      <c r="K996">
        <v>1</v>
      </c>
      <c r="L996">
        <v>1</v>
      </c>
      <c r="M996">
        <v>5.31</v>
      </c>
      <c r="N996">
        <v>1</v>
      </c>
      <c r="O996" t="str">
        <f>IF(financial_fraud_data[[#This Row],[Risk_Score]]&gt;8,"High",IF(financial_fraud_data[[#This Row],[Risk_Score]]&gt;5,"Med","Low"))</f>
        <v>Med</v>
      </c>
      <c r="P996" t="str">
        <f>TEXT(financial_fraud_data[[#This Row],[Transaction_Date]],"MMM")</f>
        <v>Feb</v>
      </c>
      <c r="Q996" t="str">
        <f>IF(financial_fraud_data[[#This Row],[Is_Fraud]]=1,"Yes","No")</f>
        <v>Yes</v>
      </c>
    </row>
    <row r="997" spans="1:17" x14ac:dyDescent="0.2">
      <c r="A997" t="s">
        <v>1465</v>
      </c>
      <c r="B997" t="s">
        <v>1060</v>
      </c>
      <c r="C997" s="1">
        <v>45333.458333333336</v>
      </c>
      <c r="D997">
        <v>4624.5200000000004</v>
      </c>
      <c r="E997" t="s">
        <v>34</v>
      </c>
      <c r="F997" t="s">
        <v>50</v>
      </c>
      <c r="G997" t="s">
        <v>56</v>
      </c>
      <c r="H997" t="s">
        <v>29</v>
      </c>
      <c r="I997" t="s">
        <v>23</v>
      </c>
      <c r="J997" t="s">
        <v>20</v>
      </c>
      <c r="K997">
        <v>0</v>
      </c>
      <c r="L997">
        <v>2</v>
      </c>
      <c r="M997">
        <v>4.46</v>
      </c>
      <c r="N997">
        <v>0</v>
      </c>
      <c r="O997" t="str">
        <f>IF(financial_fraud_data[[#This Row],[Risk_Score]]&gt;8,"High",IF(financial_fraud_data[[#This Row],[Risk_Score]]&gt;5,"Med","Low"))</f>
        <v>Low</v>
      </c>
      <c r="P997" t="str">
        <f>TEXT(financial_fraud_data[[#This Row],[Transaction_Date]],"MMM")</f>
        <v>Feb</v>
      </c>
      <c r="Q997" t="str">
        <f>IF(financial_fraud_data[[#This Row],[Is_Fraud]]=1,"Yes","No")</f>
        <v>No</v>
      </c>
    </row>
    <row r="998" spans="1:17" x14ac:dyDescent="0.2">
      <c r="A998" t="s">
        <v>1466</v>
      </c>
      <c r="B998" t="s">
        <v>582</v>
      </c>
      <c r="C998" s="1">
        <v>45333.5</v>
      </c>
      <c r="D998">
        <v>45869.81</v>
      </c>
      <c r="E998" t="s">
        <v>16</v>
      </c>
      <c r="F998" t="s">
        <v>17</v>
      </c>
      <c r="G998" t="s">
        <v>56</v>
      </c>
      <c r="H998" t="s">
        <v>23</v>
      </c>
      <c r="I998" t="s">
        <v>23</v>
      </c>
      <c r="J998" t="s">
        <v>37</v>
      </c>
      <c r="K998">
        <v>0</v>
      </c>
      <c r="L998">
        <v>0</v>
      </c>
      <c r="M998">
        <v>4.59</v>
      </c>
      <c r="N998">
        <v>0</v>
      </c>
      <c r="O998" t="str">
        <f>IF(financial_fraud_data[[#This Row],[Risk_Score]]&gt;8,"High",IF(financial_fraud_data[[#This Row],[Risk_Score]]&gt;5,"Med","Low"))</f>
        <v>Low</v>
      </c>
      <c r="P998" t="str">
        <f>TEXT(financial_fraud_data[[#This Row],[Transaction_Date]],"MMM")</f>
        <v>Feb</v>
      </c>
      <c r="Q998" t="str">
        <f>IF(financial_fraud_data[[#This Row],[Is_Fraud]]=1,"Yes","No")</f>
        <v>No</v>
      </c>
    </row>
    <row r="999" spans="1:17" x14ac:dyDescent="0.2">
      <c r="A999" t="s">
        <v>1467</v>
      </c>
      <c r="B999" t="s">
        <v>1357</v>
      </c>
      <c r="C999" s="1">
        <v>45333.541666666664</v>
      </c>
      <c r="D999">
        <v>6884.09</v>
      </c>
      <c r="E999" t="s">
        <v>80</v>
      </c>
      <c r="F999" t="s">
        <v>27</v>
      </c>
      <c r="G999" t="s">
        <v>65</v>
      </c>
      <c r="H999" t="s">
        <v>24</v>
      </c>
      <c r="I999" t="s">
        <v>23</v>
      </c>
      <c r="J999" t="s">
        <v>20</v>
      </c>
      <c r="K999">
        <v>0</v>
      </c>
      <c r="L999">
        <v>0</v>
      </c>
      <c r="M999">
        <v>1.69</v>
      </c>
      <c r="N999">
        <v>0</v>
      </c>
      <c r="O999" t="str">
        <f>IF(financial_fraud_data[[#This Row],[Risk_Score]]&gt;8,"High",IF(financial_fraud_data[[#This Row],[Risk_Score]]&gt;5,"Med","Low"))</f>
        <v>Low</v>
      </c>
      <c r="P999" t="str">
        <f>TEXT(financial_fraud_data[[#This Row],[Transaction_Date]],"MMM")</f>
        <v>Feb</v>
      </c>
      <c r="Q999" t="str">
        <f>IF(financial_fraud_data[[#This Row],[Is_Fraud]]=1,"Yes","No")</f>
        <v>No</v>
      </c>
    </row>
    <row r="1000" spans="1:17" x14ac:dyDescent="0.2">
      <c r="A1000" t="s">
        <v>1468</v>
      </c>
      <c r="B1000" t="s">
        <v>435</v>
      </c>
      <c r="C1000" s="1">
        <v>45333.583333333336</v>
      </c>
      <c r="D1000">
        <v>47514.36</v>
      </c>
      <c r="E1000" t="s">
        <v>34</v>
      </c>
      <c r="F1000" t="s">
        <v>27</v>
      </c>
      <c r="G1000" t="s">
        <v>65</v>
      </c>
      <c r="H1000" t="s">
        <v>19</v>
      </c>
      <c r="I1000" t="s">
        <v>19</v>
      </c>
      <c r="J1000" t="s">
        <v>37</v>
      </c>
      <c r="K1000">
        <v>0</v>
      </c>
      <c r="L1000">
        <v>4</v>
      </c>
      <c r="M1000">
        <v>10.75</v>
      </c>
      <c r="N1000">
        <v>1</v>
      </c>
      <c r="O1000" t="str">
        <f>IF(financial_fraud_data[[#This Row],[Risk_Score]]&gt;8,"High",IF(financial_fraud_data[[#This Row],[Risk_Score]]&gt;5,"Med","Low"))</f>
        <v>High</v>
      </c>
      <c r="P1000" t="str">
        <f>TEXT(financial_fraud_data[[#This Row],[Transaction_Date]],"MMM")</f>
        <v>Feb</v>
      </c>
      <c r="Q1000" t="str">
        <f>IF(financial_fraud_data[[#This Row],[Is_Fraud]]=1,"Yes","No")</f>
        <v>Yes</v>
      </c>
    </row>
    <row r="1001" spans="1:17" x14ac:dyDescent="0.2">
      <c r="A1001" t="s">
        <v>1469</v>
      </c>
      <c r="B1001" t="s">
        <v>142</v>
      </c>
      <c r="C1001" s="1">
        <v>45333.625</v>
      </c>
      <c r="D1001">
        <v>22327.99</v>
      </c>
      <c r="E1001" t="s">
        <v>80</v>
      </c>
      <c r="F1001" t="s">
        <v>47</v>
      </c>
      <c r="G1001" t="s">
        <v>28</v>
      </c>
      <c r="H1001" t="s">
        <v>23</v>
      </c>
      <c r="I1001" t="s">
        <v>23</v>
      </c>
      <c r="J1001" t="s">
        <v>37</v>
      </c>
      <c r="K1001">
        <v>0</v>
      </c>
      <c r="L1001">
        <v>0</v>
      </c>
      <c r="M1001">
        <v>2.23</v>
      </c>
      <c r="N1001">
        <v>0</v>
      </c>
      <c r="O1001" t="str">
        <f>IF(financial_fraud_data[[#This Row],[Risk_Score]]&gt;8,"High",IF(financial_fraud_data[[#This Row],[Risk_Score]]&gt;5,"Med","Low"))</f>
        <v>Low</v>
      </c>
      <c r="P1001" t="str">
        <f>TEXT(financial_fraud_data[[#This Row],[Transaction_Date]],"MMM")</f>
        <v>Feb</v>
      </c>
      <c r="Q1001" t="str">
        <f>IF(financial_fraud_data[[#This Row],[Is_Fraud]]=1,"Yes","No")</f>
        <v>No</v>
      </c>
    </row>
    <row r="1002" spans="1:17" x14ac:dyDescent="0.2">
      <c r="A1002" t="s">
        <v>1470</v>
      </c>
      <c r="B1002" t="s">
        <v>1003</v>
      </c>
      <c r="C1002" s="1">
        <v>45333.666666666664</v>
      </c>
      <c r="D1002">
        <v>9297.39</v>
      </c>
      <c r="E1002" t="s">
        <v>16</v>
      </c>
      <c r="F1002" t="s">
        <v>50</v>
      </c>
      <c r="G1002" t="s">
        <v>18</v>
      </c>
      <c r="H1002" t="s">
        <v>19</v>
      </c>
      <c r="I1002" t="s">
        <v>36</v>
      </c>
      <c r="J1002" t="s">
        <v>20</v>
      </c>
      <c r="K1002">
        <v>0</v>
      </c>
      <c r="L1002">
        <v>1</v>
      </c>
      <c r="M1002">
        <v>3.43</v>
      </c>
      <c r="N1002">
        <v>0</v>
      </c>
      <c r="O1002" t="str">
        <f>IF(financial_fraud_data[[#This Row],[Risk_Score]]&gt;8,"High",IF(financial_fraud_data[[#This Row],[Risk_Score]]&gt;5,"Med","Low"))</f>
        <v>Low</v>
      </c>
      <c r="P1002" t="str">
        <f>TEXT(financial_fraud_data[[#This Row],[Transaction_Date]],"MMM")</f>
        <v>Feb</v>
      </c>
      <c r="Q1002" t="str">
        <f>IF(financial_fraud_data[[#This Row],[Is_Fraud]]=1,"Yes","No")</f>
        <v>No</v>
      </c>
    </row>
    <row r="1003" spans="1:17" x14ac:dyDescent="0.2">
      <c r="A1003" t="s">
        <v>1471</v>
      </c>
      <c r="B1003" t="s">
        <v>601</v>
      </c>
      <c r="C1003" s="1">
        <v>45333.708333333336</v>
      </c>
      <c r="D1003">
        <v>27117.95</v>
      </c>
      <c r="E1003" t="s">
        <v>42</v>
      </c>
      <c r="F1003" t="s">
        <v>47</v>
      </c>
      <c r="G1003" t="s">
        <v>18</v>
      </c>
      <c r="H1003" t="s">
        <v>24</v>
      </c>
      <c r="I1003" t="s">
        <v>23</v>
      </c>
      <c r="J1003" t="s">
        <v>51</v>
      </c>
      <c r="K1003">
        <v>0</v>
      </c>
      <c r="L1003">
        <v>0</v>
      </c>
      <c r="M1003">
        <v>3.71</v>
      </c>
      <c r="N1003">
        <v>0</v>
      </c>
      <c r="O1003" t="str">
        <f>IF(financial_fraud_data[[#This Row],[Risk_Score]]&gt;8,"High",IF(financial_fraud_data[[#This Row],[Risk_Score]]&gt;5,"Med","Low"))</f>
        <v>Low</v>
      </c>
      <c r="P1003" t="str">
        <f>TEXT(financial_fraud_data[[#This Row],[Transaction_Date]],"MMM")</f>
        <v>Feb</v>
      </c>
      <c r="Q1003" t="str">
        <f>IF(financial_fraud_data[[#This Row],[Is_Fraud]]=1,"Yes","No")</f>
        <v>No</v>
      </c>
    </row>
    <row r="1004" spans="1:17" x14ac:dyDescent="0.2">
      <c r="A1004" t="s">
        <v>1472</v>
      </c>
      <c r="B1004" t="s">
        <v>1473</v>
      </c>
      <c r="C1004" s="1">
        <v>45333.75</v>
      </c>
      <c r="D1004">
        <v>43653.64</v>
      </c>
      <c r="E1004" t="s">
        <v>42</v>
      </c>
      <c r="F1004" t="s">
        <v>50</v>
      </c>
      <c r="G1004" t="s">
        <v>18</v>
      </c>
      <c r="H1004" t="s">
        <v>24</v>
      </c>
      <c r="I1004" t="s">
        <v>29</v>
      </c>
      <c r="J1004" t="s">
        <v>51</v>
      </c>
      <c r="K1004">
        <v>0</v>
      </c>
      <c r="L1004">
        <v>4</v>
      </c>
      <c r="M1004">
        <v>11.37</v>
      </c>
      <c r="N1004">
        <v>1</v>
      </c>
      <c r="O1004" t="str">
        <f>IF(financial_fraud_data[[#This Row],[Risk_Score]]&gt;8,"High",IF(financial_fraud_data[[#This Row],[Risk_Score]]&gt;5,"Med","Low"))</f>
        <v>High</v>
      </c>
      <c r="P1004" t="str">
        <f>TEXT(financial_fraud_data[[#This Row],[Transaction_Date]],"MMM")</f>
        <v>Feb</v>
      </c>
      <c r="Q1004" t="str">
        <f>IF(financial_fraud_data[[#This Row],[Is_Fraud]]=1,"Yes","No")</f>
        <v>Yes</v>
      </c>
    </row>
    <row r="1005" spans="1:17" x14ac:dyDescent="0.2">
      <c r="A1005" t="s">
        <v>1474</v>
      </c>
      <c r="B1005" t="s">
        <v>1063</v>
      </c>
      <c r="C1005" s="1">
        <v>45333.791666666664</v>
      </c>
      <c r="D1005">
        <v>36624.629999999997</v>
      </c>
      <c r="E1005" t="s">
        <v>34</v>
      </c>
      <c r="F1005" t="s">
        <v>47</v>
      </c>
      <c r="G1005" t="s">
        <v>56</v>
      </c>
      <c r="H1005" t="s">
        <v>29</v>
      </c>
      <c r="I1005" t="s">
        <v>23</v>
      </c>
      <c r="J1005" t="s">
        <v>20</v>
      </c>
      <c r="K1005">
        <v>0</v>
      </c>
      <c r="L1005">
        <v>3</v>
      </c>
      <c r="M1005">
        <v>9.16</v>
      </c>
      <c r="N1005">
        <v>1</v>
      </c>
      <c r="O1005" t="str">
        <f>IF(financial_fraud_data[[#This Row],[Risk_Score]]&gt;8,"High",IF(financial_fraud_data[[#This Row],[Risk_Score]]&gt;5,"Med","Low"))</f>
        <v>High</v>
      </c>
      <c r="P1005" t="str">
        <f>TEXT(financial_fraud_data[[#This Row],[Transaction_Date]],"MMM")</f>
        <v>Feb</v>
      </c>
      <c r="Q1005" t="str">
        <f>IF(financial_fraud_data[[#This Row],[Is_Fraud]]=1,"Yes","No")</f>
        <v>Yes</v>
      </c>
    </row>
    <row r="1006" spans="1:17" x14ac:dyDescent="0.2">
      <c r="A1006" t="s">
        <v>1475</v>
      </c>
      <c r="B1006" t="s">
        <v>1476</v>
      </c>
      <c r="C1006" s="1">
        <v>45333.833333333336</v>
      </c>
      <c r="D1006">
        <v>40337.730000000003</v>
      </c>
      <c r="E1006" t="s">
        <v>16</v>
      </c>
      <c r="F1006" t="s">
        <v>27</v>
      </c>
      <c r="G1006" t="s">
        <v>56</v>
      </c>
      <c r="H1006" t="s">
        <v>19</v>
      </c>
      <c r="I1006" t="s">
        <v>24</v>
      </c>
      <c r="J1006" t="s">
        <v>20</v>
      </c>
      <c r="K1006">
        <v>0</v>
      </c>
      <c r="L1006">
        <v>0</v>
      </c>
      <c r="M1006">
        <v>5.03</v>
      </c>
      <c r="N1006">
        <v>1</v>
      </c>
      <c r="O1006" t="str">
        <f>IF(financial_fraud_data[[#This Row],[Risk_Score]]&gt;8,"High",IF(financial_fraud_data[[#This Row],[Risk_Score]]&gt;5,"Med","Low"))</f>
        <v>Med</v>
      </c>
      <c r="P1006" t="str">
        <f>TEXT(financial_fraud_data[[#This Row],[Transaction_Date]],"MMM")</f>
        <v>Feb</v>
      </c>
      <c r="Q1006" t="str">
        <f>IF(financial_fraud_data[[#This Row],[Is_Fraud]]=1,"Yes","No")</f>
        <v>Yes</v>
      </c>
    </row>
    <row r="1007" spans="1:17" x14ac:dyDescent="0.2">
      <c r="A1007" t="s">
        <v>1477</v>
      </c>
      <c r="B1007" t="s">
        <v>844</v>
      </c>
      <c r="C1007" s="1">
        <v>45333.875</v>
      </c>
      <c r="D1007">
        <v>32956.230000000003</v>
      </c>
      <c r="E1007" t="s">
        <v>80</v>
      </c>
      <c r="F1007" t="s">
        <v>47</v>
      </c>
      <c r="G1007" t="s">
        <v>35</v>
      </c>
      <c r="H1007" t="s">
        <v>36</v>
      </c>
      <c r="I1007" t="s">
        <v>36</v>
      </c>
      <c r="J1007" t="s">
        <v>51</v>
      </c>
      <c r="K1007">
        <v>0</v>
      </c>
      <c r="L1007">
        <v>0</v>
      </c>
      <c r="M1007">
        <v>3.3</v>
      </c>
      <c r="N1007">
        <v>0</v>
      </c>
      <c r="O1007" t="str">
        <f>IF(financial_fraud_data[[#This Row],[Risk_Score]]&gt;8,"High",IF(financial_fraud_data[[#This Row],[Risk_Score]]&gt;5,"Med","Low"))</f>
        <v>Low</v>
      </c>
      <c r="P1007" t="str">
        <f>TEXT(financial_fraud_data[[#This Row],[Transaction_Date]],"MMM")</f>
        <v>Feb</v>
      </c>
      <c r="Q1007" t="str">
        <f>IF(financial_fraud_data[[#This Row],[Is_Fraud]]=1,"Yes","No")</f>
        <v>No</v>
      </c>
    </row>
    <row r="1008" spans="1:17" x14ac:dyDescent="0.2">
      <c r="A1008" t="s">
        <v>1478</v>
      </c>
      <c r="B1008" t="s">
        <v>125</v>
      </c>
      <c r="C1008" s="1">
        <v>45333.916666666664</v>
      </c>
      <c r="D1008">
        <v>34629.21</v>
      </c>
      <c r="E1008" t="s">
        <v>34</v>
      </c>
      <c r="F1008" t="s">
        <v>17</v>
      </c>
      <c r="G1008" t="s">
        <v>56</v>
      </c>
      <c r="H1008" t="s">
        <v>29</v>
      </c>
      <c r="I1008" t="s">
        <v>36</v>
      </c>
      <c r="J1008" t="s">
        <v>51</v>
      </c>
      <c r="K1008">
        <v>0</v>
      </c>
      <c r="L1008">
        <v>1</v>
      </c>
      <c r="M1008">
        <v>5.96</v>
      </c>
      <c r="N1008">
        <v>1</v>
      </c>
      <c r="O1008" t="str">
        <f>IF(financial_fraud_data[[#This Row],[Risk_Score]]&gt;8,"High",IF(financial_fraud_data[[#This Row],[Risk_Score]]&gt;5,"Med","Low"))</f>
        <v>Med</v>
      </c>
      <c r="P1008" t="str">
        <f>TEXT(financial_fraud_data[[#This Row],[Transaction_Date]],"MMM")</f>
        <v>Feb</v>
      </c>
      <c r="Q1008" t="str">
        <f>IF(financial_fraud_data[[#This Row],[Is_Fraud]]=1,"Yes","No")</f>
        <v>Yes</v>
      </c>
    </row>
    <row r="1009" spans="1:17" x14ac:dyDescent="0.2">
      <c r="A1009" t="s">
        <v>1479</v>
      </c>
      <c r="B1009" t="s">
        <v>486</v>
      </c>
      <c r="C1009" s="1">
        <v>45333.958333333336</v>
      </c>
      <c r="D1009">
        <v>42467.32</v>
      </c>
      <c r="E1009" t="s">
        <v>16</v>
      </c>
      <c r="F1009" t="s">
        <v>50</v>
      </c>
      <c r="G1009" t="s">
        <v>56</v>
      </c>
      <c r="H1009" t="s">
        <v>19</v>
      </c>
      <c r="I1009" t="s">
        <v>19</v>
      </c>
      <c r="J1009" t="s">
        <v>51</v>
      </c>
      <c r="K1009">
        <v>0</v>
      </c>
      <c r="L1009">
        <v>2</v>
      </c>
      <c r="M1009">
        <v>7.25</v>
      </c>
      <c r="N1009">
        <v>1</v>
      </c>
      <c r="O1009" t="str">
        <f>IF(financial_fraud_data[[#This Row],[Risk_Score]]&gt;8,"High",IF(financial_fraud_data[[#This Row],[Risk_Score]]&gt;5,"Med","Low"))</f>
        <v>Med</v>
      </c>
      <c r="P1009" t="str">
        <f>TEXT(financial_fraud_data[[#This Row],[Transaction_Date]],"MMM")</f>
        <v>Feb</v>
      </c>
      <c r="Q1009" t="str">
        <f>IF(financial_fraud_data[[#This Row],[Is_Fraud]]=1,"Yes","No")</f>
        <v>Yes</v>
      </c>
    </row>
    <row r="1010" spans="1:17" x14ac:dyDescent="0.2">
      <c r="A1010" t="s">
        <v>1480</v>
      </c>
      <c r="B1010" t="s">
        <v>437</v>
      </c>
      <c r="C1010" s="1">
        <v>45334</v>
      </c>
      <c r="D1010">
        <v>12520.92</v>
      </c>
      <c r="E1010" t="s">
        <v>16</v>
      </c>
      <c r="F1010" t="s">
        <v>50</v>
      </c>
      <c r="G1010" t="s">
        <v>56</v>
      </c>
      <c r="H1010" t="s">
        <v>23</v>
      </c>
      <c r="I1010" t="s">
        <v>29</v>
      </c>
      <c r="J1010" t="s">
        <v>20</v>
      </c>
      <c r="K1010">
        <v>0</v>
      </c>
      <c r="L1010">
        <v>3</v>
      </c>
      <c r="M1010">
        <v>6.75</v>
      </c>
      <c r="N1010">
        <v>1</v>
      </c>
      <c r="O1010" t="str">
        <f>IF(financial_fraud_data[[#This Row],[Risk_Score]]&gt;8,"High",IF(financial_fraud_data[[#This Row],[Risk_Score]]&gt;5,"Med","Low"))</f>
        <v>Med</v>
      </c>
      <c r="P1010" t="str">
        <f>TEXT(financial_fraud_data[[#This Row],[Transaction_Date]],"MMM")</f>
        <v>Feb</v>
      </c>
      <c r="Q1010" t="str">
        <f>IF(financial_fraud_data[[#This Row],[Is_Fraud]]=1,"Yes","No")</f>
        <v>Yes</v>
      </c>
    </row>
    <row r="1011" spans="1:17" x14ac:dyDescent="0.2">
      <c r="A1011" t="s">
        <v>1481</v>
      </c>
      <c r="B1011" t="s">
        <v>1443</v>
      </c>
      <c r="C1011" s="1">
        <v>45334.041666666664</v>
      </c>
      <c r="D1011">
        <v>24496.78</v>
      </c>
      <c r="E1011" t="s">
        <v>80</v>
      </c>
      <c r="F1011" t="s">
        <v>27</v>
      </c>
      <c r="G1011" t="s">
        <v>28</v>
      </c>
      <c r="H1011" t="s">
        <v>23</v>
      </c>
      <c r="I1011" t="s">
        <v>36</v>
      </c>
      <c r="J1011" t="s">
        <v>37</v>
      </c>
      <c r="K1011">
        <v>0</v>
      </c>
      <c r="L1011">
        <v>2</v>
      </c>
      <c r="M1011">
        <v>6.45</v>
      </c>
      <c r="N1011">
        <v>1</v>
      </c>
      <c r="O1011" t="str">
        <f>IF(financial_fraud_data[[#This Row],[Risk_Score]]&gt;8,"High",IF(financial_fraud_data[[#This Row],[Risk_Score]]&gt;5,"Med","Low"))</f>
        <v>Med</v>
      </c>
      <c r="P1011" t="str">
        <f>TEXT(financial_fraud_data[[#This Row],[Transaction_Date]],"MMM")</f>
        <v>Feb</v>
      </c>
      <c r="Q1011" t="str">
        <f>IF(financial_fraud_data[[#This Row],[Is_Fraud]]=1,"Yes","No")</f>
        <v>Yes</v>
      </c>
    </row>
    <row r="1012" spans="1:17" x14ac:dyDescent="0.2">
      <c r="A1012" t="s">
        <v>1482</v>
      </c>
      <c r="B1012" t="s">
        <v>514</v>
      </c>
      <c r="C1012" s="1">
        <v>45334.083333333336</v>
      </c>
      <c r="D1012">
        <v>11099.41</v>
      </c>
      <c r="E1012" t="s">
        <v>34</v>
      </c>
      <c r="F1012" t="s">
        <v>50</v>
      </c>
      <c r="G1012" t="s">
        <v>56</v>
      </c>
      <c r="H1012" t="s">
        <v>24</v>
      </c>
      <c r="I1012" t="s">
        <v>24</v>
      </c>
      <c r="J1012" t="s">
        <v>20</v>
      </c>
      <c r="K1012">
        <v>0</v>
      </c>
      <c r="L1012">
        <v>4</v>
      </c>
      <c r="M1012">
        <v>7.11</v>
      </c>
      <c r="N1012">
        <v>1</v>
      </c>
      <c r="O1012" t="str">
        <f>IF(financial_fraud_data[[#This Row],[Risk_Score]]&gt;8,"High",IF(financial_fraud_data[[#This Row],[Risk_Score]]&gt;5,"Med","Low"))</f>
        <v>Med</v>
      </c>
      <c r="P1012" t="str">
        <f>TEXT(financial_fraud_data[[#This Row],[Transaction_Date]],"MMM")</f>
        <v>Feb</v>
      </c>
      <c r="Q1012" t="str">
        <f>IF(financial_fraud_data[[#This Row],[Is_Fraud]]=1,"Yes","No")</f>
        <v>Yes</v>
      </c>
    </row>
    <row r="1013" spans="1:17" x14ac:dyDescent="0.2">
      <c r="A1013" t="s">
        <v>1483</v>
      </c>
      <c r="B1013" t="s">
        <v>567</v>
      </c>
      <c r="C1013" s="1">
        <v>45334.125</v>
      </c>
      <c r="D1013">
        <v>49384.02</v>
      </c>
      <c r="E1013" t="s">
        <v>16</v>
      </c>
      <c r="F1013" t="s">
        <v>17</v>
      </c>
      <c r="G1013" t="s">
        <v>65</v>
      </c>
      <c r="H1013" t="s">
        <v>36</v>
      </c>
      <c r="I1013" t="s">
        <v>23</v>
      </c>
      <c r="J1013" t="s">
        <v>51</v>
      </c>
      <c r="K1013">
        <v>0</v>
      </c>
      <c r="L1013">
        <v>4</v>
      </c>
      <c r="M1013">
        <v>11.94</v>
      </c>
      <c r="N1013">
        <v>1</v>
      </c>
      <c r="O1013" t="str">
        <f>IF(financial_fraud_data[[#This Row],[Risk_Score]]&gt;8,"High",IF(financial_fraud_data[[#This Row],[Risk_Score]]&gt;5,"Med","Low"))</f>
        <v>High</v>
      </c>
      <c r="P1013" t="str">
        <f>TEXT(financial_fraud_data[[#This Row],[Transaction_Date]],"MMM")</f>
        <v>Feb</v>
      </c>
      <c r="Q1013" t="str">
        <f>IF(financial_fraud_data[[#This Row],[Is_Fraud]]=1,"Yes","No")</f>
        <v>Yes</v>
      </c>
    </row>
    <row r="1014" spans="1:17" x14ac:dyDescent="0.2">
      <c r="A1014" t="s">
        <v>1484</v>
      </c>
      <c r="B1014" t="s">
        <v>64</v>
      </c>
      <c r="C1014" s="1">
        <v>45334.166666666664</v>
      </c>
      <c r="D1014">
        <v>47205.760000000002</v>
      </c>
      <c r="E1014" t="s">
        <v>16</v>
      </c>
      <c r="F1014" t="s">
        <v>47</v>
      </c>
      <c r="G1014" t="s">
        <v>65</v>
      </c>
      <c r="H1014" t="s">
        <v>23</v>
      </c>
      <c r="I1014" t="s">
        <v>36</v>
      </c>
      <c r="J1014" t="s">
        <v>37</v>
      </c>
      <c r="K1014">
        <v>0</v>
      </c>
      <c r="L1014">
        <v>2</v>
      </c>
      <c r="M1014">
        <v>8.7200000000000006</v>
      </c>
      <c r="N1014">
        <v>1</v>
      </c>
      <c r="O1014" t="str">
        <f>IF(financial_fraud_data[[#This Row],[Risk_Score]]&gt;8,"High",IF(financial_fraud_data[[#This Row],[Risk_Score]]&gt;5,"Med","Low"))</f>
        <v>High</v>
      </c>
      <c r="P1014" t="str">
        <f>TEXT(financial_fraud_data[[#This Row],[Transaction_Date]],"MMM")</f>
        <v>Feb</v>
      </c>
      <c r="Q1014" t="str">
        <f>IF(financial_fraud_data[[#This Row],[Is_Fraud]]=1,"Yes","No")</f>
        <v>Yes</v>
      </c>
    </row>
    <row r="1015" spans="1:17" x14ac:dyDescent="0.2">
      <c r="A1015" t="s">
        <v>1485</v>
      </c>
      <c r="B1015" t="s">
        <v>1486</v>
      </c>
      <c r="C1015" s="1">
        <v>45334.208333333336</v>
      </c>
      <c r="D1015">
        <v>2019.37</v>
      </c>
      <c r="E1015" t="s">
        <v>16</v>
      </c>
      <c r="F1015" t="s">
        <v>27</v>
      </c>
      <c r="G1015" t="s">
        <v>35</v>
      </c>
      <c r="H1015" t="s">
        <v>19</v>
      </c>
      <c r="I1015" t="s">
        <v>24</v>
      </c>
      <c r="J1015" t="s">
        <v>20</v>
      </c>
      <c r="K1015">
        <v>0</v>
      </c>
      <c r="L1015">
        <v>1</v>
      </c>
      <c r="M1015">
        <v>2.7</v>
      </c>
      <c r="N1015">
        <v>0</v>
      </c>
      <c r="O1015" t="str">
        <f>IF(financial_fraud_data[[#This Row],[Risk_Score]]&gt;8,"High",IF(financial_fraud_data[[#This Row],[Risk_Score]]&gt;5,"Med","Low"))</f>
        <v>Low</v>
      </c>
      <c r="P1015" t="str">
        <f>TEXT(financial_fraud_data[[#This Row],[Transaction_Date]],"MMM")</f>
        <v>Feb</v>
      </c>
      <c r="Q1015" t="str">
        <f>IF(financial_fraud_data[[#This Row],[Is_Fraud]]=1,"Yes","No")</f>
        <v>No</v>
      </c>
    </row>
    <row r="1016" spans="1:17" x14ac:dyDescent="0.2">
      <c r="A1016" t="s">
        <v>1487</v>
      </c>
      <c r="B1016" t="s">
        <v>655</v>
      </c>
      <c r="C1016" s="1">
        <v>45334.25</v>
      </c>
      <c r="D1016">
        <v>35293.480000000003</v>
      </c>
      <c r="E1016" t="s">
        <v>80</v>
      </c>
      <c r="F1016" t="s">
        <v>17</v>
      </c>
      <c r="G1016" t="s">
        <v>28</v>
      </c>
      <c r="H1016" t="s">
        <v>19</v>
      </c>
      <c r="I1016" t="s">
        <v>23</v>
      </c>
      <c r="J1016" t="s">
        <v>51</v>
      </c>
      <c r="K1016">
        <v>0</v>
      </c>
      <c r="L1016">
        <v>1</v>
      </c>
      <c r="M1016">
        <v>6.03</v>
      </c>
      <c r="N1016">
        <v>1</v>
      </c>
      <c r="O1016" t="str">
        <f>IF(financial_fraud_data[[#This Row],[Risk_Score]]&gt;8,"High",IF(financial_fraud_data[[#This Row],[Risk_Score]]&gt;5,"Med","Low"))</f>
        <v>Med</v>
      </c>
      <c r="P1016" t="str">
        <f>TEXT(financial_fraud_data[[#This Row],[Transaction_Date]],"MMM")</f>
        <v>Feb</v>
      </c>
      <c r="Q1016" t="str">
        <f>IF(financial_fraud_data[[#This Row],[Is_Fraud]]=1,"Yes","No")</f>
        <v>Yes</v>
      </c>
    </row>
    <row r="1017" spans="1:17" x14ac:dyDescent="0.2">
      <c r="A1017" t="s">
        <v>1488</v>
      </c>
      <c r="B1017" t="s">
        <v>335</v>
      </c>
      <c r="C1017" s="1">
        <v>45334.291666666664</v>
      </c>
      <c r="D1017">
        <v>46266.15</v>
      </c>
      <c r="E1017" t="s">
        <v>34</v>
      </c>
      <c r="F1017" t="s">
        <v>50</v>
      </c>
      <c r="G1017" t="s">
        <v>65</v>
      </c>
      <c r="H1017" t="s">
        <v>23</v>
      </c>
      <c r="I1017" t="s">
        <v>19</v>
      </c>
      <c r="J1017" t="s">
        <v>20</v>
      </c>
      <c r="K1017">
        <v>0</v>
      </c>
      <c r="L1017">
        <v>1</v>
      </c>
      <c r="M1017">
        <v>7.13</v>
      </c>
      <c r="N1017">
        <v>1</v>
      </c>
      <c r="O1017" t="str">
        <f>IF(financial_fraud_data[[#This Row],[Risk_Score]]&gt;8,"High",IF(financial_fraud_data[[#This Row],[Risk_Score]]&gt;5,"Med","Low"))</f>
        <v>Med</v>
      </c>
      <c r="P1017" t="str">
        <f>TEXT(financial_fraud_data[[#This Row],[Transaction_Date]],"MMM")</f>
        <v>Feb</v>
      </c>
      <c r="Q1017" t="str">
        <f>IF(financial_fraud_data[[#This Row],[Is_Fraud]]=1,"Yes","No")</f>
        <v>Yes</v>
      </c>
    </row>
    <row r="1018" spans="1:17" x14ac:dyDescent="0.2">
      <c r="A1018" t="s">
        <v>1489</v>
      </c>
      <c r="B1018" t="s">
        <v>731</v>
      </c>
      <c r="C1018" s="1">
        <v>45334.333333333336</v>
      </c>
      <c r="D1018">
        <v>9069.74</v>
      </c>
      <c r="E1018" t="s">
        <v>34</v>
      </c>
      <c r="F1018" t="s">
        <v>50</v>
      </c>
      <c r="G1018" t="s">
        <v>28</v>
      </c>
      <c r="H1018" t="s">
        <v>19</v>
      </c>
      <c r="I1018" t="s">
        <v>36</v>
      </c>
      <c r="J1018" t="s">
        <v>37</v>
      </c>
      <c r="K1018">
        <v>0</v>
      </c>
      <c r="L1018">
        <v>3</v>
      </c>
      <c r="M1018">
        <v>6.41</v>
      </c>
      <c r="N1018">
        <v>1</v>
      </c>
      <c r="O1018" t="str">
        <f>IF(financial_fraud_data[[#This Row],[Risk_Score]]&gt;8,"High",IF(financial_fraud_data[[#This Row],[Risk_Score]]&gt;5,"Med","Low"))</f>
        <v>Med</v>
      </c>
      <c r="P1018" t="str">
        <f>TEXT(financial_fraud_data[[#This Row],[Transaction_Date]],"MMM")</f>
        <v>Feb</v>
      </c>
      <c r="Q1018" t="str">
        <f>IF(financial_fraud_data[[#This Row],[Is_Fraud]]=1,"Yes","No")</f>
        <v>Yes</v>
      </c>
    </row>
    <row r="1019" spans="1:17" x14ac:dyDescent="0.2">
      <c r="A1019" t="s">
        <v>1490</v>
      </c>
      <c r="B1019" t="s">
        <v>450</v>
      </c>
      <c r="C1019" s="1">
        <v>45334.375</v>
      </c>
      <c r="D1019">
        <v>28418.86</v>
      </c>
      <c r="E1019" t="s">
        <v>34</v>
      </c>
      <c r="F1019" t="s">
        <v>17</v>
      </c>
      <c r="G1019" t="s">
        <v>28</v>
      </c>
      <c r="H1019" t="s">
        <v>19</v>
      </c>
      <c r="I1019" t="s">
        <v>36</v>
      </c>
      <c r="J1019" t="s">
        <v>51</v>
      </c>
      <c r="K1019">
        <v>0</v>
      </c>
      <c r="L1019">
        <v>4</v>
      </c>
      <c r="M1019">
        <v>9.84</v>
      </c>
      <c r="N1019">
        <v>1</v>
      </c>
      <c r="O1019" t="str">
        <f>IF(financial_fraud_data[[#This Row],[Risk_Score]]&gt;8,"High",IF(financial_fraud_data[[#This Row],[Risk_Score]]&gt;5,"Med","Low"))</f>
        <v>High</v>
      </c>
      <c r="P1019" t="str">
        <f>TEXT(financial_fraud_data[[#This Row],[Transaction_Date]],"MMM")</f>
        <v>Feb</v>
      </c>
      <c r="Q1019" t="str">
        <f>IF(financial_fraud_data[[#This Row],[Is_Fraud]]=1,"Yes","No")</f>
        <v>Yes</v>
      </c>
    </row>
    <row r="1020" spans="1:17" x14ac:dyDescent="0.2">
      <c r="A1020" t="s">
        <v>1491</v>
      </c>
      <c r="B1020" t="s">
        <v>879</v>
      </c>
      <c r="C1020" s="1">
        <v>45334.416666666664</v>
      </c>
      <c r="D1020">
        <v>45778.64</v>
      </c>
      <c r="E1020" t="s">
        <v>34</v>
      </c>
      <c r="F1020" t="s">
        <v>47</v>
      </c>
      <c r="G1020" t="s">
        <v>35</v>
      </c>
      <c r="H1020" t="s">
        <v>24</v>
      </c>
      <c r="I1020" t="s">
        <v>24</v>
      </c>
      <c r="J1020" t="s">
        <v>20</v>
      </c>
      <c r="K1020">
        <v>0</v>
      </c>
      <c r="L1020">
        <v>4</v>
      </c>
      <c r="M1020">
        <v>10.58</v>
      </c>
      <c r="N1020">
        <v>1</v>
      </c>
      <c r="O1020" t="str">
        <f>IF(financial_fraud_data[[#This Row],[Risk_Score]]&gt;8,"High",IF(financial_fraud_data[[#This Row],[Risk_Score]]&gt;5,"Med","Low"))</f>
        <v>High</v>
      </c>
      <c r="P1020" t="str">
        <f>TEXT(financial_fraud_data[[#This Row],[Transaction_Date]],"MMM")</f>
        <v>Feb</v>
      </c>
      <c r="Q1020" t="str">
        <f>IF(financial_fraud_data[[#This Row],[Is_Fraud]]=1,"Yes","No")</f>
        <v>Yes</v>
      </c>
    </row>
    <row r="1021" spans="1:17" x14ac:dyDescent="0.2">
      <c r="A1021" t="s">
        <v>1492</v>
      </c>
      <c r="B1021" t="s">
        <v>15</v>
      </c>
      <c r="C1021" s="1">
        <v>45334.458333333336</v>
      </c>
      <c r="D1021">
        <v>1745.6</v>
      </c>
      <c r="E1021" t="s">
        <v>42</v>
      </c>
      <c r="F1021" t="s">
        <v>47</v>
      </c>
      <c r="G1021" t="s">
        <v>28</v>
      </c>
      <c r="H1021" t="s">
        <v>36</v>
      </c>
      <c r="I1021" t="s">
        <v>29</v>
      </c>
      <c r="J1021" t="s">
        <v>37</v>
      </c>
      <c r="K1021">
        <v>0</v>
      </c>
      <c r="L1021">
        <v>4</v>
      </c>
      <c r="M1021">
        <v>7.17</v>
      </c>
      <c r="N1021">
        <v>1</v>
      </c>
      <c r="O1021" t="str">
        <f>IF(financial_fraud_data[[#This Row],[Risk_Score]]&gt;8,"High",IF(financial_fraud_data[[#This Row],[Risk_Score]]&gt;5,"Med","Low"))</f>
        <v>Med</v>
      </c>
      <c r="P1021" t="str">
        <f>TEXT(financial_fraud_data[[#This Row],[Transaction_Date]],"MMM")</f>
        <v>Feb</v>
      </c>
      <c r="Q1021" t="str">
        <f>IF(financial_fraud_data[[#This Row],[Is_Fraud]]=1,"Yes","No")</f>
        <v>Yes</v>
      </c>
    </row>
    <row r="1022" spans="1:17" x14ac:dyDescent="0.2">
      <c r="A1022" t="s">
        <v>1493</v>
      </c>
      <c r="B1022" t="s">
        <v>608</v>
      </c>
      <c r="C1022" s="1">
        <v>45334.5</v>
      </c>
      <c r="D1022">
        <v>34886.14</v>
      </c>
      <c r="E1022" t="s">
        <v>42</v>
      </c>
      <c r="F1022" t="s">
        <v>27</v>
      </c>
      <c r="G1022" t="s">
        <v>56</v>
      </c>
      <c r="H1022" t="s">
        <v>24</v>
      </c>
      <c r="I1022" t="s">
        <v>19</v>
      </c>
      <c r="J1022" t="s">
        <v>37</v>
      </c>
      <c r="K1022">
        <v>1</v>
      </c>
      <c r="L1022">
        <v>3</v>
      </c>
      <c r="M1022">
        <v>10.99</v>
      </c>
      <c r="N1022">
        <v>1</v>
      </c>
      <c r="O1022" t="str">
        <f>IF(financial_fraud_data[[#This Row],[Risk_Score]]&gt;8,"High",IF(financial_fraud_data[[#This Row],[Risk_Score]]&gt;5,"Med","Low"))</f>
        <v>High</v>
      </c>
      <c r="P1022" t="str">
        <f>TEXT(financial_fraud_data[[#This Row],[Transaction_Date]],"MMM")</f>
        <v>Feb</v>
      </c>
      <c r="Q1022" t="str">
        <f>IF(financial_fraud_data[[#This Row],[Is_Fraud]]=1,"Yes","No")</f>
        <v>Yes</v>
      </c>
    </row>
    <row r="1023" spans="1:17" x14ac:dyDescent="0.2">
      <c r="A1023" t="s">
        <v>1494</v>
      </c>
      <c r="B1023" t="s">
        <v>618</v>
      </c>
      <c r="C1023" s="1">
        <v>45334.541666666664</v>
      </c>
      <c r="D1023">
        <v>14902.58</v>
      </c>
      <c r="E1023" t="s">
        <v>34</v>
      </c>
      <c r="F1023" t="s">
        <v>50</v>
      </c>
      <c r="G1023" t="s">
        <v>28</v>
      </c>
      <c r="H1023" t="s">
        <v>36</v>
      </c>
      <c r="I1023" t="s">
        <v>29</v>
      </c>
      <c r="J1023" t="s">
        <v>20</v>
      </c>
      <c r="K1023">
        <v>0</v>
      </c>
      <c r="L1023">
        <v>4</v>
      </c>
      <c r="M1023">
        <v>8.49</v>
      </c>
      <c r="N1023">
        <v>1</v>
      </c>
      <c r="O1023" t="str">
        <f>IF(financial_fraud_data[[#This Row],[Risk_Score]]&gt;8,"High",IF(financial_fraud_data[[#This Row],[Risk_Score]]&gt;5,"Med","Low"))</f>
        <v>High</v>
      </c>
      <c r="P1023" t="str">
        <f>TEXT(financial_fraud_data[[#This Row],[Transaction_Date]],"MMM")</f>
        <v>Feb</v>
      </c>
      <c r="Q1023" t="str">
        <f>IF(financial_fraud_data[[#This Row],[Is_Fraud]]=1,"Yes","No")</f>
        <v>Yes</v>
      </c>
    </row>
    <row r="1024" spans="1:17" x14ac:dyDescent="0.2">
      <c r="A1024" t="s">
        <v>1495</v>
      </c>
      <c r="B1024" t="s">
        <v>1309</v>
      </c>
      <c r="C1024" s="1">
        <v>45334.583333333336</v>
      </c>
      <c r="D1024">
        <v>46223.59</v>
      </c>
      <c r="E1024" t="s">
        <v>80</v>
      </c>
      <c r="F1024" t="s">
        <v>17</v>
      </c>
      <c r="G1024" t="s">
        <v>35</v>
      </c>
      <c r="H1024" t="s">
        <v>19</v>
      </c>
      <c r="I1024" t="s">
        <v>36</v>
      </c>
      <c r="J1024" t="s">
        <v>37</v>
      </c>
      <c r="K1024">
        <v>0</v>
      </c>
      <c r="L1024">
        <v>2</v>
      </c>
      <c r="M1024">
        <v>8.6199999999999992</v>
      </c>
      <c r="N1024">
        <v>1</v>
      </c>
      <c r="O1024" t="str">
        <f>IF(financial_fraud_data[[#This Row],[Risk_Score]]&gt;8,"High",IF(financial_fraud_data[[#This Row],[Risk_Score]]&gt;5,"Med","Low"))</f>
        <v>High</v>
      </c>
      <c r="P1024" t="str">
        <f>TEXT(financial_fraud_data[[#This Row],[Transaction_Date]],"MMM")</f>
        <v>Feb</v>
      </c>
      <c r="Q1024" t="str">
        <f>IF(financial_fraud_data[[#This Row],[Is_Fraud]]=1,"Yes","No")</f>
        <v>Yes</v>
      </c>
    </row>
    <row r="1025" spans="1:17" x14ac:dyDescent="0.2">
      <c r="A1025" t="s">
        <v>1496</v>
      </c>
      <c r="B1025" t="s">
        <v>736</v>
      </c>
      <c r="C1025" s="1">
        <v>45334.625</v>
      </c>
      <c r="D1025">
        <v>48554.36</v>
      </c>
      <c r="E1025" t="s">
        <v>42</v>
      </c>
      <c r="F1025" t="s">
        <v>47</v>
      </c>
      <c r="G1025" t="s">
        <v>35</v>
      </c>
      <c r="H1025" t="s">
        <v>36</v>
      </c>
      <c r="I1025" t="s">
        <v>29</v>
      </c>
      <c r="J1025" t="s">
        <v>51</v>
      </c>
      <c r="K1025">
        <v>0</v>
      </c>
      <c r="L1025">
        <v>0</v>
      </c>
      <c r="M1025">
        <v>5.86</v>
      </c>
      <c r="N1025">
        <v>1</v>
      </c>
      <c r="O1025" t="str">
        <f>IF(financial_fraud_data[[#This Row],[Risk_Score]]&gt;8,"High",IF(financial_fraud_data[[#This Row],[Risk_Score]]&gt;5,"Med","Low"))</f>
        <v>Med</v>
      </c>
      <c r="P1025" t="str">
        <f>TEXT(financial_fraud_data[[#This Row],[Transaction_Date]],"MMM")</f>
        <v>Feb</v>
      </c>
      <c r="Q1025" t="str">
        <f>IF(financial_fraud_data[[#This Row],[Is_Fraud]]=1,"Yes","No")</f>
        <v>Yes</v>
      </c>
    </row>
    <row r="1026" spans="1:17" x14ac:dyDescent="0.2">
      <c r="A1026" t="s">
        <v>1497</v>
      </c>
      <c r="B1026" t="s">
        <v>627</v>
      </c>
      <c r="C1026" s="1">
        <v>45334.666666666664</v>
      </c>
      <c r="D1026">
        <v>47216.11</v>
      </c>
      <c r="E1026" t="s">
        <v>16</v>
      </c>
      <c r="F1026" t="s">
        <v>27</v>
      </c>
      <c r="G1026" t="s">
        <v>35</v>
      </c>
      <c r="H1026" t="s">
        <v>19</v>
      </c>
      <c r="I1026" t="s">
        <v>23</v>
      </c>
      <c r="J1026" t="s">
        <v>37</v>
      </c>
      <c r="K1026">
        <v>0</v>
      </c>
      <c r="L1026">
        <v>3</v>
      </c>
      <c r="M1026">
        <v>10.220000000000001</v>
      </c>
      <c r="N1026">
        <v>1</v>
      </c>
      <c r="O1026" t="str">
        <f>IF(financial_fraud_data[[#This Row],[Risk_Score]]&gt;8,"High",IF(financial_fraud_data[[#This Row],[Risk_Score]]&gt;5,"Med","Low"))</f>
        <v>High</v>
      </c>
      <c r="P1026" t="str">
        <f>TEXT(financial_fraud_data[[#This Row],[Transaction_Date]],"MMM")</f>
        <v>Feb</v>
      </c>
      <c r="Q1026" t="str">
        <f>IF(financial_fraud_data[[#This Row],[Is_Fraud]]=1,"Yes","No")</f>
        <v>Yes</v>
      </c>
    </row>
    <row r="1027" spans="1:17" x14ac:dyDescent="0.2">
      <c r="A1027" t="s">
        <v>1498</v>
      </c>
      <c r="B1027" t="s">
        <v>1499</v>
      </c>
      <c r="C1027" s="1">
        <v>45334.708333333336</v>
      </c>
      <c r="D1027">
        <v>23737</v>
      </c>
      <c r="E1027" t="s">
        <v>42</v>
      </c>
      <c r="F1027" t="s">
        <v>50</v>
      </c>
      <c r="G1027" t="s">
        <v>65</v>
      </c>
      <c r="H1027" t="s">
        <v>19</v>
      </c>
      <c r="I1027" t="s">
        <v>19</v>
      </c>
      <c r="J1027" t="s">
        <v>20</v>
      </c>
      <c r="K1027">
        <v>0</v>
      </c>
      <c r="L1027">
        <v>0</v>
      </c>
      <c r="M1027">
        <v>2.37</v>
      </c>
      <c r="N1027">
        <v>0</v>
      </c>
      <c r="O1027" t="str">
        <f>IF(financial_fraud_data[[#This Row],[Risk_Score]]&gt;8,"High",IF(financial_fraud_data[[#This Row],[Risk_Score]]&gt;5,"Med","Low"))</f>
        <v>Low</v>
      </c>
      <c r="P1027" t="str">
        <f>TEXT(financial_fraud_data[[#This Row],[Transaction_Date]],"MMM")</f>
        <v>Feb</v>
      </c>
      <c r="Q1027" t="str">
        <f>IF(financial_fraud_data[[#This Row],[Is_Fraud]]=1,"Yes","No")</f>
        <v>No</v>
      </c>
    </row>
    <row r="1028" spans="1:17" x14ac:dyDescent="0.2">
      <c r="A1028" t="s">
        <v>1500</v>
      </c>
      <c r="B1028" t="s">
        <v>407</v>
      </c>
      <c r="C1028" s="1">
        <v>45334.75</v>
      </c>
      <c r="D1028">
        <v>43109.03</v>
      </c>
      <c r="E1028" t="s">
        <v>16</v>
      </c>
      <c r="F1028" t="s">
        <v>50</v>
      </c>
      <c r="G1028" t="s">
        <v>56</v>
      </c>
      <c r="H1028" t="s">
        <v>24</v>
      </c>
      <c r="I1028" t="s">
        <v>29</v>
      </c>
      <c r="J1028" t="s">
        <v>51</v>
      </c>
      <c r="K1028">
        <v>0</v>
      </c>
      <c r="L1028">
        <v>2</v>
      </c>
      <c r="M1028">
        <v>8.31</v>
      </c>
      <c r="N1028">
        <v>1</v>
      </c>
      <c r="O1028" t="str">
        <f>IF(financial_fraud_data[[#This Row],[Risk_Score]]&gt;8,"High",IF(financial_fraud_data[[#This Row],[Risk_Score]]&gt;5,"Med","Low"))</f>
        <v>High</v>
      </c>
      <c r="P1028" t="str">
        <f>TEXT(financial_fraud_data[[#This Row],[Transaction_Date]],"MMM")</f>
        <v>Feb</v>
      </c>
      <c r="Q1028" t="str">
        <f>IF(financial_fraud_data[[#This Row],[Is_Fraud]]=1,"Yes","No")</f>
        <v>Yes</v>
      </c>
    </row>
    <row r="1029" spans="1:17" x14ac:dyDescent="0.2">
      <c r="A1029" t="s">
        <v>1501</v>
      </c>
      <c r="B1029" t="s">
        <v>570</v>
      </c>
      <c r="C1029" s="1">
        <v>45334.791666666664</v>
      </c>
      <c r="D1029">
        <v>42235.24</v>
      </c>
      <c r="E1029" t="s">
        <v>34</v>
      </c>
      <c r="F1029" t="s">
        <v>27</v>
      </c>
      <c r="G1029" t="s">
        <v>65</v>
      </c>
      <c r="H1029" t="s">
        <v>24</v>
      </c>
      <c r="I1029" t="s">
        <v>23</v>
      </c>
      <c r="J1029" t="s">
        <v>37</v>
      </c>
      <c r="K1029">
        <v>0</v>
      </c>
      <c r="L1029">
        <v>1</v>
      </c>
      <c r="M1029">
        <v>6.72</v>
      </c>
      <c r="N1029">
        <v>1</v>
      </c>
      <c r="O1029" t="str">
        <f>IF(financial_fraud_data[[#This Row],[Risk_Score]]&gt;8,"High",IF(financial_fraud_data[[#This Row],[Risk_Score]]&gt;5,"Med","Low"))</f>
        <v>Med</v>
      </c>
      <c r="P1029" t="str">
        <f>TEXT(financial_fraud_data[[#This Row],[Transaction_Date]],"MMM")</f>
        <v>Feb</v>
      </c>
      <c r="Q1029" t="str">
        <f>IF(financial_fraud_data[[#This Row],[Is_Fraud]]=1,"Yes","No")</f>
        <v>Yes</v>
      </c>
    </row>
    <row r="1030" spans="1:17" x14ac:dyDescent="0.2">
      <c r="A1030" t="s">
        <v>1502</v>
      </c>
      <c r="B1030" t="s">
        <v>755</v>
      </c>
      <c r="C1030" s="1">
        <v>45334.833333333336</v>
      </c>
      <c r="D1030">
        <v>15989.07</v>
      </c>
      <c r="E1030" t="s">
        <v>42</v>
      </c>
      <c r="F1030" t="s">
        <v>27</v>
      </c>
      <c r="G1030" t="s">
        <v>18</v>
      </c>
      <c r="H1030" t="s">
        <v>29</v>
      </c>
      <c r="I1030" t="s">
        <v>24</v>
      </c>
      <c r="J1030" t="s">
        <v>37</v>
      </c>
      <c r="K1030">
        <v>0</v>
      </c>
      <c r="L1030">
        <v>1</v>
      </c>
      <c r="M1030">
        <v>4.0999999999999996</v>
      </c>
      <c r="N1030">
        <v>0</v>
      </c>
      <c r="O1030" t="str">
        <f>IF(financial_fraud_data[[#This Row],[Risk_Score]]&gt;8,"High",IF(financial_fraud_data[[#This Row],[Risk_Score]]&gt;5,"Med","Low"))</f>
        <v>Low</v>
      </c>
      <c r="P1030" t="str">
        <f>TEXT(financial_fraud_data[[#This Row],[Transaction_Date]],"MMM")</f>
        <v>Feb</v>
      </c>
      <c r="Q1030" t="str">
        <f>IF(financial_fraud_data[[#This Row],[Is_Fraud]]=1,"Yes","No")</f>
        <v>No</v>
      </c>
    </row>
    <row r="1031" spans="1:17" x14ac:dyDescent="0.2">
      <c r="A1031" t="s">
        <v>1503</v>
      </c>
      <c r="B1031" t="s">
        <v>1504</v>
      </c>
      <c r="C1031" s="1">
        <v>45334.875</v>
      </c>
      <c r="D1031">
        <v>41454.33</v>
      </c>
      <c r="E1031" t="s">
        <v>80</v>
      </c>
      <c r="F1031" t="s">
        <v>47</v>
      </c>
      <c r="G1031" t="s">
        <v>56</v>
      </c>
      <c r="H1031" t="s">
        <v>23</v>
      </c>
      <c r="I1031" t="s">
        <v>29</v>
      </c>
      <c r="J1031" t="s">
        <v>51</v>
      </c>
      <c r="K1031">
        <v>0</v>
      </c>
      <c r="L1031">
        <v>1</v>
      </c>
      <c r="M1031">
        <v>6.65</v>
      </c>
      <c r="N1031">
        <v>1</v>
      </c>
      <c r="O1031" t="str">
        <f>IF(financial_fraud_data[[#This Row],[Risk_Score]]&gt;8,"High",IF(financial_fraud_data[[#This Row],[Risk_Score]]&gt;5,"Med","Low"))</f>
        <v>Med</v>
      </c>
      <c r="P1031" t="str">
        <f>TEXT(financial_fraud_data[[#This Row],[Transaction_Date]],"MMM")</f>
        <v>Feb</v>
      </c>
      <c r="Q1031" t="str">
        <f>IF(financial_fraud_data[[#This Row],[Is_Fraud]]=1,"Yes","No")</f>
        <v>Yes</v>
      </c>
    </row>
    <row r="1032" spans="1:17" x14ac:dyDescent="0.2">
      <c r="A1032" t="s">
        <v>1505</v>
      </c>
      <c r="B1032" t="s">
        <v>751</v>
      </c>
      <c r="C1032" s="1">
        <v>45334.916666666664</v>
      </c>
      <c r="D1032">
        <v>1898.53</v>
      </c>
      <c r="E1032" t="s">
        <v>42</v>
      </c>
      <c r="F1032" t="s">
        <v>17</v>
      </c>
      <c r="G1032" t="s">
        <v>28</v>
      </c>
      <c r="H1032" t="s">
        <v>29</v>
      </c>
      <c r="I1032" t="s">
        <v>19</v>
      </c>
      <c r="J1032" t="s">
        <v>51</v>
      </c>
      <c r="K1032">
        <v>1</v>
      </c>
      <c r="L1032">
        <v>3</v>
      </c>
      <c r="M1032">
        <v>7.69</v>
      </c>
      <c r="N1032">
        <v>1</v>
      </c>
      <c r="O1032" t="str">
        <f>IF(financial_fraud_data[[#This Row],[Risk_Score]]&gt;8,"High",IF(financial_fraud_data[[#This Row],[Risk_Score]]&gt;5,"Med","Low"))</f>
        <v>Med</v>
      </c>
      <c r="P1032" t="str">
        <f>TEXT(financial_fraud_data[[#This Row],[Transaction_Date]],"MMM")</f>
        <v>Feb</v>
      </c>
      <c r="Q1032" t="str">
        <f>IF(financial_fraud_data[[#This Row],[Is_Fraud]]=1,"Yes","No")</f>
        <v>Yes</v>
      </c>
    </row>
    <row r="1033" spans="1:17" x14ac:dyDescent="0.2">
      <c r="A1033" t="s">
        <v>1506</v>
      </c>
      <c r="B1033" t="s">
        <v>1446</v>
      </c>
      <c r="C1033" s="1">
        <v>45334.958333333336</v>
      </c>
      <c r="D1033">
        <v>29833.68</v>
      </c>
      <c r="E1033" t="s">
        <v>42</v>
      </c>
      <c r="F1033" t="s">
        <v>50</v>
      </c>
      <c r="G1033" t="s">
        <v>35</v>
      </c>
      <c r="H1033" t="s">
        <v>29</v>
      </c>
      <c r="I1033" t="s">
        <v>23</v>
      </c>
      <c r="J1033" t="s">
        <v>37</v>
      </c>
      <c r="K1033">
        <v>0</v>
      </c>
      <c r="L1033">
        <v>1</v>
      </c>
      <c r="M1033">
        <v>5.48</v>
      </c>
      <c r="N1033">
        <v>1</v>
      </c>
      <c r="O1033" t="str">
        <f>IF(financial_fraud_data[[#This Row],[Risk_Score]]&gt;8,"High",IF(financial_fraud_data[[#This Row],[Risk_Score]]&gt;5,"Med","Low"))</f>
        <v>Med</v>
      </c>
      <c r="P1033" t="str">
        <f>TEXT(financial_fraud_data[[#This Row],[Transaction_Date]],"MMM")</f>
        <v>Feb</v>
      </c>
      <c r="Q1033" t="str">
        <f>IF(financial_fraud_data[[#This Row],[Is_Fraud]]=1,"Yes","No")</f>
        <v>Yes</v>
      </c>
    </row>
    <row r="1034" spans="1:17" x14ac:dyDescent="0.2">
      <c r="A1034" t="s">
        <v>1507</v>
      </c>
      <c r="B1034" t="s">
        <v>44</v>
      </c>
      <c r="C1034" s="1">
        <v>45335</v>
      </c>
      <c r="D1034">
        <v>11538.94</v>
      </c>
      <c r="E1034" t="s">
        <v>42</v>
      </c>
      <c r="F1034" t="s">
        <v>17</v>
      </c>
      <c r="G1034" t="s">
        <v>18</v>
      </c>
      <c r="H1034" t="s">
        <v>36</v>
      </c>
      <c r="I1034" t="s">
        <v>29</v>
      </c>
      <c r="J1034" t="s">
        <v>51</v>
      </c>
      <c r="K1034">
        <v>0</v>
      </c>
      <c r="L1034">
        <v>3</v>
      </c>
      <c r="M1034">
        <v>6.65</v>
      </c>
      <c r="N1034">
        <v>1</v>
      </c>
      <c r="O1034" t="str">
        <f>IF(financial_fraud_data[[#This Row],[Risk_Score]]&gt;8,"High",IF(financial_fraud_data[[#This Row],[Risk_Score]]&gt;5,"Med","Low"))</f>
        <v>Med</v>
      </c>
      <c r="P1034" t="str">
        <f>TEXT(financial_fraud_data[[#This Row],[Transaction_Date]],"MMM")</f>
        <v>Feb</v>
      </c>
      <c r="Q1034" t="str">
        <f>IF(financial_fraud_data[[#This Row],[Is_Fraud]]=1,"Yes","No")</f>
        <v>Yes</v>
      </c>
    </row>
    <row r="1035" spans="1:17" x14ac:dyDescent="0.2">
      <c r="A1035" t="s">
        <v>1508</v>
      </c>
      <c r="B1035" t="s">
        <v>1286</v>
      </c>
      <c r="C1035" s="1">
        <v>45335.041666666664</v>
      </c>
      <c r="D1035">
        <v>6072.32</v>
      </c>
      <c r="E1035" t="s">
        <v>34</v>
      </c>
      <c r="F1035" t="s">
        <v>50</v>
      </c>
      <c r="G1035" t="s">
        <v>56</v>
      </c>
      <c r="H1035" t="s">
        <v>19</v>
      </c>
      <c r="I1035" t="s">
        <v>24</v>
      </c>
      <c r="J1035" t="s">
        <v>20</v>
      </c>
      <c r="K1035">
        <v>1</v>
      </c>
      <c r="L1035">
        <v>3</v>
      </c>
      <c r="M1035">
        <v>8.11</v>
      </c>
      <c r="N1035">
        <v>1</v>
      </c>
      <c r="O1035" t="str">
        <f>IF(financial_fraud_data[[#This Row],[Risk_Score]]&gt;8,"High",IF(financial_fraud_data[[#This Row],[Risk_Score]]&gt;5,"Med","Low"))</f>
        <v>High</v>
      </c>
      <c r="P1035" t="str">
        <f>TEXT(financial_fraud_data[[#This Row],[Transaction_Date]],"MMM")</f>
        <v>Feb</v>
      </c>
      <c r="Q1035" t="str">
        <f>IF(financial_fraud_data[[#This Row],[Is_Fraud]]=1,"Yes","No")</f>
        <v>Yes</v>
      </c>
    </row>
    <row r="1036" spans="1:17" x14ac:dyDescent="0.2">
      <c r="A1036" t="s">
        <v>1509</v>
      </c>
      <c r="B1036" t="s">
        <v>411</v>
      </c>
      <c r="C1036" s="1">
        <v>45335.083333333336</v>
      </c>
      <c r="D1036">
        <v>3893.81</v>
      </c>
      <c r="E1036" t="s">
        <v>80</v>
      </c>
      <c r="F1036" t="s">
        <v>50</v>
      </c>
      <c r="G1036" t="s">
        <v>65</v>
      </c>
      <c r="H1036" t="s">
        <v>19</v>
      </c>
      <c r="I1036" t="s">
        <v>29</v>
      </c>
      <c r="J1036" t="s">
        <v>37</v>
      </c>
      <c r="K1036">
        <v>1</v>
      </c>
      <c r="L1036">
        <v>0</v>
      </c>
      <c r="M1036">
        <v>3.39</v>
      </c>
      <c r="N1036">
        <v>0</v>
      </c>
      <c r="O1036" t="str">
        <f>IF(financial_fraud_data[[#This Row],[Risk_Score]]&gt;8,"High",IF(financial_fraud_data[[#This Row],[Risk_Score]]&gt;5,"Med","Low"))</f>
        <v>Low</v>
      </c>
      <c r="P1036" t="str">
        <f>TEXT(financial_fraud_data[[#This Row],[Transaction_Date]],"MMM")</f>
        <v>Feb</v>
      </c>
      <c r="Q1036" t="str">
        <f>IF(financial_fraud_data[[#This Row],[Is_Fraud]]=1,"Yes","No")</f>
        <v>No</v>
      </c>
    </row>
    <row r="1037" spans="1:17" x14ac:dyDescent="0.2">
      <c r="A1037" t="s">
        <v>1510</v>
      </c>
      <c r="B1037" t="s">
        <v>1175</v>
      </c>
      <c r="C1037" s="1">
        <v>45335.125</v>
      </c>
      <c r="D1037">
        <v>34829.620000000003</v>
      </c>
      <c r="E1037" t="s">
        <v>42</v>
      </c>
      <c r="F1037" t="s">
        <v>17</v>
      </c>
      <c r="G1037" t="s">
        <v>35</v>
      </c>
      <c r="H1037" t="s">
        <v>19</v>
      </c>
      <c r="I1037" t="s">
        <v>23</v>
      </c>
      <c r="J1037" t="s">
        <v>20</v>
      </c>
      <c r="K1037">
        <v>0</v>
      </c>
      <c r="L1037">
        <v>1</v>
      </c>
      <c r="M1037">
        <v>5.98</v>
      </c>
      <c r="N1037">
        <v>1</v>
      </c>
      <c r="O1037" t="str">
        <f>IF(financial_fraud_data[[#This Row],[Risk_Score]]&gt;8,"High",IF(financial_fraud_data[[#This Row],[Risk_Score]]&gt;5,"Med","Low"))</f>
        <v>Med</v>
      </c>
      <c r="P1037" t="str">
        <f>TEXT(financial_fraud_data[[#This Row],[Transaction_Date]],"MMM")</f>
        <v>Feb</v>
      </c>
      <c r="Q1037" t="str">
        <f>IF(financial_fraud_data[[#This Row],[Is_Fraud]]=1,"Yes","No")</f>
        <v>Yes</v>
      </c>
    </row>
    <row r="1038" spans="1:17" x14ac:dyDescent="0.2">
      <c r="A1038" t="s">
        <v>1511</v>
      </c>
      <c r="B1038" t="s">
        <v>1150</v>
      </c>
      <c r="C1038" s="1">
        <v>45335.166666666664</v>
      </c>
      <c r="D1038">
        <v>17026.75</v>
      </c>
      <c r="E1038" t="s">
        <v>80</v>
      </c>
      <c r="F1038" t="s">
        <v>27</v>
      </c>
      <c r="G1038" t="s">
        <v>65</v>
      </c>
      <c r="H1038" t="s">
        <v>23</v>
      </c>
      <c r="I1038" t="s">
        <v>29</v>
      </c>
      <c r="J1038" t="s">
        <v>37</v>
      </c>
      <c r="K1038">
        <v>0</v>
      </c>
      <c r="L1038">
        <v>4</v>
      </c>
      <c r="M1038">
        <v>8.6999999999999993</v>
      </c>
      <c r="N1038">
        <v>1</v>
      </c>
      <c r="O1038" t="str">
        <f>IF(financial_fraud_data[[#This Row],[Risk_Score]]&gt;8,"High",IF(financial_fraud_data[[#This Row],[Risk_Score]]&gt;5,"Med","Low"))</f>
        <v>High</v>
      </c>
      <c r="P1038" t="str">
        <f>TEXT(financial_fraud_data[[#This Row],[Transaction_Date]],"MMM")</f>
        <v>Feb</v>
      </c>
      <c r="Q1038" t="str">
        <f>IF(financial_fraud_data[[#This Row],[Is_Fraud]]=1,"Yes","No")</f>
        <v>Yes</v>
      </c>
    </row>
    <row r="1039" spans="1:17" x14ac:dyDescent="0.2">
      <c r="A1039" t="s">
        <v>1512</v>
      </c>
      <c r="B1039" t="s">
        <v>98</v>
      </c>
      <c r="C1039" s="1">
        <v>45335.208333333336</v>
      </c>
      <c r="D1039">
        <v>36252.1</v>
      </c>
      <c r="E1039" t="s">
        <v>34</v>
      </c>
      <c r="F1039" t="s">
        <v>47</v>
      </c>
      <c r="G1039" t="s">
        <v>56</v>
      </c>
      <c r="H1039" t="s">
        <v>36</v>
      </c>
      <c r="I1039" t="s">
        <v>19</v>
      </c>
      <c r="J1039" t="s">
        <v>20</v>
      </c>
      <c r="K1039">
        <v>0</v>
      </c>
      <c r="L1039">
        <v>1</v>
      </c>
      <c r="M1039">
        <v>6.13</v>
      </c>
      <c r="N1039">
        <v>1</v>
      </c>
      <c r="O1039" t="str">
        <f>IF(financial_fraud_data[[#This Row],[Risk_Score]]&gt;8,"High",IF(financial_fraud_data[[#This Row],[Risk_Score]]&gt;5,"Med","Low"))</f>
        <v>Med</v>
      </c>
      <c r="P1039" t="str">
        <f>TEXT(financial_fraud_data[[#This Row],[Transaction_Date]],"MMM")</f>
        <v>Feb</v>
      </c>
      <c r="Q1039" t="str">
        <f>IF(financial_fraud_data[[#This Row],[Is_Fraud]]=1,"Yes","No")</f>
        <v>Yes</v>
      </c>
    </row>
    <row r="1040" spans="1:17" x14ac:dyDescent="0.2">
      <c r="A1040" t="s">
        <v>1513</v>
      </c>
      <c r="B1040" t="s">
        <v>219</v>
      </c>
      <c r="C1040" s="1">
        <v>45335.25</v>
      </c>
      <c r="D1040">
        <v>3314.55</v>
      </c>
      <c r="E1040" t="s">
        <v>16</v>
      </c>
      <c r="F1040" t="s">
        <v>50</v>
      </c>
      <c r="G1040" t="s">
        <v>56</v>
      </c>
      <c r="H1040" t="s">
        <v>36</v>
      </c>
      <c r="I1040" t="s">
        <v>36</v>
      </c>
      <c r="J1040" t="s">
        <v>20</v>
      </c>
      <c r="K1040">
        <v>0</v>
      </c>
      <c r="L1040">
        <v>1</v>
      </c>
      <c r="M1040">
        <v>1.83</v>
      </c>
      <c r="N1040">
        <v>0</v>
      </c>
      <c r="O1040" t="str">
        <f>IF(financial_fraud_data[[#This Row],[Risk_Score]]&gt;8,"High",IF(financial_fraud_data[[#This Row],[Risk_Score]]&gt;5,"Med","Low"))</f>
        <v>Low</v>
      </c>
      <c r="P1040" t="str">
        <f>TEXT(financial_fraud_data[[#This Row],[Transaction_Date]],"MMM")</f>
        <v>Feb</v>
      </c>
      <c r="Q1040" t="str">
        <f>IF(financial_fraud_data[[#This Row],[Is_Fraud]]=1,"Yes","No")</f>
        <v>No</v>
      </c>
    </row>
    <row r="1041" spans="1:17" x14ac:dyDescent="0.2">
      <c r="A1041" t="s">
        <v>1514</v>
      </c>
      <c r="B1041" t="s">
        <v>1073</v>
      </c>
      <c r="C1041" s="1">
        <v>45335.291666666664</v>
      </c>
      <c r="D1041">
        <v>15798.75</v>
      </c>
      <c r="E1041" t="s">
        <v>42</v>
      </c>
      <c r="F1041" t="s">
        <v>27</v>
      </c>
      <c r="G1041" t="s">
        <v>18</v>
      </c>
      <c r="H1041" t="s">
        <v>19</v>
      </c>
      <c r="I1041" t="s">
        <v>23</v>
      </c>
      <c r="J1041" t="s">
        <v>51</v>
      </c>
      <c r="K1041">
        <v>1</v>
      </c>
      <c r="L1041">
        <v>1</v>
      </c>
      <c r="M1041">
        <v>6.08</v>
      </c>
      <c r="N1041">
        <v>1</v>
      </c>
      <c r="O1041" t="str">
        <f>IF(financial_fraud_data[[#This Row],[Risk_Score]]&gt;8,"High",IF(financial_fraud_data[[#This Row],[Risk_Score]]&gt;5,"Med","Low"))</f>
        <v>Med</v>
      </c>
      <c r="P1041" t="str">
        <f>TEXT(financial_fraud_data[[#This Row],[Transaction_Date]],"MMM")</f>
        <v>Feb</v>
      </c>
      <c r="Q1041" t="str">
        <f>IF(financial_fraud_data[[#This Row],[Is_Fraud]]=1,"Yes","No")</f>
        <v>Yes</v>
      </c>
    </row>
    <row r="1042" spans="1:17" x14ac:dyDescent="0.2">
      <c r="A1042" t="s">
        <v>1515</v>
      </c>
      <c r="B1042" t="s">
        <v>421</v>
      </c>
      <c r="C1042" s="1">
        <v>45335.333333333336</v>
      </c>
      <c r="D1042">
        <v>26997.59</v>
      </c>
      <c r="E1042" t="s">
        <v>80</v>
      </c>
      <c r="F1042" t="s">
        <v>50</v>
      </c>
      <c r="G1042" t="s">
        <v>28</v>
      </c>
      <c r="H1042" t="s">
        <v>29</v>
      </c>
      <c r="I1042" t="s">
        <v>23</v>
      </c>
      <c r="J1042" t="s">
        <v>37</v>
      </c>
      <c r="K1042">
        <v>0</v>
      </c>
      <c r="L1042">
        <v>4</v>
      </c>
      <c r="M1042">
        <v>9.6999999999999993</v>
      </c>
      <c r="N1042">
        <v>1</v>
      </c>
      <c r="O1042" t="str">
        <f>IF(financial_fraud_data[[#This Row],[Risk_Score]]&gt;8,"High",IF(financial_fraud_data[[#This Row],[Risk_Score]]&gt;5,"Med","Low"))</f>
        <v>High</v>
      </c>
      <c r="P1042" t="str">
        <f>TEXT(financial_fraud_data[[#This Row],[Transaction_Date]],"MMM")</f>
        <v>Feb</v>
      </c>
      <c r="Q1042" t="str">
        <f>IF(financial_fraud_data[[#This Row],[Is_Fraud]]=1,"Yes","No")</f>
        <v>Yes</v>
      </c>
    </row>
    <row r="1043" spans="1:17" x14ac:dyDescent="0.2">
      <c r="A1043" t="s">
        <v>1516</v>
      </c>
      <c r="B1043" t="s">
        <v>354</v>
      </c>
      <c r="C1043" s="1">
        <v>45335.375</v>
      </c>
      <c r="D1043">
        <v>39546.620000000003</v>
      </c>
      <c r="E1043" t="s">
        <v>80</v>
      </c>
      <c r="F1043" t="s">
        <v>47</v>
      </c>
      <c r="G1043" t="s">
        <v>65</v>
      </c>
      <c r="H1043" t="s">
        <v>23</v>
      </c>
      <c r="I1043" t="s">
        <v>23</v>
      </c>
      <c r="J1043" t="s">
        <v>51</v>
      </c>
      <c r="K1043">
        <v>0</v>
      </c>
      <c r="L1043">
        <v>4</v>
      </c>
      <c r="M1043">
        <v>9.9499999999999993</v>
      </c>
      <c r="N1043">
        <v>1</v>
      </c>
      <c r="O1043" t="str">
        <f>IF(financial_fraud_data[[#This Row],[Risk_Score]]&gt;8,"High",IF(financial_fraud_data[[#This Row],[Risk_Score]]&gt;5,"Med","Low"))</f>
        <v>High</v>
      </c>
      <c r="P1043" t="str">
        <f>TEXT(financial_fraud_data[[#This Row],[Transaction_Date]],"MMM")</f>
        <v>Feb</v>
      </c>
      <c r="Q1043" t="str">
        <f>IF(financial_fraud_data[[#This Row],[Is_Fraud]]=1,"Yes","No")</f>
        <v>Yes</v>
      </c>
    </row>
    <row r="1044" spans="1:17" x14ac:dyDescent="0.2">
      <c r="A1044" t="s">
        <v>1517</v>
      </c>
      <c r="B1044" t="s">
        <v>986</v>
      </c>
      <c r="C1044" s="1">
        <v>45335.416666666664</v>
      </c>
      <c r="D1044">
        <v>15971.69</v>
      </c>
      <c r="E1044" t="s">
        <v>34</v>
      </c>
      <c r="F1044" t="s">
        <v>50</v>
      </c>
      <c r="G1044" t="s">
        <v>18</v>
      </c>
      <c r="H1044" t="s">
        <v>29</v>
      </c>
      <c r="I1044" t="s">
        <v>23</v>
      </c>
      <c r="J1044" t="s">
        <v>51</v>
      </c>
      <c r="K1044">
        <v>1</v>
      </c>
      <c r="L1044">
        <v>3</v>
      </c>
      <c r="M1044">
        <v>9.1</v>
      </c>
      <c r="N1044">
        <v>1</v>
      </c>
      <c r="O1044" t="str">
        <f>IF(financial_fraud_data[[#This Row],[Risk_Score]]&gt;8,"High",IF(financial_fraud_data[[#This Row],[Risk_Score]]&gt;5,"Med","Low"))</f>
        <v>High</v>
      </c>
      <c r="P1044" t="str">
        <f>TEXT(financial_fraud_data[[#This Row],[Transaction_Date]],"MMM")</f>
        <v>Feb</v>
      </c>
      <c r="Q1044" t="str">
        <f>IF(financial_fraud_data[[#This Row],[Is_Fraud]]=1,"Yes","No")</f>
        <v>Yes</v>
      </c>
    </row>
    <row r="1045" spans="1:17" x14ac:dyDescent="0.2">
      <c r="A1045" t="s">
        <v>1518</v>
      </c>
      <c r="B1045" t="s">
        <v>715</v>
      </c>
      <c r="C1045" s="1">
        <v>45335.458333333336</v>
      </c>
      <c r="D1045">
        <v>31313.27</v>
      </c>
      <c r="E1045" t="s">
        <v>42</v>
      </c>
      <c r="F1045" t="s">
        <v>47</v>
      </c>
      <c r="G1045" t="s">
        <v>35</v>
      </c>
      <c r="H1045" t="s">
        <v>24</v>
      </c>
      <c r="I1045" t="s">
        <v>29</v>
      </c>
      <c r="J1045" t="s">
        <v>37</v>
      </c>
      <c r="K1045">
        <v>0</v>
      </c>
      <c r="L1045">
        <v>4</v>
      </c>
      <c r="M1045">
        <v>10.130000000000001</v>
      </c>
      <c r="N1045">
        <v>1</v>
      </c>
      <c r="O1045" t="str">
        <f>IF(financial_fraud_data[[#This Row],[Risk_Score]]&gt;8,"High",IF(financial_fraud_data[[#This Row],[Risk_Score]]&gt;5,"Med","Low"))</f>
        <v>High</v>
      </c>
      <c r="P1045" t="str">
        <f>TEXT(financial_fraud_data[[#This Row],[Transaction_Date]],"MMM")</f>
        <v>Feb</v>
      </c>
      <c r="Q1045" t="str">
        <f>IF(financial_fraud_data[[#This Row],[Is_Fraud]]=1,"Yes","No")</f>
        <v>Yes</v>
      </c>
    </row>
    <row r="1046" spans="1:17" x14ac:dyDescent="0.2">
      <c r="A1046" t="s">
        <v>1519</v>
      </c>
      <c r="B1046" t="s">
        <v>720</v>
      </c>
      <c r="C1046" s="1">
        <v>45335.5</v>
      </c>
      <c r="D1046">
        <v>44304.59</v>
      </c>
      <c r="E1046" t="s">
        <v>16</v>
      </c>
      <c r="F1046" t="s">
        <v>47</v>
      </c>
      <c r="G1046" t="s">
        <v>28</v>
      </c>
      <c r="H1046" t="s">
        <v>36</v>
      </c>
      <c r="I1046" t="s">
        <v>19</v>
      </c>
      <c r="J1046" t="s">
        <v>20</v>
      </c>
      <c r="K1046">
        <v>0</v>
      </c>
      <c r="L1046">
        <v>3</v>
      </c>
      <c r="M1046">
        <v>9.93</v>
      </c>
      <c r="N1046">
        <v>1</v>
      </c>
      <c r="O1046" t="str">
        <f>IF(financial_fraud_data[[#This Row],[Risk_Score]]&gt;8,"High",IF(financial_fraud_data[[#This Row],[Risk_Score]]&gt;5,"Med","Low"))</f>
        <v>High</v>
      </c>
      <c r="P1046" t="str">
        <f>TEXT(financial_fraud_data[[#This Row],[Transaction_Date]],"MMM")</f>
        <v>Feb</v>
      </c>
      <c r="Q1046" t="str">
        <f>IF(financial_fraud_data[[#This Row],[Is_Fraud]]=1,"Yes","No")</f>
        <v>Yes</v>
      </c>
    </row>
    <row r="1047" spans="1:17" x14ac:dyDescent="0.2">
      <c r="A1047" t="s">
        <v>1520</v>
      </c>
      <c r="B1047" t="s">
        <v>1521</v>
      </c>
      <c r="C1047" s="1">
        <v>45335.541666666664</v>
      </c>
      <c r="D1047">
        <v>30812.37</v>
      </c>
      <c r="E1047" t="s">
        <v>80</v>
      </c>
      <c r="F1047" t="s">
        <v>50</v>
      </c>
      <c r="G1047" t="s">
        <v>18</v>
      </c>
      <c r="H1047" t="s">
        <v>36</v>
      </c>
      <c r="I1047" t="s">
        <v>24</v>
      </c>
      <c r="J1047" t="s">
        <v>37</v>
      </c>
      <c r="K1047">
        <v>1</v>
      </c>
      <c r="L1047">
        <v>0</v>
      </c>
      <c r="M1047">
        <v>6.08</v>
      </c>
      <c r="N1047">
        <v>1</v>
      </c>
      <c r="O1047" t="str">
        <f>IF(financial_fraud_data[[#This Row],[Risk_Score]]&gt;8,"High",IF(financial_fraud_data[[#This Row],[Risk_Score]]&gt;5,"Med","Low"))</f>
        <v>Med</v>
      </c>
      <c r="P1047" t="str">
        <f>TEXT(financial_fraud_data[[#This Row],[Transaction_Date]],"MMM")</f>
        <v>Feb</v>
      </c>
      <c r="Q1047" t="str">
        <f>IF(financial_fraud_data[[#This Row],[Is_Fraud]]=1,"Yes","No")</f>
        <v>Yes</v>
      </c>
    </row>
    <row r="1048" spans="1:17" x14ac:dyDescent="0.2">
      <c r="A1048" t="s">
        <v>1522</v>
      </c>
      <c r="B1048" t="s">
        <v>941</v>
      </c>
      <c r="C1048" s="1">
        <v>45335.583333333336</v>
      </c>
      <c r="D1048">
        <v>11686.33</v>
      </c>
      <c r="E1048" t="s">
        <v>42</v>
      </c>
      <c r="F1048" t="s">
        <v>50</v>
      </c>
      <c r="G1048" t="s">
        <v>65</v>
      </c>
      <c r="H1048" t="s">
        <v>29</v>
      </c>
      <c r="I1048" t="s">
        <v>19</v>
      </c>
      <c r="J1048" t="s">
        <v>37</v>
      </c>
      <c r="K1048">
        <v>0</v>
      </c>
      <c r="L1048">
        <v>3</v>
      </c>
      <c r="M1048">
        <v>6.67</v>
      </c>
      <c r="N1048">
        <v>1</v>
      </c>
      <c r="O1048" t="str">
        <f>IF(financial_fraud_data[[#This Row],[Risk_Score]]&gt;8,"High",IF(financial_fraud_data[[#This Row],[Risk_Score]]&gt;5,"Med","Low"))</f>
        <v>Med</v>
      </c>
      <c r="P1048" t="str">
        <f>TEXT(financial_fraud_data[[#This Row],[Transaction_Date]],"MMM")</f>
        <v>Feb</v>
      </c>
      <c r="Q1048" t="str">
        <f>IF(financial_fraud_data[[#This Row],[Is_Fraud]]=1,"Yes","No")</f>
        <v>Yes</v>
      </c>
    </row>
    <row r="1049" spans="1:17" x14ac:dyDescent="0.2">
      <c r="A1049" t="s">
        <v>1523</v>
      </c>
      <c r="B1049" t="s">
        <v>674</v>
      </c>
      <c r="C1049" s="1">
        <v>45335.625</v>
      </c>
      <c r="D1049">
        <v>1268.82</v>
      </c>
      <c r="E1049" t="s">
        <v>16</v>
      </c>
      <c r="F1049" t="s">
        <v>47</v>
      </c>
      <c r="G1049" t="s">
        <v>56</v>
      </c>
      <c r="H1049" t="s">
        <v>23</v>
      </c>
      <c r="I1049" t="s">
        <v>23</v>
      </c>
      <c r="J1049" t="s">
        <v>37</v>
      </c>
      <c r="K1049">
        <v>0</v>
      </c>
      <c r="L1049">
        <v>1</v>
      </c>
      <c r="M1049">
        <v>1.63</v>
      </c>
      <c r="N1049">
        <v>0</v>
      </c>
      <c r="O1049" t="str">
        <f>IF(financial_fraud_data[[#This Row],[Risk_Score]]&gt;8,"High",IF(financial_fraud_data[[#This Row],[Risk_Score]]&gt;5,"Med","Low"))</f>
        <v>Low</v>
      </c>
      <c r="P1049" t="str">
        <f>TEXT(financial_fraud_data[[#This Row],[Transaction_Date]],"MMM")</f>
        <v>Feb</v>
      </c>
      <c r="Q1049" t="str">
        <f>IF(financial_fraud_data[[#This Row],[Is_Fraud]]=1,"Yes","No")</f>
        <v>No</v>
      </c>
    </row>
    <row r="1050" spans="1:17" x14ac:dyDescent="0.2">
      <c r="A1050" t="s">
        <v>1524</v>
      </c>
      <c r="B1050" t="s">
        <v>1373</v>
      </c>
      <c r="C1050" s="1">
        <v>45335.666666666664</v>
      </c>
      <c r="D1050">
        <v>43511.44</v>
      </c>
      <c r="E1050" t="s">
        <v>80</v>
      </c>
      <c r="F1050" t="s">
        <v>27</v>
      </c>
      <c r="G1050" t="s">
        <v>35</v>
      </c>
      <c r="H1050" t="s">
        <v>36</v>
      </c>
      <c r="I1050" t="s">
        <v>29</v>
      </c>
      <c r="J1050" t="s">
        <v>51</v>
      </c>
      <c r="K1050">
        <v>0</v>
      </c>
      <c r="L1050">
        <v>2</v>
      </c>
      <c r="M1050">
        <v>8.35</v>
      </c>
      <c r="N1050">
        <v>1</v>
      </c>
      <c r="O1050" t="str">
        <f>IF(financial_fraud_data[[#This Row],[Risk_Score]]&gt;8,"High",IF(financial_fraud_data[[#This Row],[Risk_Score]]&gt;5,"Med","Low"))</f>
        <v>High</v>
      </c>
      <c r="P1050" t="str">
        <f>TEXT(financial_fraud_data[[#This Row],[Transaction_Date]],"MMM")</f>
        <v>Feb</v>
      </c>
      <c r="Q1050" t="str">
        <f>IF(financial_fraud_data[[#This Row],[Is_Fraud]]=1,"Yes","No")</f>
        <v>Yes</v>
      </c>
    </row>
    <row r="1051" spans="1:17" x14ac:dyDescent="0.2">
      <c r="A1051" t="s">
        <v>1525</v>
      </c>
      <c r="B1051" t="s">
        <v>1189</v>
      </c>
      <c r="C1051" s="1">
        <v>45335.708333333336</v>
      </c>
      <c r="D1051">
        <v>1112.4100000000001</v>
      </c>
      <c r="E1051" t="s">
        <v>80</v>
      </c>
      <c r="F1051" t="s">
        <v>17</v>
      </c>
      <c r="G1051" t="s">
        <v>65</v>
      </c>
      <c r="H1051" t="s">
        <v>29</v>
      </c>
      <c r="I1051" t="s">
        <v>29</v>
      </c>
      <c r="J1051" t="s">
        <v>37</v>
      </c>
      <c r="K1051">
        <v>0</v>
      </c>
      <c r="L1051">
        <v>2</v>
      </c>
      <c r="M1051">
        <v>3.11</v>
      </c>
      <c r="N1051">
        <v>0</v>
      </c>
      <c r="O1051" t="str">
        <f>IF(financial_fraud_data[[#This Row],[Risk_Score]]&gt;8,"High",IF(financial_fraud_data[[#This Row],[Risk_Score]]&gt;5,"Med","Low"))</f>
        <v>Low</v>
      </c>
      <c r="P1051" t="str">
        <f>TEXT(financial_fraud_data[[#This Row],[Transaction_Date]],"MMM")</f>
        <v>Feb</v>
      </c>
      <c r="Q1051" t="str">
        <f>IF(financial_fraud_data[[#This Row],[Is_Fraud]]=1,"Yes","No")</f>
        <v>No</v>
      </c>
    </row>
    <row r="1052" spans="1:17" x14ac:dyDescent="0.2">
      <c r="A1052" t="s">
        <v>1526</v>
      </c>
      <c r="B1052" t="s">
        <v>1107</v>
      </c>
      <c r="C1052" s="1">
        <v>45335.75</v>
      </c>
      <c r="D1052">
        <v>43741.35</v>
      </c>
      <c r="E1052" t="s">
        <v>16</v>
      </c>
      <c r="F1052" t="s">
        <v>47</v>
      </c>
      <c r="G1052" t="s">
        <v>28</v>
      </c>
      <c r="H1052" t="s">
        <v>23</v>
      </c>
      <c r="I1052" t="s">
        <v>23</v>
      </c>
      <c r="J1052" t="s">
        <v>37</v>
      </c>
      <c r="K1052">
        <v>0</v>
      </c>
      <c r="L1052">
        <v>1</v>
      </c>
      <c r="M1052">
        <v>5.87</v>
      </c>
      <c r="N1052">
        <v>1</v>
      </c>
      <c r="O1052" t="str">
        <f>IF(financial_fraud_data[[#This Row],[Risk_Score]]&gt;8,"High",IF(financial_fraud_data[[#This Row],[Risk_Score]]&gt;5,"Med","Low"))</f>
        <v>Med</v>
      </c>
      <c r="P1052" t="str">
        <f>TEXT(financial_fraud_data[[#This Row],[Transaction_Date]],"MMM")</f>
        <v>Feb</v>
      </c>
      <c r="Q1052" t="str">
        <f>IF(financial_fraud_data[[#This Row],[Is_Fraud]]=1,"Yes","No")</f>
        <v>Yes</v>
      </c>
    </row>
    <row r="1053" spans="1:17" x14ac:dyDescent="0.2">
      <c r="A1053" t="s">
        <v>1527</v>
      </c>
      <c r="B1053" t="s">
        <v>977</v>
      </c>
      <c r="C1053" s="1">
        <v>45335.791666666664</v>
      </c>
      <c r="D1053">
        <v>26470.41</v>
      </c>
      <c r="E1053" t="s">
        <v>16</v>
      </c>
      <c r="F1053" t="s">
        <v>50</v>
      </c>
      <c r="G1053" t="s">
        <v>28</v>
      </c>
      <c r="H1053" t="s">
        <v>29</v>
      </c>
      <c r="I1053" t="s">
        <v>29</v>
      </c>
      <c r="J1053" t="s">
        <v>37</v>
      </c>
      <c r="K1053">
        <v>0</v>
      </c>
      <c r="L1053">
        <v>3</v>
      </c>
      <c r="M1053">
        <v>7.15</v>
      </c>
      <c r="N1053">
        <v>1</v>
      </c>
      <c r="O1053" t="str">
        <f>IF(financial_fraud_data[[#This Row],[Risk_Score]]&gt;8,"High",IF(financial_fraud_data[[#This Row],[Risk_Score]]&gt;5,"Med","Low"))</f>
        <v>Med</v>
      </c>
      <c r="P1053" t="str">
        <f>TEXT(financial_fraud_data[[#This Row],[Transaction_Date]],"MMM")</f>
        <v>Feb</v>
      </c>
      <c r="Q1053" t="str">
        <f>IF(financial_fraud_data[[#This Row],[Is_Fraud]]=1,"Yes","No")</f>
        <v>Yes</v>
      </c>
    </row>
    <row r="1054" spans="1:17" x14ac:dyDescent="0.2">
      <c r="A1054" t="s">
        <v>1528</v>
      </c>
      <c r="B1054" t="s">
        <v>535</v>
      </c>
      <c r="C1054" s="1">
        <v>45335.833333333336</v>
      </c>
      <c r="D1054">
        <v>46956.43</v>
      </c>
      <c r="E1054" t="s">
        <v>34</v>
      </c>
      <c r="F1054" t="s">
        <v>50</v>
      </c>
      <c r="G1054" t="s">
        <v>56</v>
      </c>
      <c r="H1054" t="s">
        <v>23</v>
      </c>
      <c r="I1054" t="s">
        <v>23</v>
      </c>
      <c r="J1054" t="s">
        <v>20</v>
      </c>
      <c r="K1054">
        <v>1</v>
      </c>
      <c r="L1054">
        <v>1</v>
      </c>
      <c r="M1054">
        <v>8.1999999999999993</v>
      </c>
      <c r="N1054">
        <v>1</v>
      </c>
      <c r="O1054" t="str">
        <f>IF(financial_fraud_data[[#This Row],[Risk_Score]]&gt;8,"High",IF(financial_fraud_data[[#This Row],[Risk_Score]]&gt;5,"Med","Low"))</f>
        <v>High</v>
      </c>
      <c r="P1054" t="str">
        <f>TEXT(financial_fraud_data[[#This Row],[Transaction_Date]],"MMM")</f>
        <v>Feb</v>
      </c>
      <c r="Q1054" t="str">
        <f>IF(financial_fraud_data[[#This Row],[Is_Fraud]]=1,"Yes","No")</f>
        <v>Yes</v>
      </c>
    </row>
    <row r="1055" spans="1:17" x14ac:dyDescent="0.2">
      <c r="A1055" t="s">
        <v>1529</v>
      </c>
      <c r="B1055" t="s">
        <v>1530</v>
      </c>
      <c r="C1055" s="1">
        <v>45335.875</v>
      </c>
      <c r="D1055">
        <v>39949.22</v>
      </c>
      <c r="E1055" t="s">
        <v>42</v>
      </c>
      <c r="F1055" t="s">
        <v>27</v>
      </c>
      <c r="G1055" t="s">
        <v>56</v>
      </c>
      <c r="H1055" t="s">
        <v>19</v>
      </c>
      <c r="I1055" t="s">
        <v>19</v>
      </c>
      <c r="J1055" t="s">
        <v>20</v>
      </c>
      <c r="K1055">
        <v>0</v>
      </c>
      <c r="L1055">
        <v>4</v>
      </c>
      <c r="M1055">
        <v>9.99</v>
      </c>
      <c r="N1055">
        <v>1</v>
      </c>
      <c r="O1055" t="str">
        <f>IF(financial_fraud_data[[#This Row],[Risk_Score]]&gt;8,"High",IF(financial_fraud_data[[#This Row],[Risk_Score]]&gt;5,"Med","Low"))</f>
        <v>High</v>
      </c>
      <c r="P1055" t="str">
        <f>TEXT(financial_fraud_data[[#This Row],[Transaction_Date]],"MMM")</f>
        <v>Feb</v>
      </c>
      <c r="Q1055" t="str">
        <f>IF(financial_fraud_data[[#This Row],[Is_Fraud]]=1,"Yes","No")</f>
        <v>Yes</v>
      </c>
    </row>
    <row r="1056" spans="1:17" x14ac:dyDescent="0.2">
      <c r="A1056" t="s">
        <v>1531</v>
      </c>
      <c r="B1056" t="s">
        <v>911</v>
      </c>
      <c r="C1056" s="1">
        <v>45335.916666666664</v>
      </c>
      <c r="D1056">
        <v>49896.81</v>
      </c>
      <c r="E1056" t="s">
        <v>42</v>
      </c>
      <c r="F1056" t="s">
        <v>17</v>
      </c>
      <c r="G1056" t="s">
        <v>35</v>
      </c>
      <c r="H1056" t="s">
        <v>23</v>
      </c>
      <c r="I1056" t="s">
        <v>36</v>
      </c>
      <c r="J1056" t="s">
        <v>20</v>
      </c>
      <c r="K1056">
        <v>0</v>
      </c>
      <c r="L1056">
        <v>3</v>
      </c>
      <c r="M1056">
        <v>10.49</v>
      </c>
      <c r="N1056">
        <v>1</v>
      </c>
      <c r="O1056" t="str">
        <f>IF(financial_fraud_data[[#This Row],[Risk_Score]]&gt;8,"High",IF(financial_fraud_data[[#This Row],[Risk_Score]]&gt;5,"Med","Low"))</f>
        <v>High</v>
      </c>
      <c r="P1056" t="str">
        <f>TEXT(financial_fraud_data[[#This Row],[Transaction_Date]],"MMM")</f>
        <v>Feb</v>
      </c>
      <c r="Q1056" t="str">
        <f>IF(financial_fraud_data[[#This Row],[Is_Fraud]]=1,"Yes","No")</f>
        <v>Yes</v>
      </c>
    </row>
    <row r="1057" spans="1:17" x14ac:dyDescent="0.2">
      <c r="A1057" t="s">
        <v>1532</v>
      </c>
      <c r="B1057" t="s">
        <v>1237</v>
      </c>
      <c r="C1057" s="1">
        <v>45335.958333333336</v>
      </c>
      <c r="D1057">
        <v>17568.060000000001</v>
      </c>
      <c r="E1057" t="s">
        <v>34</v>
      </c>
      <c r="F1057" t="s">
        <v>47</v>
      </c>
      <c r="G1057" t="s">
        <v>35</v>
      </c>
      <c r="H1057" t="s">
        <v>24</v>
      </c>
      <c r="I1057" t="s">
        <v>29</v>
      </c>
      <c r="J1057" t="s">
        <v>20</v>
      </c>
      <c r="K1057">
        <v>0</v>
      </c>
      <c r="L1057">
        <v>1</v>
      </c>
      <c r="M1057">
        <v>4.26</v>
      </c>
      <c r="N1057">
        <v>0</v>
      </c>
      <c r="O1057" t="str">
        <f>IF(financial_fraud_data[[#This Row],[Risk_Score]]&gt;8,"High",IF(financial_fraud_data[[#This Row],[Risk_Score]]&gt;5,"Med","Low"))</f>
        <v>Low</v>
      </c>
      <c r="P1057" t="str">
        <f>TEXT(financial_fraud_data[[#This Row],[Transaction_Date]],"MMM")</f>
        <v>Feb</v>
      </c>
      <c r="Q1057" t="str">
        <f>IF(financial_fraud_data[[#This Row],[Is_Fraud]]=1,"Yes","No")</f>
        <v>No</v>
      </c>
    </row>
    <row r="1058" spans="1:17" x14ac:dyDescent="0.2">
      <c r="A1058" t="s">
        <v>1533</v>
      </c>
      <c r="B1058" t="s">
        <v>491</v>
      </c>
      <c r="C1058" s="1">
        <v>45336</v>
      </c>
      <c r="D1058">
        <v>38371.06</v>
      </c>
      <c r="E1058" t="s">
        <v>80</v>
      </c>
      <c r="F1058" t="s">
        <v>47</v>
      </c>
      <c r="G1058" t="s">
        <v>56</v>
      </c>
      <c r="H1058" t="s">
        <v>19</v>
      </c>
      <c r="I1058" t="s">
        <v>23</v>
      </c>
      <c r="J1058" t="s">
        <v>51</v>
      </c>
      <c r="K1058">
        <v>0</v>
      </c>
      <c r="L1058">
        <v>4</v>
      </c>
      <c r="M1058">
        <v>10.84</v>
      </c>
      <c r="N1058">
        <v>1</v>
      </c>
      <c r="O1058" t="str">
        <f>IF(financial_fraud_data[[#This Row],[Risk_Score]]&gt;8,"High",IF(financial_fraud_data[[#This Row],[Risk_Score]]&gt;5,"Med","Low"))</f>
        <v>High</v>
      </c>
      <c r="P1058" t="str">
        <f>TEXT(financial_fraud_data[[#This Row],[Transaction_Date]],"MMM")</f>
        <v>Feb</v>
      </c>
      <c r="Q1058" t="str">
        <f>IF(financial_fraud_data[[#This Row],[Is_Fraud]]=1,"Yes","No")</f>
        <v>Yes</v>
      </c>
    </row>
    <row r="1059" spans="1:17" x14ac:dyDescent="0.2">
      <c r="A1059" t="s">
        <v>1534</v>
      </c>
      <c r="B1059" t="s">
        <v>231</v>
      </c>
      <c r="C1059" s="1">
        <v>45336.041666666664</v>
      </c>
      <c r="D1059">
        <v>20126.45</v>
      </c>
      <c r="E1059" t="s">
        <v>16</v>
      </c>
      <c r="F1059" t="s">
        <v>17</v>
      </c>
      <c r="G1059" t="s">
        <v>56</v>
      </c>
      <c r="H1059" t="s">
        <v>29</v>
      </c>
      <c r="I1059" t="s">
        <v>23</v>
      </c>
      <c r="J1059" t="s">
        <v>51</v>
      </c>
      <c r="K1059">
        <v>0</v>
      </c>
      <c r="L1059">
        <v>4</v>
      </c>
      <c r="M1059">
        <v>9.01</v>
      </c>
      <c r="N1059">
        <v>1</v>
      </c>
      <c r="O1059" t="str">
        <f>IF(financial_fraud_data[[#This Row],[Risk_Score]]&gt;8,"High",IF(financial_fraud_data[[#This Row],[Risk_Score]]&gt;5,"Med","Low"))</f>
        <v>High</v>
      </c>
      <c r="P1059" t="str">
        <f>TEXT(financial_fraud_data[[#This Row],[Transaction_Date]],"MMM")</f>
        <v>Feb</v>
      </c>
      <c r="Q1059" t="str">
        <f>IF(financial_fraud_data[[#This Row],[Is_Fraud]]=1,"Yes","No")</f>
        <v>Yes</v>
      </c>
    </row>
    <row r="1060" spans="1:17" x14ac:dyDescent="0.2">
      <c r="A1060" t="s">
        <v>1535</v>
      </c>
      <c r="B1060" t="s">
        <v>62</v>
      </c>
      <c r="C1060" s="1">
        <v>45336.083333333336</v>
      </c>
      <c r="D1060">
        <v>24019.79</v>
      </c>
      <c r="E1060" t="s">
        <v>16</v>
      </c>
      <c r="F1060" t="s">
        <v>47</v>
      </c>
      <c r="G1060" t="s">
        <v>28</v>
      </c>
      <c r="H1060" t="s">
        <v>19</v>
      </c>
      <c r="I1060" t="s">
        <v>29</v>
      </c>
      <c r="J1060" t="s">
        <v>37</v>
      </c>
      <c r="K1060">
        <v>0</v>
      </c>
      <c r="L1060">
        <v>3</v>
      </c>
      <c r="M1060">
        <v>7.9</v>
      </c>
      <c r="N1060">
        <v>1</v>
      </c>
      <c r="O1060" t="str">
        <f>IF(financial_fraud_data[[#This Row],[Risk_Score]]&gt;8,"High",IF(financial_fraud_data[[#This Row],[Risk_Score]]&gt;5,"Med","Low"))</f>
        <v>Med</v>
      </c>
      <c r="P1060" t="str">
        <f>TEXT(financial_fraud_data[[#This Row],[Transaction_Date]],"MMM")</f>
        <v>Feb</v>
      </c>
      <c r="Q1060" t="str">
        <f>IF(financial_fraud_data[[#This Row],[Is_Fraud]]=1,"Yes","No")</f>
        <v>Yes</v>
      </c>
    </row>
    <row r="1061" spans="1:17" x14ac:dyDescent="0.2">
      <c r="A1061" t="s">
        <v>1536</v>
      </c>
      <c r="B1061" t="s">
        <v>315</v>
      </c>
      <c r="C1061" s="1">
        <v>45336.125</v>
      </c>
      <c r="D1061">
        <v>31393.9</v>
      </c>
      <c r="E1061" t="s">
        <v>16</v>
      </c>
      <c r="F1061" t="s">
        <v>17</v>
      </c>
      <c r="G1061" t="s">
        <v>56</v>
      </c>
      <c r="H1061" t="s">
        <v>19</v>
      </c>
      <c r="I1061" t="s">
        <v>24</v>
      </c>
      <c r="J1061" t="s">
        <v>51</v>
      </c>
      <c r="K1061">
        <v>0</v>
      </c>
      <c r="L1061">
        <v>0</v>
      </c>
      <c r="M1061">
        <v>4.1399999999999997</v>
      </c>
      <c r="N1061">
        <v>0</v>
      </c>
      <c r="O1061" t="str">
        <f>IF(financial_fraud_data[[#This Row],[Risk_Score]]&gt;8,"High",IF(financial_fraud_data[[#This Row],[Risk_Score]]&gt;5,"Med","Low"))</f>
        <v>Low</v>
      </c>
      <c r="P1061" t="str">
        <f>TEXT(financial_fraud_data[[#This Row],[Transaction_Date]],"MMM")</f>
        <v>Feb</v>
      </c>
      <c r="Q1061" t="str">
        <f>IF(financial_fraud_data[[#This Row],[Is_Fraud]]=1,"Yes","No")</f>
        <v>No</v>
      </c>
    </row>
    <row r="1062" spans="1:17" x14ac:dyDescent="0.2">
      <c r="A1062" t="s">
        <v>1537</v>
      </c>
      <c r="B1062" t="s">
        <v>349</v>
      </c>
      <c r="C1062" s="1">
        <v>45336.166666666664</v>
      </c>
      <c r="D1062">
        <v>43690.17</v>
      </c>
      <c r="E1062" t="s">
        <v>80</v>
      </c>
      <c r="F1062" t="s">
        <v>50</v>
      </c>
      <c r="G1062" t="s">
        <v>18</v>
      </c>
      <c r="H1062" t="s">
        <v>29</v>
      </c>
      <c r="I1062" t="s">
        <v>23</v>
      </c>
      <c r="J1062" t="s">
        <v>20</v>
      </c>
      <c r="K1062">
        <v>0</v>
      </c>
      <c r="L1062">
        <v>0</v>
      </c>
      <c r="M1062">
        <v>5.37</v>
      </c>
      <c r="N1062">
        <v>1</v>
      </c>
      <c r="O1062" t="str">
        <f>IF(financial_fraud_data[[#This Row],[Risk_Score]]&gt;8,"High",IF(financial_fraud_data[[#This Row],[Risk_Score]]&gt;5,"Med","Low"))</f>
        <v>Med</v>
      </c>
      <c r="P1062" t="str">
        <f>TEXT(financial_fraud_data[[#This Row],[Transaction_Date]],"MMM")</f>
        <v>Feb</v>
      </c>
      <c r="Q1062" t="str">
        <f>IF(financial_fraud_data[[#This Row],[Is_Fraud]]=1,"Yes","No")</f>
        <v>Yes</v>
      </c>
    </row>
    <row r="1063" spans="1:17" x14ac:dyDescent="0.2">
      <c r="A1063" t="s">
        <v>1538</v>
      </c>
      <c r="B1063" t="s">
        <v>751</v>
      </c>
      <c r="C1063" s="1">
        <v>45336.208333333336</v>
      </c>
      <c r="D1063">
        <v>49204.97</v>
      </c>
      <c r="E1063" t="s">
        <v>16</v>
      </c>
      <c r="F1063" t="s">
        <v>17</v>
      </c>
      <c r="G1063" t="s">
        <v>65</v>
      </c>
      <c r="H1063" t="s">
        <v>29</v>
      </c>
      <c r="I1063" t="s">
        <v>29</v>
      </c>
      <c r="J1063" t="s">
        <v>37</v>
      </c>
      <c r="K1063">
        <v>1</v>
      </c>
      <c r="L1063">
        <v>4</v>
      </c>
      <c r="M1063">
        <v>12.92</v>
      </c>
      <c r="N1063">
        <v>1</v>
      </c>
      <c r="O1063" t="str">
        <f>IF(financial_fraud_data[[#This Row],[Risk_Score]]&gt;8,"High",IF(financial_fraud_data[[#This Row],[Risk_Score]]&gt;5,"Med","Low"))</f>
        <v>High</v>
      </c>
      <c r="P1063" t="str">
        <f>TEXT(financial_fraud_data[[#This Row],[Transaction_Date]],"MMM")</f>
        <v>Feb</v>
      </c>
      <c r="Q1063" t="str">
        <f>IF(financial_fraud_data[[#This Row],[Is_Fraud]]=1,"Yes","No")</f>
        <v>Yes</v>
      </c>
    </row>
    <row r="1064" spans="1:17" x14ac:dyDescent="0.2">
      <c r="A1064" t="s">
        <v>1539</v>
      </c>
      <c r="B1064" t="s">
        <v>1101</v>
      </c>
      <c r="C1064" s="1">
        <v>45336.25</v>
      </c>
      <c r="D1064">
        <v>38425.26</v>
      </c>
      <c r="E1064" t="s">
        <v>16</v>
      </c>
      <c r="F1064" t="s">
        <v>47</v>
      </c>
      <c r="G1064" t="s">
        <v>56</v>
      </c>
      <c r="H1064" t="s">
        <v>24</v>
      </c>
      <c r="I1064" t="s">
        <v>23</v>
      </c>
      <c r="J1064" t="s">
        <v>37</v>
      </c>
      <c r="K1064">
        <v>0</v>
      </c>
      <c r="L1064">
        <v>0</v>
      </c>
      <c r="M1064">
        <v>4.84</v>
      </c>
      <c r="N1064">
        <v>0</v>
      </c>
      <c r="O1064" t="str">
        <f>IF(financial_fraud_data[[#This Row],[Risk_Score]]&gt;8,"High",IF(financial_fraud_data[[#This Row],[Risk_Score]]&gt;5,"Med","Low"))</f>
        <v>Low</v>
      </c>
      <c r="P1064" t="str">
        <f>TEXT(financial_fraud_data[[#This Row],[Transaction_Date]],"MMM")</f>
        <v>Feb</v>
      </c>
      <c r="Q1064" t="str">
        <f>IF(financial_fraud_data[[#This Row],[Is_Fraud]]=1,"Yes","No")</f>
        <v>No</v>
      </c>
    </row>
    <row r="1065" spans="1:17" x14ac:dyDescent="0.2">
      <c r="A1065" t="s">
        <v>1540</v>
      </c>
      <c r="B1065" t="s">
        <v>1521</v>
      </c>
      <c r="C1065" s="1">
        <v>45336.291666666664</v>
      </c>
      <c r="D1065">
        <v>20917.45</v>
      </c>
      <c r="E1065" t="s">
        <v>34</v>
      </c>
      <c r="F1065" t="s">
        <v>17</v>
      </c>
      <c r="G1065" t="s">
        <v>35</v>
      </c>
      <c r="H1065" t="s">
        <v>29</v>
      </c>
      <c r="I1065" t="s">
        <v>24</v>
      </c>
      <c r="J1065" t="s">
        <v>20</v>
      </c>
      <c r="K1065">
        <v>0</v>
      </c>
      <c r="L1065">
        <v>4</v>
      </c>
      <c r="M1065">
        <v>9.09</v>
      </c>
      <c r="N1065">
        <v>1</v>
      </c>
      <c r="O1065" t="str">
        <f>IF(financial_fraud_data[[#This Row],[Risk_Score]]&gt;8,"High",IF(financial_fraud_data[[#This Row],[Risk_Score]]&gt;5,"Med","Low"))</f>
        <v>High</v>
      </c>
      <c r="P1065" t="str">
        <f>TEXT(financial_fraud_data[[#This Row],[Transaction_Date]],"MMM")</f>
        <v>Feb</v>
      </c>
      <c r="Q1065" t="str">
        <f>IF(financial_fraud_data[[#This Row],[Is_Fraud]]=1,"Yes","No")</f>
        <v>Yes</v>
      </c>
    </row>
    <row r="1066" spans="1:17" x14ac:dyDescent="0.2">
      <c r="A1066" t="s">
        <v>1541</v>
      </c>
      <c r="B1066" t="s">
        <v>402</v>
      </c>
      <c r="C1066" s="1">
        <v>45336.333333333336</v>
      </c>
      <c r="D1066">
        <v>21096.78</v>
      </c>
      <c r="E1066" t="s">
        <v>80</v>
      </c>
      <c r="F1066" t="s">
        <v>27</v>
      </c>
      <c r="G1066" t="s">
        <v>18</v>
      </c>
      <c r="H1066" t="s">
        <v>36</v>
      </c>
      <c r="I1066" t="s">
        <v>36</v>
      </c>
      <c r="J1066" t="s">
        <v>20</v>
      </c>
      <c r="K1066">
        <v>0</v>
      </c>
      <c r="L1066">
        <v>0</v>
      </c>
      <c r="M1066">
        <v>2.11</v>
      </c>
      <c r="N1066">
        <v>0</v>
      </c>
      <c r="O1066" t="str">
        <f>IF(financial_fraud_data[[#This Row],[Risk_Score]]&gt;8,"High",IF(financial_fraud_data[[#This Row],[Risk_Score]]&gt;5,"Med","Low"))</f>
        <v>Low</v>
      </c>
      <c r="P1066" t="str">
        <f>TEXT(financial_fraud_data[[#This Row],[Transaction_Date]],"MMM")</f>
        <v>Feb</v>
      </c>
      <c r="Q1066" t="str">
        <f>IF(financial_fraud_data[[#This Row],[Is_Fraud]]=1,"Yes","No")</f>
        <v>No</v>
      </c>
    </row>
    <row r="1067" spans="1:17" x14ac:dyDescent="0.2">
      <c r="A1067" t="s">
        <v>1542</v>
      </c>
      <c r="B1067" t="s">
        <v>560</v>
      </c>
      <c r="C1067" s="1">
        <v>45336.375</v>
      </c>
      <c r="D1067">
        <v>36892.239999999998</v>
      </c>
      <c r="E1067" t="s">
        <v>42</v>
      </c>
      <c r="F1067" t="s">
        <v>50</v>
      </c>
      <c r="G1067" t="s">
        <v>35</v>
      </c>
      <c r="H1067" t="s">
        <v>36</v>
      </c>
      <c r="I1067" t="s">
        <v>24</v>
      </c>
      <c r="J1067" t="s">
        <v>20</v>
      </c>
      <c r="K1067">
        <v>1</v>
      </c>
      <c r="L1067">
        <v>4</v>
      </c>
      <c r="M1067">
        <v>12.69</v>
      </c>
      <c r="N1067">
        <v>1</v>
      </c>
      <c r="O1067" t="str">
        <f>IF(financial_fraud_data[[#This Row],[Risk_Score]]&gt;8,"High",IF(financial_fraud_data[[#This Row],[Risk_Score]]&gt;5,"Med","Low"))</f>
        <v>High</v>
      </c>
      <c r="P1067" t="str">
        <f>TEXT(financial_fraud_data[[#This Row],[Transaction_Date]],"MMM")</f>
        <v>Feb</v>
      </c>
      <c r="Q1067" t="str">
        <f>IF(financial_fraud_data[[#This Row],[Is_Fraud]]=1,"Yes","No")</f>
        <v>Yes</v>
      </c>
    </row>
    <row r="1068" spans="1:17" x14ac:dyDescent="0.2">
      <c r="A1068" t="s">
        <v>1543</v>
      </c>
      <c r="B1068" t="s">
        <v>1544</v>
      </c>
      <c r="C1068" s="1">
        <v>45336.416666666664</v>
      </c>
      <c r="D1068">
        <v>11976.92</v>
      </c>
      <c r="E1068" t="s">
        <v>34</v>
      </c>
      <c r="F1068" t="s">
        <v>50</v>
      </c>
      <c r="G1068" t="s">
        <v>18</v>
      </c>
      <c r="H1068" t="s">
        <v>24</v>
      </c>
      <c r="I1068" t="s">
        <v>19</v>
      </c>
      <c r="J1068" t="s">
        <v>51</v>
      </c>
      <c r="K1068">
        <v>0</v>
      </c>
      <c r="L1068">
        <v>4</v>
      </c>
      <c r="M1068">
        <v>8.1999999999999993</v>
      </c>
      <c r="N1068">
        <v>1</v>
      </c>
      <c r="O1068" t="str">
        <f>IF(financial_fraud_data[[#This Row],[Risk_Score]]&gt;8,"High",IF(financial_fraud_data[[#This Row],[Risk_Score]]&gt;5,"Med","Low"))</f>
        <v>High</v>
      </c>
      <c r="P1068" t="str">
        <f>TEXT(financial_fraud_data[[#This Row],[Transaction_Date]],"MMM")</f>
        <v>Feb</v>
      </c>
      <c r="Q1068" t="str">
        <f>IF(financial_fraud_data[[#This Row],[Is_Fraud]]=1,"Yes","No")</f>
        <v>Yes</v>
      </c>
    </row>
    <row r="1069" spans="1:17" x14ac:dyDescent="0.2">
      <c r="A1069" t="s">
        <v>1545</v>
      </c>
      <c r="B1069" t="s">
        <v>94</v>
      </c>
      <c r="C1069" s="1">
        <v>45336.458333333336</v>
      </c>
      <c r="D1069">
        <v>5568.18</v>
      </c>
      <c r="E1069" t="s">
        <v>34</v>
      </c>
      <c r="F1069" t="s">
        <v>17</v>
      </c>
      <c r="G1069" t="s">
        <v>56</v>
      </c>
      <c r="H1069" t="s">
        <v>23</v>
      </c>
      <c r="I1069" t="s">
        <v>29</v>
      </c>
      <c r="J1069" t="s">
        <v>37</v>
      </c>
      <c r="K1069">
        <v>0</v>
      </c>
      <c r="L1069">
        <v>4</v>
      </c>
      <c r="M1069">
        <v>7.56</v>
      </c>
      <c r="N1069">
        <v>1</v>
      </c>
      <c r="O1069" t="str">
        <f>IF(financial_fraud_data[[#This Row],[Risk_Score]]&gt;8,"High",IF(financial_fraud_data[[#This Row],[Risk_Score]]&gt;5,"Med","Low"))</f>
        <v>Med</v>
      </c>
      <c r="P1069" t="str">
        <f>TEXT(financial_fraud_data[[#This Row],[Transaction_Date]],"MMM")</f>
        <v>Feb</v>
      </c>
      <c r="Q1069" t="str">
        <f>IF(financial_fraud_data[[#This Row],[Is_Fraud]]=1,"Yes","No")</f>
        <v>Yes</v>
      </c>
    </row>
    <row r="1070" spans="1:17" x14ac:dyDescent="0.2">
      <c r="A1070" t="s">
        <v>1546</v>
      </c>
      <c r="B1070" t="s">
        <v>62</v>
      </c>
      <c r="C1070" s="1">
        <v>45336.5</v>
      </c>
      <c r="D1070">
        <v>17763.38</v>
      </c>
      <c r="E1070" t="s">
        <v>42</v>
      </c>
      <c r="F1070" t="s">
        <v>47</v>
      </c>
      <c r="G1070" t="s">
        <v>65</v>
      </c>
      <c r="H1070" t="s">
        <v>23</v>
      </c>
      <c r="I1070" t="s">
        <v>24</v>
      </c>
      <c r="J1070" t="s">
        <v>20</v>
      </c>
      <c r="K1070">
        <v>0</v>
      </c>
      <c r="L1070">
        <v>4</v>
      </c>
      <c r="M1070">
        <v>8.7799999999999994</v>
      </c>
      <c r="N1070">
        <v>1</v>
      </c>
      <c r="O1070" t="str">
        <f>IF(financial_fraud_data[[#This Row],[Risk_Score]]&gt;8,"High",IF(financial_fraud_data[[#This Row],[Risk_Score]]&gt;5,"Med","Low"))</f>
        <v>High</v>
      </c>
      <c r="P1070" t="str">
        <f>TEXT(financial_fraud_data[[#This Row],[Transaction_Date]],"MMM")</f>
        <v>Feb</v>
      </c>
      <c r="Q1070" t="str">
        <f>IF(financial_fraud_data[[#This Row],[Is_Fraud]]=1,"Yes","No")</f>
        <v>Yes</v>
      </c>
    </row>
    <row r="1071" spans="1:17" x14ac:dyDescent="0.2">
      <c r="A1071" t="s">
        <v>1547</v>
      </c>
      <c r="B1071" t="s">
        <v>787</v>
      </c>
      <c r="C1071" s="1">
        <v>45336.541666666664</v>
      </c>
      <c r="D1071">
        <v>14397.59</v>
      </c>
      <c r="E1071" t="s">
        <v>34</v>
      </c>
      <c r="F1071" t="s">
        <v>27</v>
      </c>
      <c r="G1071" t="s">
        <v>35</v>
      </c>
      <c r="H1071" t="s">
        <v>36</v>
      </c>
      <c r="I1071" t="s">
        <v>36</v>
      </c>
      <c r="J1071" t="s">
        <v>37</v>
      </c>
      <c r="K1071">
        <v>0</v>
      </c>
      <c r="L1071">
        <v>2</v>
      </c>
      <c r="M1071">
        <v>4.4400000000000004</v>
      </c>
      <c r="N1071">
        <v>0</v>
      </c>
      <c r="O1071" t="str">
        <f>IF(financial_fraud_data[[#This Row],[Risk_Score]]&gt;8,"High",IF(financial_fraud_data[[#This Row],[Risk_Score]]&gt;5,"Med","Low"))</f>
        <v>Low</v>
      </c>
      <c r="P1071" t="str">
        <f>TEXT(financial_fraud_data[[#This Row],[Transaction_Date]],"MMM")</f>
        <v>Feb</v>
      </c>
      <c r="Q1071" t="str">
        <f>IF(financial_fraud_data[[#This Row],[Is_Fraud]]=1,"Yes","No")</f>
        <v>No</v>
      </c>
    </row>
    <row r="1072" spans="1:17" x14ac:dyDescent="0.2">
      <c r="A1072" t="s">
        <v>1548</v>
      </c>
      <c r="B1072" t="s">
        <v>527</v>
      </c>
      <c r="C1072" s="1">
        <v>45336.583333333336</v>
      </c>
      <c r="D1072">
        <v>14850.59</v>
      </c>
      <c r="E1072" t="s">
        <v>80</v>
      </c>
      <c r="F1072" t="s">
        <v>50</v>
      </c>
      <c r="G1072" t="s">
        <v>18</v>
      </c>
      <c r="H1072" t="s">
        <v>29</v>
      </c>
      <c r="I1072" t="s">
        <v>23</v>
      </c>
      <c r="J1072" t="s">
        <v>37</v>
      </c>
      <c r="K1072">
        <v>0</v>
      </c>
      <c r="L1072">
        <v>0</v>
      </c>
      <c r="M1072">
        <v>2.4900000000000002</v>
      </c>
      <c r="N1072">
        <v>0</v>
      </c>
      <c r="O1072" t="str">
        <f>IF(financial_fraud_data[[#This Row],[Risk_Score]]&gt;8,"High",IF(financial_fraud_data[[#This Row],[Risk_Score]]&gt;5,"Med","Low"))</f>
        <v>Low</v>
      </c>
      <c r="P1072" t="str">
        <f>TEXT(financial_fraud_data[[#This Row],[Transaction_Date]],"MMM")</f>
        <v>Feb</v>
      </c>
      <c r="Q1072" t="str">
        <f>IF(financial_fraud_data[[#This Row],[Is_Fraud]]=1,"Yes","No")</f>
        <v>No</v>
      </c>
    </row>
    <row r="1073" spans="1:17" x14ac:dyDescent="0.2">
      <c r="A1073" t="s">
        <v>1549</v>
      </c>
      <c r="B1073" t="s">
        <v>1499</v>
      </c>
      <c r="C1073" s="1">
        <v>45336.625</v>
      </c>
      <c r="D1073">
        <v>11718.71</v>
      </c>
      <c r="E1073" t="s">
        <v>16</v>
      </c>
      <c r="F1073" t="s">
        <v>50</v>
      </c>
      <c r="G1073" t="s">
        <v>28</v>
      </c>
      <c r="H1073" t="s">
        <v>24</v>
      </c>
      <c r="I1073" t="s">
        <v>29</v>
      </c>
      <c r="J1073" t="s">
        <v>51</v>
      </c>
      <c r="K1073">
        <v>0</v>
      </c>
      <c r="L1073">
        <v>4</v>
      </c>
      <c r="M1073">
        <v>8.17</v>
      </c>
      <c r="N1073">
        <v>1</v>
      </c>
      <c r="O1073" t="str">
        <f>IF(financial_fraud_data[[#This Row],[Risk_Score]]&gt;8,"High",IF(financial_fraud_data[[#This Row],[Risk_Score]]&gt;5,"Med","Low"))</f>
        <v>High</v>
      </c>
      <c r="P1073" t="str">
        <f>TEXT(financial_fraud_data[[#This Row],[Transaction_Date]],"MMM")</f>
        <v>Feb</v>
      </c>
      <c r="Q1073" t="str">
        <f>IF(financial_fraud_data[[#This Row],[Is_Fraud]]=1,"Yes","No")</f>
        <v>Yes</v>
      </c>
    </row>
    <row r="1074" spans="1:17" x14ac:dyDescent="0.2">
      <c r="A1074" t="s">
        <v>1550</v>
      </c>
      <c r="B1074" t="s">
        <v>315</v>
      </c>
      <c r="C1074" s="1">
        <v>45336.666666666664</v>
      </c>
      <c r="D1074">
        <v>2152.5500000000002</v>
      </c>
      <c r="E1074" t="s">
        <v>80</v>
      </c>
      <c r="F1074" t="s">
        <v>47</v>
      </c>
      <c r="G1074" t="s">
        <v>56</v>
      </c>
      <c r="H1074" t="s">
        <v>23</v>
      </c>
      <c r="I1074" t="s">
        <v>24</v>
      </c>
      <c r="J1074" t="s">
        <v>37</v>
      </c>
      <c r="K1074">
        <v>0</v>
      </c>
      <c r="L1074">
        <v>1</v>
      </c>
      <c r="M1074">
        <v>2.72</v>
      </c>
      <c r="N1074">
        <v>0</v>
      </c>
      <c r="O1074" t="str">
        <f>IF(financial_fraud_data[[#This Row],[Risk_Score]]&gt;8,"High",IF(financial_fraud_data[[#This Row],[Risk_Score]]&gt;5,"Med","Low"))</f>
        <v>Low</v>
      </c>
      <c r="P1074" t="str">
        <f>TEXT(financial_fraud_data[[#This Row],[Transaction_Date]],"MMM")</f>
        <v>Feb</v>
      </c>
      <c r="Q1074" t="str">
        <f>IF(financial_fraud_data[[#This Row],[Is_Fraud]]=1,"Yes","No")</f>
        <v>No</v>
      </c>
    </row>
    <row r="1075" spans="1:17" x14ac:dyDescent="0.2">
      <c r="A1075" t="s">
        <v>1551</v>
      </c>
      <c r="B1075" t="s">
        <v>231</v>
      </c>
      <c r="C1075" s="1">
        <v>45336.708333333336</v>
      </c>
      <c r="D1075">
        <v>942.8</v>
      </c>
      <c r="E1075" t="s">
        <v>42</v>
      </c>
      <c r="F1075" t="s">
        <v>47</v>
      </c>
      <c r="G1075" t="s">
        <v>65</v>
      </c>
      <c r="H1075" t="s">
        <v>23</v>
      </c>
      <c r="I1075" t="s">
        <v>36</v>
      </c>
      <c r="J1075" t="s">
        <v>20</v>
      </c>
      <c r="K1075">
        <v>1</v>
      </c>
      <c r="L1075">
        <v>3</v>
      </c>
      <c r="M1075">
        <v>7.59</v>
      </c>
      <c r="N1075">
        <v>1</v>
      </c>
      <c r="O1075" t="str">
        <f>IF(financial_fraud_data[[#This Row],[Risk_Score]]&gt;8,"High",IF(financial_fraud_data[[#This Row],[Risk_Score]]&gt;5,"Med","Low"))</f>
        <v>Med</v>
      </c>
      <c r="P1075" t="str">
        <f>TEXT(financial_fraud_data[[#This Row],[Transaction_Date]],"MMM")</f>
        <v>Feb</v>
      </c>
      <c r="Q1075" t="str">
        <f>IF(financial_fraud_data[[#This Row],[Is_Fraud]]=1,"Yes","No")</f>
        <v>Yes</v>
      </c>
    </row>
    <row r="1076" spans="1:17" x14ac:dyDescent="0.2">
      <c r="A1076" t="s">
        <v>1552</v>
      </c>
      <c r="B1076" t="s">
        <v>951</v>
      </c>
      <c r="C1076" s="1">
        <v>45336.75</v>
      </c>
      <c r="D1076">
        <v>49386.73</v>
      </c>
      <c r="E1076" t="s">
        <v>42</v>
      </c>
      <c r="F1076" t="s">
        <v>27</v>
      </c>
      <c r="G1076" t="s">
        <v>56</v>
      </c>
      <c r="H1076" t="s">
        <v>19</v>
      </c>
      <c r="I1076" t="s">
        <v>24</v>
      </c>
      <c r="J1076" t="s">
        <v>20</v>
      </c>
      <c r="K1076">
        <v>0</v>
      </c>
      <c r="L1076">
        <v>1</v>
      </c>
      <c r="M1076">
        <v>7.44</v>
      </c>
      <c r="N1076">
        <v>1</v>
      </c>
      <c r="O1076" t="str">
        <f>IF(financial_fraud_data[[#This Row],[Risk_Score]]&gt;8,"High",IF(financial_fraud_data[[#This Row],[Risk_Score]]&gt;5,"Med","Low"))</f>
        <v>Med</v>
      </c>
      <c r="P1076" t="str">
        <f>TEXT(financial_fraud_data[[#This Row],[Transaction_Date]],"MMM")</f>
        <v>Feb</v>
      </c>
      <c r="Q1076" t="str">
        <f>IF(financial_fraud_data[[#This Row],[Is_Fraud]]=1,"Yes","No")</f>
        <v>Yes</v>
      </c>
    </row>
    <row r="1077" spans="1:17" x14ac:dyDescent="0.2">
      <c r="A1077" t="s">
        <v>1553</v>
      </c>
      <c r="B1077" t="s">
        <v>282</v>
      </c>
      <c r="C1077" s="1">
        <v>45336.791666666664</v>
      </c>
      <c r="D1077">
        <v>21417.27</v>
      </c>
      <c r="E1077" t="s">
        <v>34</v>
      </c>
      <c r="F1077" t="s">
        <v>17</v>
      </c>
      <c r="G1077" t="s">
        <v>28</v>
      </c>
      <c r="H1077" t="s">
        <v>36</v>
      </c>
      <c r="I1077" t="s">
        <v>19</v>
      </c>
      <c r="J1077" t="s">
        <v>37</v>
      </c>
      <c r="K1077">
        <v>0</v>
      </c>
      <c r="L1077">
        <v>1</v>
      </c>
      <c r="M1077">
        <v>4.6399999999999997</v>
      </c>
      <c r="N1077">
        <v>0</v>
      </c>
      <c r="O1077" t="str">
        <f>IF(financial_fraud_data[[#This Row],[Risk_Score]]&gt;8,"High",IF(financial_fraud_data[[#This Row],[Risk_Score]]&gt;5,"Med","Low"))</f>
        <v>Low</v>
      </c>
      <c r="P1077" t="str">
        <f>TEXT(financial_fraud_data[[#This Row],[Transaction_Date]],"MMM")</f>
        <v>Feb</v>
      </c>
      <c r="Q1077" t="str">
        <f>IF(financial_fraud_data[[#This Row],[Is_Fraud]]=1,"Yes","No")</f>
        <v>No</v>
      </c>
    </row>
    <row r="1078" spans="1:17" x14ac:dyDescent="0.2">
      <c r="A1078" t="s">
        <v>1554</v>
      </c>
      <c r="B1078" t="s">
        <v>499</v>
      </c>
      <c r="C1078" s="1">
        <v>45336.833333333336</v>
      </c>
      <c r="D1078">
        <v>19247.12</v>
      </c>
      <c r="E1078" t="s">
        <v>80</v>
      </c>
      <c r="F1078" t="s">
        <v>47</v>
      </c>
      <c r="G1078" t="s">
        <v>65</v>
      </c>
      <c r="H1078" t="s">
        <v>29</v>
      </c>
      <c r="I1078" t="s">
        <v>29</v>
      </c>
      <c r="J1078" t="s">
        <v>37</v>
      </c>
      <c r="K1078">
        <v>0</v>
      </c>
      <c r="L1078">
        <v>2</v>
      </c>
      <c r="M1078">
        <v>4.92</v>
      </c>
      <c r="N1078">
        <v>0</v>
      </c>
      <c r="O1078" t="str">
        <f>IF(financial_fraud_data[[#This Row],[Risk_Score]]&gt;8,"High",IF(financial_fraud_data[[#This Row],[Risk_Score]]&gt;5,"Med","Low"))</f>
        <v>Low</v>
      </c>
      <c r="P1078" t="str">
        <f>TEXT(financial_fraud_data[[#This Row],[Transaction_Date]],"MMM")</f>
        <v>Feb</v>
      </c>
      <c r="Q1078" t="str">
        <f>IF(financial_fraud_data[[#This Row],[Is_Fraud]]=1,"Yes","No")</f>
        <v>No</v>
      </c>
    </row>
    <row r="1079" spans="1:17" x14ac:dyDescent="0.2">
      <c r="A1079" t="s">
        <v>1555</v>
      </c>
      <c r="B1079" t="s">
        <v>857</v>
      </c>
      <c r="C1079" s="1">
        <v>45336.875</v>
      </c>
      <c r="D1079">
        <v>33998.379999999997</v>
      </c>
      <c r="E1079" t="s">
        <v>80</v>
      </c>
      <c r="F1079" t="s">
        <v>17</v>
      </c>
      <c r="G1079" t="s">
        <v>28</v>
      </c>
      <c r="H1079" t="s">
        <v>24</v>
      </c>
      <c r="I1079" t="s">
        <v>23</v>
      </c>
      <c r="J1079" t="s">
        <v>51</v>
      </c>
      <c r="K1079">
        <v>0</v>
      </c>
      <c r="L1079">
        <v>0</v>
      </c>
      <c r="M1079">
        <v>4.4000000000000004</v>
      </c>
      <c r="N1079">
        <v>0</v>
      </c>
      <c r="O1079" t="str">
        <f>IF(financial_fraud_data[[#This Row],[Risk_Score]]&gt;8,"High",IF(financial_fraud_data[[#This Row],[Risk_Score]]&gt;5,"Med","Low"))</f>
        <v>Low</v>
      </c>
      <c r="P1079" t="str">
        <f>TEXT(financial_fraud_data[[#This Row],[Transaction_Date]],"MMM")</f>
        <v>Feb</v>
      </c>
      <c r="Q1079" t="str">
        <f>IF(financial_fraud_data[[#This Row],[Is_Fraud]]=1,"Yes","No")</f>
        <v>No</v>
      </c>
    </row>
    <row r="1080" spans="1:17" x14ac:dyDescent="0.2">
      <c r="A1080" t="s">
        <v>1556</v>
      </c>
      <c r="B1080" t="s">
        <v>787</v>
      </c>
      <c r="C1080" s="1">
        <v>45336.916666666664</v>
      </c>
      <c r="D1080">
        <v>10951.78</v>
      </c>
      <c r="E1080" t="s">
        <v>42</v>
      </c>
      <c r="F1080" t="s">
        <v>27</v>
      </c>
      <c r="G1080" t="s">
        <v>56</v>
      </c>
      <c r="H1080" t="s">
        <v>23</v>
      </c>
      <c r="I1080" t="s">
        <v>36</v>
      </c>
      <c r="J1080" t="s">
        <v>20</v>
      </c>
      <c r="K1080">
        <v>0</v>
      </c>
      <c r="L1080">
        <v>2</v>
      </c>
      <c r="M1080">
        <v>5.0999999999999996</v>
      </c>
      <c r="N1080">
        <v>1</v>
      </c>
      <c r="O1080" t="str">
        <f>IF(financial_fraud_data[[#This Row],[Risk_Score]]&gt;8,"High",IF(financial_fraud_data[[#This Row],[Risk_Score]]&gt;5,"Med","Low"))</f>
        <v>Med</v>
      </c>
      <c r="P1080" t="str">
        <f>TEXT(financial_fraud_data[[#This Row],[Transaction_Date]],"MMM")</f>
        <v>Feb</v>
      </c>
      <c r="Q1080" t="str">
        <f>IF(financial_fraud_data[[#This Row],[Is_Fraud]]=1,"Yes","No")</f>
        <v>Yes</v>
      </c>
    </row>
    <row r="1081" spans="1:17" x14ac:dyDescent="0.2">
      <c r="A1081" t="s">
        <v>1557</v>
      </c>
      <c r="B1081" t="s">
        <v>746</v>
      </c>
      <c r="C1081" s="1">
        <v>45336.958333333336</v>
      </c>
      <c r="D1081">
        <v>47500.56</v>
      </c>
      <c r="E1081" t="s">
        <v>80</v>
      </c>
      <c r="F1081" t="s">
        <v>17</v>
      </c>
      <c r="G1081" t="s">
        <v>18</v>
      </c>
      <c r="H1081" t="s">
        <v>19</v>
      </c>
      <c r="I1081" t="s">
        <v>24</v>
      </c>
      <c r="J1081" t="s">
        <v>20</v>
      </c>
      <c r="K1081">
        <v>0</v>
      </c>
      <c r="L1081">
        <v>0</v>
      </c>
      <c r="M1081">
        <v>5.75</v>
      </c>
      <c r="N1081">
        <v>1</v>
      </c>
      <c r="O1081" t="str">
        <f>IF(financial_fraud_data[[#This Row],[Risk_Score]]&gt;8,"High",IF(financial_fraud_data[[#This Row],[Risk_Score]]&gt;5,"Med","Low"))</f>
        <v>Med</v>
      </c>
      <c r="P1081" t="str">
        <f>TEXT(financial_fraud_data[[#This Row],[Transaction_Date]],"MMM")</f>
        <v>Feb</v>
      </c>
      <c r="Q1081" t="str">
        <f>IF(financial_fraud_data[[#This Row],[Is_Fraud]]=1,"Yes","No")</f>
        <v>Yes</v>
      </c>
    </row>
    <row r="1082" spans="1:17" x14ac:dyDescent="0.2">
      <c r="A1082" t="s">
        <v>1558</v>
      </c>
      <c r="B1082" t="s">
        <v>39</v>
      </c>
      <c r="C1082" s="1">
        <v>45337</v>
      </c>
      <c r="D1082">
        <v>39327.93</v>
      </c>
      <c r="E1082" t="s">
        <v>42</v>
      </c>
      <c r="F1082" t="s">
        <v>50</v>
      </c>
      <c r="G1082" t="s">
        <v>56</v>
      </c>
      <c r="H1082" t="s">
        <v>36</v>
      </c>
      <c r="I1082" t="s">
        <v>29</v>
      </c>
      <c r="J1082" t="s">
        <v>37</v>
      </c>
      <c r="K1082">
        <v>0</v>
      </c>
      <c r="L1082">
        <v>4</v>
      </c>
      <c r="M1082">
        <v>10.93</v>
      </c>
      <c r="N1082">
        <v>1</v>
      </c>
      <c r="O1082" t="str">
        <f>IF(financial_fraud_data[[#This Row],[Risk_Score]]&gt;8,"High",IF(financial_fraud_data[[#This Row],[Risk_Score]]&gt;5,"Med","Low"))</f>
        <v>High</v>
      </c>
      <c r="P1082" t="str">
        <f>TEXT(financial_fraud_data[[#This Row],[Transaction_Date]],"MMM")</f>
        <v>Feb</v>
      </c>
      <c r="Q1082" t="str">
        <f>IF(financial_fraud_data[[#This Row],[Is_Fraud]]=1,"Yes","No")</f>
        <v>Yes</v>
      </c>
    </row>
    <row r="1083" spans="1:17" x14ac:dyDescent="0.2">
      <c r="A1083" t="s">
        <v>1559</v>
      </c>
      <c r="B1083" t="s">
        <v>1560</v>
      </c>
      <c r="C1083" s="1">
        <v>45337.041666666664</v>
      </c>
      <c r="D1083">
        <v>4516.08</v>
      </c>
      <c r="E1083" t="s">
        <v>80</v>
      </c>
      <c r="F1083" t="s">
        <v>17</v>
      </c>
      <c r="G1083" t="s">
        <v>56</v>
      </c>
      <c r="H1083" t="s">
        <v>36</v>
      </c>
      <c r="I1083" t="s">
        <v>24</v>
      </c>
      <c r="J1083" t="s">
        <v>37</v>
      </c>
      <c r="K1083">
        <v>0</v>
      </c>
      <c r="L1083">
        <v>2</v>
      </c>
      <c r="M1083">
        <v>4.45</v>
      </c>
      <c r="N1083">
        <v>0</v>
      </c>
      <c r="O1083" t="str">
        <f>IF(financial_fraud_data[[#This Row],[Risk_Score]]&gt;8,"High",IF(financial_fraud_data[[#This Row],[Risk_Score]]&gt;5,"Med","Low"))</f>
        <v>Low</v>
      </c>
      <c r="P1083" t="str">
        <f>TEXT(financial_fraud_data[[#This Row],[Transaction_Date]],"MMM")</f>
        <v>Feb</v>
      </c>
      <c r="Q1083" t="str">
        <f>IF(financial_fraud_data[[#This Row],[Is_Fraud]]=1,"Yes","No")</f>
        <v>No</v>
      </c>
    </row>
    <row r="1084" spans="1:17" x14ac:dyDescent="0.2">
      <c r="A1084" t="s">
        <v>1561</v>
      </c>
      <c r="B1084" t="s">
        <v>1101</v>
      </c>
      <c r="C1084" s="1">
        <v>45337.083333333336</v>
      </c>
      <c r="D1084">
        <v>20908.16</v>
      </c>
      <c r="E1084" t="s">
        <v>80</v>
      </c>
      <c r="F1084" t="s">
        <v>27</v>
      </c>
      <c r="G1084" t="s">
        <v>56</v>
      </c>
      <c r="H1084" t="s">
        <v>24</v>
      </c>
      <c r="I1084" t="s">
        <v>29</v>
      </c>
      <c r="J1084" t="s">
        <v>37</v>
      </c>
      <c r="K1084">
        <v>0</v>
      </c>
      <c r="L1084">
        <v>3</v>
      </c>
      <c r="M1084">
        <v>7.59</v>
      </c>
      <c r="N1084">
        <v>1</v>
      </c>
      <c r="O1084" t="str">
        <f>IF(financial_fraud_data[[#This Row],[Risk_Score]]&gt;8,"High",IF(financial_fraud_data[[#This Row],[Risk_Score]]&gt;5,"Med","Low"))</f>
        <v>Med</v>
      </c>
      <c r="P1084" t="str">
        <f>TEXT(financial_fraud_data[[#This Row],[Transaction_Date]],"MMM")</f>
        <v>Feb</v>
      </c>
      <c r="Q1084" t="str">
        <f>IF(financial_fraud_data[[#This Row],[Is_Fraud]]=1,"Yes","No")</f>
        <v>Yes</v>
      </c>
    </row>
    <row r="1085" spans="1:17" x14ac:dyDescent="0.2">
      <c r="A1085" t="s">
        <v>1562</v>
      </c>
      <c r="B1085" t="s">
        <v>1563</v>
      </c>
      <c r="C1085" s="1">
        <v>45337.125</v>
      </c>
      <c r="D1085">
        <v>43961.96</v>
      </c>
      <c r="E1085" t="s">
        <v>80</v>
      </c>
      <c r="F1085" t="s">
        <v>27</v>
      </c>
      <c r="G1085" t="s">
        <v>35</v>
      </c>
      <c r="H1085" t="s">
        <v>23</v>
      </c>
      <c r="I1085" t="s">
        <v>19</v>
      </c>
      <c r="J1085" t="s">
        <v>20</v>
      </c>
      <c r="K1085">
        <v>0</v>
      </c>
      <c r="L1085">
        <v>0</v>
      </c>
      <c r="M1085">
        <v>5.4</v>
      </c>
      <c r="N1085">
        <v>1</v>
      </c>
      <c r="O1085" t="str">
        <f>IF(financial_fraud_data[[#This Row],[Risk_Score]]&gt;8,"High",IF(financial_fraud_data[[#This Row],[Risk_Score]]&gt;5,"Med","Low"))</f>
        <v>Med</v>
      </c>
      <c r="P1085" t="str">
        <f>TEXT(financial_fraud_data[[#This Row],[Transaction_Date]],"MMM")</f>
        <v>Feb</v>
      </c>
      <c r="Q1085" t="str">
        <f>IF(financial_fraud_data[[#This Row],[Is_Fraud]]=1,"Yes","No")</f>
        <v>Yes</v>
      </c>
    </row>
    <row r="1086" spans="1:17" x14ac:dyDescent="0.2">
      <c r="A1086" t="s">
        <v>1564</v>
      </c>
      <c r="B1086" t="s">
        <v>140</v>
      </c>
      <c r="C1086" s="1">
        <v>45337.166666666664</v>
      </c>
      <c r="D1086">
        <v>47239.360000000001</v>
      </c>
      <c r="E1086" t="s">
        <v>42</v>
      </c>
      <c r="F1086" t="s">
        <v>27</v>
      </c>
      <c r="G1086" t="s">
        <v>28</v>
      </c>
      <c r="H1086" t="s">
        <v>24</v>
      </c>
      <c r="I1086" t="s">
        <v>24</v>
      </c>
      <c r="J1086" t="s">
        <v>37</v>
      </c>
      <c r="K1086">
        <v>0</v>
      </c>
      <c r="L1086">
        <v>2</v>
      </c>
      <c r="M1086">
        <v>7.72</v>
      </c>
      <c r="N1086">
        <v>1</v>
      </c>
      <c r="O1086" t="str">
        <f>IF(financial_fraud_data[[#This Row],[Risk_Score]]&gt;8,"High",IF(financial_fraud_data[[#This Row],[Risk_Score]]&gt;5,"Med","Low"))</f>
        <v>Med</v>
      </c>
      <c r="P1086" t="str">
        <f>TEXT(financial_fraud_data[[#This Row],[Transaction_Date]],"MMM")</f>
        <v>Feb</v>
      </c>
      <c r="Q1086" t="str">
        <f>IF(financial_fraud_data[[#This Row],[Is_Fraud]]=1,"Yes","No")</f>
        <v>Yes</v>
      </c>
    </row>
    <row r="1087" spans="1:17" x14ac:dyDescent="0.2">
      <c r="A1087" t="s">
        <v>1565</v>
      </c>
      <c r="B1087" t="s">
        <v>1125</v>
      </c>
      <c r="C1087" s="1">
        <v>45337.208333333336</v>
      </c>
      <c r="D1087">
        <v>23396.71</v>
      </c>
      <c r="E1087" t="s">
        <v>34</v>
      </c>
      <c r="F1087" t="s">
        <v>17</v>
      </c>
      <c r="G1087" t="s">
        <v>28</v>
      </c>
      <c r="H1087" t="s">
        <v>24</v>
      </c>
      <c r="I1087" t="s">
        <v>19</v>
      </c>
      <c r="J1087" t="s">
        <v>51</v>
      </c>
      <c r="K1087">
        <v>0</v>
      </c>
      <c r="L1087">
        <v>3</v>
      </c>
      <c r="M1087">
        <v>7.84</v>
      </c>
      <c r="N1087">
        <v>1</v>
      </c>
      <c r="O1087" t="str">
        <f>IF(financial_fraud_data[[#This Row],[Risk_Score]]&gt;8,"High",IF(financial_fraud_data[[#This Row],[Risk_Score]]&gt;5,"Med","Low"))</f>
        <v>Med</v>
      </c>
      <c r="P1087" t="str">
        <f>TEXT(financial_fraud_data[[#This Row],[Transaction_Date]],"MMM")</f>
        <v>Feb</v>
      </c>
      <c r="Q1087" t="str">
        <f>IF(financial_fraud_data[[#This Row],[Is_Fraud]]=1,"Yes","No")</f>
        <v>Yes</v>
      </c>
    </row>
    <row r="1088" spans="1:17" x14ac:dyDescent="0.2">
      <c r="A1088" t="s">
        <v>1566</v>
      </c>
      <c r="B1088" t="s">
        <v>113</v>
      </c>
      <c r="C1088" s="1">
        <v>45337.25</v>
      </c>
      <c r="D1088">
        <v>30689.9</v>
      </c>
      <c r="E1088" t="s">
        <v>80</v>
      </c>
      <c r="F1088" t="s">
        <v>50</v>
      </c>
      <c r="G1088" t="s">
        <v>28</v>
      </c>
      <c r="H1088" t="s">
        <v>19</v>
      </c>
      <c r="I1088" t="s">
        <v>36</v>
      </c>
      <c r="J1088" t="s">
        <v>51</v>
      </c>
      <c r="K1088">
        <v>0</v>
      </c>
      <c r="L1088">
        <v>1</v>
      </c>
      <c r="M1088">
        <v>5.57</v>
      </c>
      <c r="N1088">
        <v>1</v>
      </c>
      <c r="O1088" t="str">
        <f>IF(financial_fraud_data[[#This Row],[Risk_Score]]&gt;8,"High",IF(financial_fraud_data[[#This Row],[Risk_Score]]&gt;5,"Med","Low"))</f>
        <v>Med</v>
      </c>
      <c r="P1088" t="str">
        <f>TEXT(financial_fraud_data[[#This Row],[Transaction_Date]],"MMM")</f>
        <v>Feb</v>
      </c>
      <c r="Q1088" t="str">
        <f>IF(financial_fraud_data[[#This Row],[Is_Fraud]]=1,"Yes","No")</f>
        <v>Yes</v>
      </c>
    </row>
    <row r="1089" spans="1:17" x14ac:dyDescent="0.2">
      <c r="A1089" t="s">
        <v>1567</v>
      </c>
      <c r="B1089" t="s">
        <v>848</v>
      </c>
      <c r="C1089" s="1">
        <v>45337.291666666664</v>
      </c>
      <c r="D1089">
        <v>8393.35</v>
      </c>
      <c r="E1089" t="s">
        <v>42</v>
      </c>
      <c r="F1089" t="s">
        <v>47</v>
      </c>
      <c r="G1089" t="s">
        <v>35</v>
      </c>
      <c r="H1089" t="s">
        <v>36</v>
      </c>
      <c r="I1089" t="s">
        <v>19</v>
      </c>
      <c r="J1089" t="s">
        <v>37</v>
      </c>
      <c r="K1089">
        <v>0</v>
      </c>
      <c r="L1089">
        <v>4</v>
      </c>
      <c r="M1089">
        <v>7.84</v>
      </c>
      <c r="N1089">
        <v>1</v>
      </c>
      <c r="O1089" t="str">
        <f>IF(financial_fraud_data[[#This Row],[Risk_Score]]&gt;8,"High",IF(financial_fraud_data[[#This Row],[Risk_Score]]&gt;5,"Med","Low"))</f>
        <v>Med</v>
      </c>
      <c r="P1089" t="str">
        <f>TEXT(financial_fraud_data[[#This Row],[Transaction_Date]],"MMM")</f>
        <v>Feb</v>
      </c>
      <c r="Q1089" t="str">
        <f>IF(financial_fraud_data[[#This Row],[Is_Fraud]]=1,"Yes","No")</f>
        <v>Yes</v>
      </c>
    </row>
    <row r="1090" spans="1:17" x14ac:dyDescent="0.2">
      <c r="A1090" t="s">
        <v>1568</v>
      </c>
      <c r="B1090" t="s">
        <v>669</v>
      </c>
      <c r="C1090" s="1">
        <v>45337.333333333336</v>
      </c>
      <c r="D1090">
        <v>49558.87</v>
      </c>
      <c r="E1090" t="s">
        <v>42</v>
      </c>
      <c r="F1090" t="s">
        <v>50</v>
      </c>
      <c r="G1090" t="s">
        <v>18</v>
      </c>
      <c r="H1090" t="s">
        <v>29</v>
      </c>
      <c r="I1090" t="s">
        <v>29</v>
      </c>
      <c r="J1090" t="s">
        <v>51</v>
      </c>
      <c r="K1090">
        <v>0</v>
      </c>
      <c r="L1090">
        <v>4</v>
      </c>
      <c r="M1090">
        <v>10.96</v>
      </c>
      <c r="N1090">
        <v>1</v>
      </c>
      <c r="O1090" t="str">
        <f>IF(financial_fraud_data[[#This Row],[Risk_Score]]&gt;8,"High",IF(financial_fraud_data[[#This Row],[Risk_Score]]&gt;5,"Med","Low"))</f>
        <v>High</v>
      </c>
      <c r="P1090" t="str">
        <f>TEXT(financial_fraud_data[[#This Row],[Transaction_Date]],"MMM")</f>
        <v>Feb</v>
      </c>
      <c r="Q1090" t="str">
        <f>IF(financial_fraud_data[[#This Row],[Is_Fraud]]=1,"Yes","No")</f>
        <v>Yes</v>
      </c>
    </row>
    <row r="1091" spans="1:17" x14ac:dyDescent="0.2">
      <c r="A1091" t="s">
        <v>1569</v>
      </c>
      <c r="B1091" t="s">
        <v>848</v>
      </c>
      <c r="C1091" s="1">
        <v>45337.375</v>
      </c>
      <c r="D1091">
        <v>11622</v>
      </c>
      <c r="E1091" t="s">
        <v>80</v>
      </c>
      <c r="F1091" t="s">
        <v>17</v>
      </c>
      <c r="G1091" t="s">
        <v>56</v>
      </c>
      <c r="H1091" t="s">
        <v>36</v>
      </c>
      <c r="I1091" t="s">
        <v>36</v>
      </c>
      <c r="J1091" t="s">
        <v>51</v>
      </c>
      <c r="K1091">
        <v>1</v>
      </c>
      <c r="L1091">
        <v>1</v>
      </c>
      <c r="M1091">
        <v>4.66</v>
      </c>
      <c r="N1091">
        <v>0</v>
      </c>
      <c r="O1091" t="str">
        <f>IF(financial_fraud_data[[#This Row],[Risk_Score]]&gt;8,"High",IF(financial_fraud_data[[#This Row],[Risk_Score]]&gt;5,"Med","Low"))</f>
        <v>Low</v>
      </c>
      <c r="P1091" t="str">
        <f>TEXT(financial_fraud_data[[#This Row],[Transaction_Date]],"MMM")</f>
        <v>Feb</v>
      </c>
      <c r="Q1091" t="str">
        <f>IF(financial_fraud_data[[#This Row],[Is_Fraud]]=1,"Yes","No")</f>
        <v>No</v>
      </c>
    </row>
    <row r="1092" spans="1:17" x14ac:dyDescent="0.2">
      <c r="A1092" t="s">
        <v>1570</v>
      </c>
      <c r="B1092" t="s">
        <v>127</v>
      </c>
      <c r="C1092" s="1">
        <v>45337.416666666664</v>
      </c>
      <c r="D1092">
        <v>47139.45</v>
      </c>
      <c r="E1092" t="s">
        <v>80</v>
      </c>
      <c r="F1092" t="s">
        <v>17</v>
      </c>
      <c r="G1092" t="s">
        <v>18</v>
      </c>
      <c r="H1092" t="s">
        <v>36</v>
      </c>
      <c r="I1092" t="s">
        <v>24</v>
      </c>
      <c r="J1092" t="s">
        <v>51</v>
      </c>
      <c r="K1092">
        <v>1</v>
      </c>
      <c r="L1092">
        <v>2</v>
      </c>
      <c r="M1092">
        <v>10.71</v>
      </c>
      <c r="N1092">
        <v>1</v>
      </c>
      <c r="O1092" t="str">
        <f>IF(financial_fraud_data[[#This Row],[Risk_Score]]&gt;8,"High",IF(financial_fraud_data[[#This Row],[Risk_Score]]&gt;5,"Med","Low"))</f>
        <v>High</v>
      </c>
      <c r="P1092" t="str">
        <f>TEXT(financial_fraud_data[[#This Row],[Transaction_Date]],"MMM")</f>
        <v>Feb</v>
      </c>
      <c r="Q1092" t="str">
        <f>IF(financial_fraud_data[[#This Row],[Is_Fraud]]=1,"Yes","No")</f>
        <v>Yes</v>
      </c>
    </row>
    <row r="1093" spans="1:17" x14ac:dyDescent="0.2">
      <c r="A1093" t="s">
        <v>1571</v>
      </c>
      <c r="B1093" t="s">
        <v>343</v>
      </c>
      <c r="C1093" s="1">
        <v>45337.458333333336</v>
      </c>
      <c r="D1093">
        <v>32499.85</v>
      </c>
      <c r="E1093" t="s">
        <v>34</v>
      </c>
      <c r="F1093" t="s">
        <v>47</v>
      </c>
      <c r="G1093" t="s">
        <v>35</v>
      </c>
      <c r="H1093" t="s">
        <v>19</v>
      </c>
      <c r="I1093" t="s">
        <v>24</v>
      </c>
      <c r="J1093" t="s">
        <v>51</v>
      </c>
      <c r="K1093">
        <v>1</v>
      </c>
      <c r="L1093">
        <v>1</v>
      </c>
      <c r="M1093">
        <v>7.75</v>
      </c>
      <c r="N1093">
        <v>1</v>
      </c>
      <c r="O1093" t="str">
        <f>IF(financial_fraud_data[[#This Row],[Risk_Score]]&gt;8,"High",IF(financial_fraud_data[[#This Row],[Risk_Score]]&gt;5,"Med","Low"))</f>
        <v>Med</v>
      </c>
      <c r="P1093" t="str">
        <f>TEXT(financial_fraud_data[[#This Row],[Transaction_Date]],"MMM")</f>
        <v>Feb</v>
      </c>
      <c r="Q1093" t="str">
        <f>IF(financial_fraud_data[[#This Row],[Is_Fraud]]=1,"Yes","No")</f>
        <v>Yes</v>
      </c>
    </row>
    <row r="1094" spans="1:17" x14ac:dyDescent="0.2">
      <c r="A1094" t="s">
        <v>1572</v>
      </c>
      <c r="B1094" t="s">
        <v>755</v>
      </c>
      <c r="C1094" s="1">
        <v>45337.5</v>
      </c>
      <c r="D1094">
        <v>30406.45</v>
      </c>
      <c r="E1094" t="s">
        <v>42</v>
      </c>
      <c r="F1094" t="s">
        <v>17</v>
      </c>
      <c r="G1094" t="s">
        <v>28</v>
      </c>
      <c r="H1094" t="s">
        <v>29</v>
      </c>
      <c r="I1094" t="s">
        <v>29</v>
      </c>
      <c r="J1094" t="s">
        <v>51</v>
      </c>
      <c r="K1094">
        <v>0</v>
      </c>
      <c r="L1094">
        <v>3</v>
      </c>
      <c r="M1094">
        <v>7.54</v>
      </c>
      <c r="N1094">
        <v>1</v>
      </c>
      <c r="O1094" t="str">
        <f>IF(financial_fraud_data[[#This Row],[Risk_Score]]&gt;8,"High",IF(financial_fraud_data[[#This Row],[Risk_Score]]&gt;5,"Med","Low"))</f>
        <v>Med</v>
      </c>
      <c r="P1094" t="str">
        <f>TEXT(financial_fraud_data[[#This Row],[Transaction_Date]],"MMM")</f>
        <v>Feb</v>
      </c>
      <c r="Q1094" t="str">
        <f>IF(financial_fraud_data[[#This Row],[Is_Fraud]]=1,"Yes","No")</f>
        <v>Yes</v>
      </c>
    </row>
    <row r="1095" spans="1:17" x14ac:dyDescent="0.2">
      <c r="A1095" t="s">
        <v>1573</v>
      </c>
      <c r="B1095" t="s">
        <v>1574</v>
      </c>
      <c r="C1095" s="1">
        <v>45337.541666666664</v>
      </c>
      <c r="D1095">
        <v>25658.79</v>
      </c>
      <c r="E1095" t="s">
        <v>42</v>
      </c>
      <c r="F1095" t="s">
        <v>27</v>
      </c>
      <c r="G1095" t="s">
        <v>56</v>
      </c>
      <c r="H1095" t="s">
        <v>23</v>
      </c>
      <c r="I1095" t="s">
        <v>23</v>
      </c>
      <c r="J1095" t="s">
        <v>20</v>
      </c>
      <c r="K1095">
        <v>0</v>
      </c>
      <c r="L1095">
        <v>0</v>
      </c>
      <c r="M1095">
        <v>2.57</v>
      </c>
      <c r="N1095">
        <v>0</v>
      </c>
      <c r="O1095" t="str">
        <f>IF(financial_fraud_data[[#This Row],[Risk_Score]]&gt;8,"High",IF(financial_fraud_data[[#This Row],[Risk_Score]]&gt;5,"Med","Low"))</f>
        <v>Low</v>
      </c>
      <c r="P1095" t="str">
        <f>TEXT(financial_fraud_data[[#This Row],[Transaction_Date]],"MMM")</f>
        <v>Feb</v>
      </c>
      <c r="Q1095" t="str">
        <f>IF(financial_fraud_data[[#This Row],[Is_Fraud]]=1,"Yes","No")</f>
        <v>No</v>
      </c>
    </row>
    <row r="1096" spans="1:17" x14ac:dyDescent="0.2">
      <c r="A1096" t="s">
        <v>1575</v>
      </c>
      <c r="B1096" t="s">
        <v>75</v>
      </c>
      <c r="C1096" s="1">
        <v>45337.583333333336</v>
      </c>
      <c r="D1096">
        <v>11571.96</v>
      </c>
      <c r="E1096" t="s">
        <v>16</v>
      </c>
      <c r="F1096" t="s">
        <v>27</v>
      </c>
      <c r="G1096" t="s">
        <v>65</v>
      </c>
      <c r="H1096" t="s">
        <v>29</v>
      </c>
      <c r="I1096" t="s">
        <v>23</v>
      </c>
      <c r="J1096" t="s">
        <v>37</v>
      </c>
      <c r="K1096">
        <v>0</v>
      </c>
      <c r="L1096">
        <v>2</v>
      </c>
      <c r="M1096">
        <v>5.16</v>
      </c>
      <c r="N1096">
        <v>1</v>
      </c>
      <c r="O1096" t="str">
        <f>IF(financial_fraud_data[[#This Row],[Risk_Score]]&gt;8,"High",IF(financial_fraud_data[[#This Row],[Risk_Score]]&gt;5,"Med","Low"))</f>
        <v>Med</v>
      </c>
      <c r="P1096" t="str">
        <f>TEXT(financial_fraud_data[[#This Row],[Transaction_Date]],"MMM")</f>
        <v>Feb</v>
      </c>
      <c r="Q1096" t="str">
        <f>IF(financial_fraud_data[[#This Row],[Is_Fraud]]=1,"Yes","No")</f>
        <v>Yes</v>
      </c>
    </row>
    <row r="1097" spans="1:17" x14ac:dyDescent="0.2">
      <c r="A1097" t="s">
        <v>1576</v>
      </c>
      <c r="B1097" t="s">
        <v>298</v>
      </c>
      <c r="C1097" s="1">
        <v>45337.625</v>
      </c>
      <c r="D1097">
        <v>8867.58</v>
      </c>
      <c r="E1097" t="s">
        <v>42</v>
      </c>
      <c r="F1097" t="s">
        <v>27</v>
      </c>
      <c r="G1097" t="s">
        <v>65</v>
      </c>
      <c r="H1097" t="s">
        <v>23</v>
      </c>
      <c r="I1097" t="s">
        <v>24</v>
      </c>
      <c r="J1097" t="s">
        <v>51</v>
      </c>
      <c r="K1097">
        <v>0</v>
      </c>
      <c r="L1097">
        <v>0</v>
      </c>
      <c r="M1097">
        <v>1.89</v>
      </c>
      <c r="N1097">
        <v>0</v>
      </c>
      <c r="O1097" t="str">
        <f>IF(financial_fraud_data[[#This Row],[Risk_Score]]&gt;8,"High",IF(financial_fraud_data[[#This Row],[Risk_Score]]&gt;5,"Med","Low"))</f>
        <v>Low</v>
      </c>
      <c r="P1097" t="str">
        <f>TEXT(financial_fraud_data[[#This Row],[Transaction_Date]],"MMM")</f>
        <v>Feb</v>
      </c>
      <c r="Q1097" t="str">
        <f>IF(financial_fraud_data[[#This Row],[Is_Fraud]]=1,"Yes","No")</f>
        <v>No</v>
      </c>
    </row>
    <row r="1098" spans="1:17" x14ac:dyDescent="0.2">
      <c r="A1098" t="s">
        <v>1577</v>
      </c>
      <c r="B1098" t="s">
        <v>404</v>
      </c>
      <c r="C1098" s="1">
        <v>45337.666666666664</v>
      </c>
      <c r="D1098">
        <v>11063.29</v>
      </c>
      <c r="E1098" t="s">
        <v>34</v>
      </c>
      <c r="F1098" t="s">
        <v>27</v>
      </c>
      <c r="G1098" t="s">
        <v>18</v>
      </c>
      <c r="H1098" t="s">
        <v>29</v>
      </c>
      <c r="I1098" t="s">
        <v>29</v>
      </c>
      <c r="J1098" t="s">
        <v>37</v>
      </c>
      <c r="K1098">
        <v>0</v>
      </c>
      <c r="L1098">
        <v>1</v>
      </c>
      <c r="M1098">
        <v>2.61</v>
      </c>
      <c r="N1098">
        <v>0</v>
      </c>
      <c r="O1098" t="str">
        <f>IF(financial_fraud_data[[#This Row],[Risk_Score]]&gt;8,"High",IF(financial_fraud_data[[#This Row],[Risk_Score]]&gt;5,"Med","Low"))</f>
        <v>Low</v>
      </c>
      <c r="P1098" t="str">
        <f>TEXT(financial_fraud_data[[#This Row],[Transaction_Date]],"MMM")</f>
        <v>Feb</v>
      </c>
      <c r="Q1098" t="str">
        <f>IF(financial_fraud_data[[#This Row],[Is_Fraud]]=1,"Yes","No")</f>
        <v>No</v>
      </c>
    </row>
    <row r="1099" spans="1:17" x14ac:dyDescent="0.2">
      <c r="A1099" t="s">
        <v>1578</v>
      </c>
      <c r="B1099" t="s">
        <v>221</v>
      </c>
      <c r="C1099" s="1">
        <v>45337.708333333336</v>
      </c>
      <c r="D1099">
        <v>9362.59</v>
      </c>
      <c r="E1099" t="s">
        <v>16</v>
      </c>
      <c r="F1099" t="s">
        <v>27</v>
      </c>
      <c r="G1099" t="s">
        <v>28</v>
      </c>
      <c r="H1099" t="s">
        <v>24</v>
      </c>
      <c r="I1099" t="s">
        <v>23</v>
      </c>
      <c r="J1099" t="s">
        <v>51</v>
      </c>
      <c r="K1099">
        <v>1</v>
      </c>
      <c r="L1099">
        <v>4</v>
      </c>
      <c r="M1099">
        <v>9.94</v>
      </c>
      <c r="N1099">
        <v>1</v>
      </c>
      <c r="O1099" t="str">
        <f>IF(financial_fraud_data[[#This Row],[Risk_Score]]&gt;8,"High",IF(financial_fraud_data[[#This Row],[Risk_Score]]&gt;5,"Med","Low"))</f>
        <v>High</v>
      </c>
      <c r="P1099" t="str">
        <f>TEXT(financial_fraud_data[[#This Row],[Transaction_Date]],"MMM")</f>
        <v>Feb</v>
      </c>
      <c r="Q1099" t="str">
        <f>IF(financial_fraud_data[[#This Row],[Is_Fraud]]=1,"Yes","No")</f>
        <v>Yes</v>
      </c>
    </row>
    <row r="1100" spans="1:17" x14ac:dyDescent="0.2">
      <c r="A1100" t="s">
        <v>1579</v>
      </c>
      <c r="B1100" t="s">
        <v>599</v>
      </c>
      <c r="C1100" s="1">
        <v>45337.75</v>
      </c>
      <c r="D1100">
        <v>38990.239999999998</v>
      </c>
      <c r="E1100" t="s">
        <v>16</v>
      </c>
      <c r="F1100" t="s">
        <v>17</v>
      </c>
      <c r="G1100" t="s">
        <v>65</v>
      </c>
      <c r="H1100" t="s">
        <v>29</v>
      </c>
      <c r="I1100" t="s">
        <v>19</v>
      </c>
      <c r="J1100" t="s">
        <v>20</v>
      </c>
      <c r="K1100">
        <v>0</v>
      </c>
      <c r="L1100">
        <v>0</v>
      </c>
      <c r="M1100">
        <v>4.9000000000000004</v>
      </c>
      <c r="N1100">
        <v>0</v>
      </c>
      <c r="O1100" t="str">
        <f>IF(financial_fraud_data[[#This Row],[Risk_Score]]&gt;8,"High",IF(financial_fraud_data[[#This Row],[Risk_Score]]&gt;5,"Med","Low"))</f>
        <v>Low</v>
      </c>
      <c r="P1100" t="str">
        <f>TEXT(financial_fraud_data[[#This Row],[Transaction_Date]],"MMM")</f>
        <v>Feb</v>
      </c>
      <c r="Q1100" t="str">
        <f>IF(financial_fraud_data[[#This Row],[Is_Fraud]]=1,"Yes","No")</f>
        <v>No</v>
      </c>
    </row>
    <row r="1101" spans="1:17" x14ac:dyDescent="0.2">
      <c r="A1101" t="s">
        <v>1580</v>
      </c>
      <c r="B1101" t="s">
        <v>1150</v>
      </c>
      <c r="C1101" s="1">
        <v>45337.791666666664</v>
      </c>
      <c r="D1101">
        <v>17538.759999999998</v>
      </c>
      <c r="E1101" t="s">
        <v>16</v>
      </c>
      <c r="F1101" t="s">
        <v>47</v>
      </c>
      <c r="G1101" t="s">
        <v>18</v>
      </c>
      <c r="H1101" t="s">
        <v>19</v>
      </c>
      <c r="I1101" t="s">
        <v>24</v>
      </c>
      <c r="J1101" t="s">
        <v>20</v>
      </c>
      <c r="K1101">
        <v>0</v>
      </c>
      <c r="L1101">
        <v>0</v>
      </c>
      <c r="M1101">
        <v>2.75</v>
      </c>
      <c r="N1101">
        <v>0</v>
      </c>
      <c r="O1101" t="str">
        <f>IF(financial_fraud_data[[#This Row],[Risk_Score]]&gt;8,"High",IF(financial_fraud_data[[#This Row],[Risk_Score]]&gt;5,"Med","Low"))</f>
        <v>Low</v>
      </c>
      <c r="P1101" t="str">
        <f>TEXT(financial_fraud_data[[#This Row],[Transaction_Date]],"MMM")</f>
        <v>Feb</v>
      </c>
      <c r="Q1101" t="str">
        <f>IF(financial_fraud_data[[#This Row],[Is_Fraud]]=1,"Yes","No")</f>
        <v>No</v>
      </c>
    </row>
    <row r="1102" spans="1:17" x14ac:dyDescent="0.2">
      <c r="A1102" t="s">
        <v>1581</v>
      </c>
      <c r="B1102" t="s">
        <v>994</v>
      </c>
      <c r="C1102" s="1">
        <v>45337.833333333336</v>
      </c>
      <c r="D1102">
        <v>2939.24</v>
      </c>
      <c r="E1102" t="s">
        <v>80</v>
      </c>
      <c r="F1102" t="s">
        <v>47</v>
      </c>
      <c r="G1102" t="s">
        <v>35</v>
      </c>
      <c r="H1102" t="s">
        <v>23</v>
      </c>
      <c r="I1102" t="s">
        <v>19</v>
      </c>
      <c r="J1102" t="s">
        <v>51</v>
      </c>
      <c r="K1102">
        <v>0</v>
      </c>
      <c r="L1102">
        <v>4</v>
      </c>
      <c r="M1102">
        <v>7.29</v>
      </c>
      <c r="N1102">
        <v>1</v>
      </c>
      <c r="O1102" t="str">
        <f>IF(financial_fraud_data[[#This Row],[Risk_Score]]&gt;8,"High",IF(financial_fraud_data[[#This Row],[Risk_Score]]&gt;5,"Med","Low"))</f>
        <v>Med</v>
      </c>
      <c r="P1102" t="str">
        <f>TEXT(financial_fraud_data[[#This Row],[Transaction_Date]],"MMM")</f>
        <v>Feb</v>
      </c>
      <c r="Q1102" t="str">
        <f>IF(financial_fraud_data[[#This Row],[Is_Fraud]]=1,"Yes","No")</f>
        <v>Yes</v>
      </c>
    </row>
    <row r="1103" spans="1:17" x14ac:dyDescent="0.2">
      <c r="A1103" t="s">
        <v>1582</v>
      </c>
      <c r="B1103" t="s">
        <v>170</v>
      </c>
      <c r="C1103" s="1">
        <v>45337.875</v>
      </c>
      <c r="D1103">
        <v>48456.68</v>
      </c>
      <c r="E1103" t="s">
        <v>80</v>
      </c>
      <c r="F1103" t="s">
        <v>27</v>
      </c>
      <c r="G1103" t="s">
        <v>18</v>
      </c>
      <c r="H1103" t="s">
        <v>36</v>
      </c>
      <c r="I1103" t="s">
        <v>29</v>
      </c>
      <c r="J1103" t="s">
        <v>51</v>
      </c>
      <c r="K1103">
        <v>1</v>
      </c>
      <c r="L1103">
        <v>0</v>
      </c>
      <c r="M1103">
        <v>7.85</v>
      </c>
      <c r="N1103">
        <v>1</v>
      </c>
      <c r="O1103" t="str">
        <f>IF(financial_fraud_data[[#This Row],[Risk_Score]]&gt;8,"High",IF(financial_fraud_data[[#This Row],[Risk_Score]]&gt;5,"Med","Low"))</f>
        <v>Med</v>
      </c>
      <c r="P1103" t="str">
        <f>TEXT(financial_fraud_data[[#This Row],[Transaction_Date]],"MMM")</f>
        <v>Feb</v>
      </c>
      <c r="Q1103" t="str">
        <f>IF(financial_fraud_data[[#This Row],[Is_Fraud]]=1,"Yes","No")</f>
        <v>Yes</v>
      </c>
    </row>
    <row r="1104" spans="1:17" x14ac:dyDescent="0.2">
      <c r="A1104" t="s">
        <v>1583</v>
      </c>
      <c r="B1104" t="s">
        <v>322</v>
      </c>
      <c r="C1104" s="1">
        <v>45337.916666666664</v>
      </c>
      <c r="D1104">
        <v>44195.1</v>
      </c>
      <c r="E1104" t="s">
        <v>42</v>
      </c>
      <c r="F1104" t="s">
        <v>17</v>
      </c>
      <c r="G1104" t="s">
        <v>18</v>
      </c>
      <c r="H1104" t="s">
        <v>19</v>
      </c>
      <c r="I1104" t="s">
        <v>19</v>
      </c>
      <c r="J1104" t="s">
        <v>51</v>
      </c>
      <c r="K1104">
        <v>0</v>
      </c>
      <c r="L1104">
        <v>0</v>
      </c>
      <c r="M1104">
        <v>4.42</v>
      </c>
      <c r="N1104">
        <v>0</v>
      </c>
      <c r="O1104" t="str">
        <f>IF(financial_fraud_data[[#This Row],[Risk_Score]]&gt;8,"High",IF(financial_fraud_data[[#This Row],[Risk_Score]]&gt;5,"Med","Low"))</f>
        <v>Low</v>
      </c>
      <c r="P1104" t="str">
        <f>TEXT(financial_fraud_data[[#This Row],[Transaction_Date]],"MMM")</f>
        <v>Feb</v>
      </c>
      <c r="Q1104" t="str">
        <f>IF(financial_fraud_data[[#This Row],[Is_Fraud]]=1,"Yes","No")</f>
        <v>No</v>
      </c>
    </row>
    <row r="1105" spans="1:17" x14ac:dyDescent="0.2">
      <c r="A1105" t="s">
        <v>1584</v>
      </c>
      <c r="B1105" t="s">
        <v>986</v>
      </c>
      <c r="C1105" s="1">
        <v>45337.958333333336</v>
      </c>
      <c r="D1105">
        <v>46391.23</v>
      </c>
      <c r="E1105" t="s">
        <v>16</v>
      </c>
      <c r="F1105" t="s">
        <v>50</v>
      </c>
      <c r="G1105" t="s">
        <v>18</v>
      </c>
      <c r="H1105" t="s">
        <v>23</v>
      </c>
      <c r="I1105" t="s">
        <v>23</v>
      </c>
      <c r="J1105" t="s">
        <v>20</v>
      </c>
      <c r="K1105">
        <v>0</v>
      </c>
      <c r="L1105">
        <v>4</v>
      </c>
      <c r="M1105">
        <v>10.64</v>
      </c>
      <c r="N1105">
        <v>1</v>
      </c>
      <c r="O1105" t="str">
        <f>IF(financial_fraud_data[[#This Row],[Risk_Score]]&gt;8,"High",IF(financial_fraud_data[[#This Row],[Risk_Score]]&gt;5,"Med","Low"))</f>
        <v>High</v>
      </c>
      <c r="P1105" t="str">
        <f>TEXT(financial_fraud_data[[#This Row],[Transaction_Date]],"MMM")</f>
        <v>Feb</v>
      </c>
      <c r="Q1105" t="str">
        <f>IF(financial_fraud_data[[#This Row],[Is_Fraud]]=1,"Yes","No")</f>
        <v>Yes</v>
      </c>
    </row>
    <row r="1106" spans="1:17" x14ac:dyDescent="0.2">
      <c r="A1106" t="s">
        <v>1585</v>
      </c>
      <c r="B1106" t="s">
        <v>345</v>
      </c>
      <c r="C1106" s="1">
        <v>45338</v>
      </c>
      <c r="D1106">
        <v>49745.65</v>
      </c>
      <c r="E1106" t="s">
        <v>34</v>
      </c>
      <c r="F1106" t="s">
        <v>50</v>
      </c>
      <c r="G1106" t="s">
        <v>56</v>
      </c>
      <c r="H1106" t="s">
        <v>23</v>
      </c>
      <c r="I1106" t="s">
        <v>23</v>
      </c>
      <c r="J1106" t="s">
        <v>20</v>
      </c>
      <c r="K1106">
        <v>1</v>
      </c>
      <c r="L1106">
        <v>4</v>
      </c>
      <c r="M1106">
        <v>12.97</v>
      </c>
      <c r="N1106">
        <v>1</v>
      </c>
      <c r="O1106" t="str">
        <f>IF(financial_fraud_data[[#This Row],[Risk_Score]]&gt;8,"High",IF(financial_fraud_data[[#This Row],[Risk_Score]]&gt;5,"Med","Low"))</f>
        <v>High</v>
      </c>
      <c r="P1106" t="str">
        <f>TEXT(financial_fraud_data[[#This Row],[Transaction_Date]],"MMM")</f>
        <v>Feb</v>
      </c>
      <c r="Q1106" t="str">
        <f>IF(financial_fraud_data[[#This Row],[Is_Fraud]]=1,"Yes","No")</f>
        <v>Yes</v>
      </c>
    </row>
    <row r="1107" spans="1:17" x14ac:dyDescent="0.2">
      <c r="A1107" t="s">
        <v>1586</v>
      </c>
      <c r="B1107" t="s">
        <v>464</v>
      </c>
      <c r="C1107" s="1">
        <v>45338.041666666664</v>
      </c>
      <c r="D1107">
        <v>8736.07</v>
      </c>
      <c r="E1107" t="s">
        <v>80</v>
      </c>
      <c r="F1107" t="s">
        <v>17</v>
      </c>
      <c r="G1107" t="s">
        <v>18</v>
      </c>
      <c r="H1107" t="s">
        <v>36</v>
      </c>
      <c r="I1107" t="s">
        <v>36</v>
      </c>
      <c r="J1107" t="s">
        <v>37</v>
      </c>
      <c r="K1107">
        <v>0</v>
      </c>
      <c r="L1107">
        <v>1</v>
      </c>
      <c r="M1107">
        <v>2.37</v>
      </c>
      <c r="N1107">
        <v>0</v>
      </c>
      <c r="O1107" t="str">
        <f>IF(financial_fraud_data[[#This Row],[Risk_Score]]&gt;8,"High",IF(financial_fraud_data[[#This Row],[Risk_Score]]&gt;5,"Med","Low"))</f>
        <v>Low</v>
      </c>
      <c r="P1107" t="str">
        <f>TEXT(financial_fraud_data[[#This Row],[Transaction_Date]],"MMM")</f>
        <v>Feb</v>
      </c>
      <c r="Q1107" t="str">
        <f>IF(financial_fraud_data[[#This Row],[Is_Fraud]]=1,"Yes","No")</f>
        <v>No</v>
      </c>
    </row>
    <row r="1108" spans="1:17" x14ac:dyDescent="0.2">
      <c r="A1108" t="s">
        <v>1587</v>
      </c>
      <c r="B1108" t="s">
        <v>197</v>
      </c>
      <c r="C1108" s="1">
        <v>45338.083333333336</v>
      </c>
      <c r="D1108">
        <v>19842.29</v>
      </c>
      <c r="E1108" t="s">
        <v>34</v>
      </c>
      <c r="F1108" t="s">
        <v>27</v>
      </c>
      <c r="G1108" t="s">
        <v>18</v>
      </c>
      <c r="H1108" t="s">
        <v>24</v>
      </c>
      <c r="I1108" t="s">
        <v>24</v>
      </c>
      <c r="J1108" t="s">
        <v>20</v>
      </c>
      <c r="K1108">
        <v>0</v>
      </c>
      <c r="L1108">
        <v>1</v>
      </c>
      <c r="M1108">
        <v>3.48</v>
      </c>
      <c r="N1108">
        <v>0</v>
      </c>
      <c r="O1108" t="str">
        <f>IF(financial_fraud_data[[#This Row],[Risk_Score]]&gt;8,"High",IF(financial_fraud_data[[#This Row],[Risk_Score]]&gt;5,"Med","Low"))</f>
        <v>Low</v>
      </c>
      <c r="P1108" t="str">
        <f>TEXT(financial_fraud_data[[#This Row],[Transaction_Date]],"MMM")</f>
        <v>Feb</v>
      </c>
      <c r="Q1108" t="str">
        <f>IF(financial_fraud_data[[#This Row],[Is_Fraud]]=1,"Yes","No")</f>
        <v>No</v>
      </c>
    </row>
    <row r="1109" spans="1:17" x14ac:dyDescent="0.2">
      <c r="A1109" t="s">
        <v>1588</v>
      </c>
      <c r="B1109" t="s">
        <v>1349</v>
      </c>
      <c r="C1109" s="1">
        <v>45338.125</v>
      </c>
      <c r="D1109">
        <v>37924.01</v>
      </c>
      <c r="E1109" t="s">
        <v>34</v>
      </c>
      <c r="F1109" t="s">
        <v>47</v>
      </c>
      <c r="G1109" t="s">
        <v>56</v>
      </c>
      <c r="H1109" t="s">
        <v>19</v>
      </c>
      <c r="I1109" t="s">
        <v>29</v>
      </c>
      <c r="J1109" t="s">
        <v>51</v>
      </c>
      <c r="K1109">
        <v>0</v>
      </c>
      <c r="L1109">
        <v>0</v>
      </c>
      <c r="M1109">
        <v>4.79</v>
      </c>
      <c r="N1109">
        <v>0</v>
      </c>
      <c r="O1109" t="str">
        <f>IF(financial_fraud_data[[#This Row],[Risk_Score]]&gt;8,"High",IF(financial_fraud_data[[#This Row],[Risk_Score]]&gt;5,"Med","Low"))</f>
        <v>Low</v>
      </c>
      <c r="P1109" t="str">
        <f>TEXT(financial_fraud_data[[#This Row],[Transaction_Date]],"MMM")</f>
        <v>Feb</v>
      </c>
      <c r="Q1109" t="str">
        <f>IF(financial_fraud_data[[#This Row],[Is_Fraud]]=1,"Yes","No")</f>
        <v>No</v>
      </c>
    </row>
    <row r="1110" spans="1:17" x14ac:dyDescent="0.2">
      <c r="A1110" t="s">
        <v>1589</v>
      </c>
      <c r="B1110" t="s">
        <v>1590</v>
      </c>
      <c r="C1110" s="1">
        <v>45338.166666666664</v>
      </c>
      <c r="D1110">
        <v>34816.230000000003</v>
      </c>
      <c r="E1110" t="s">
        <v>80</v>
      </c>
      <c r="F1110" t="s">
        <v>17</v>
      </c>
      <c r="G1110" t="s">
        <v>56</v>
      </c>
      <c r="H1110" t="s">
        <v>36</v>
      </c>
      <c r="I1110" t="s">
        <v>24</v>
      </c>
      <c r="J1110" t="s">
        <v>37</v>
      </c>
      <c r="K1110">
        <v>0</v>
      </c>
      <c r="L1110">
        <v>2</v>
      </c>
      <c r="M1110">
        <v>7.48</v>
      </c>
      <c r="N1110">
        <v>1</v>
      </c>
      <c r="O1110" t="str">
        <f>IF(financial_fraud_data[[#This Row],[Risk_Score]]&gt;8,"High",IF(financial_fraud_data[[#This Row],[Risk_Score]]&gt;5,"Med","Low"))</f>
        <v>Med</v>
      </c>
      <c r="P1110" t="str">
        <f>TEXT(financial_fraud_data[[#This Row],[Transaction_Date]],"MMM")</f>
        <v>Feb</v>
      </c>
      <c r="Q1110" t="str">
        <f>IF(financial_fraud_data[[#This Row],[Is_Fraud]]=1,"Yes","No")</f>
        <v>Yes</v>
      </c>
    </row>
    <row r="1111" spans="1:17" x14ac:dyDescent="0.2">
      <c r="A1111" t="s">
        <v>1591</v>
      </c>
      <c r="B1111" t="s">
        <v>1226</v>
      </c>
      <c r="C1111" s="1">
        <v>45338.208333333336</v>
      </c>
      <c r="D1111">
        <v>7737.1</v>
      </c>
      <c r="E1111" t="s">
        <v>80</v>
      </c>
      <c r="F1111" t="s">
        <v>50</v>
      </c>
      <c r="G1111" t="s">
        <v>35</v>
      </c>
      <c r="H1111" t="s">
        <v>36</v>
      </c>
      <c r="I1111" t="s">
        <v>19</v>
      </c>
      <c r="J1111" t="s">
        <v>20</v>
      </c>
      <c r="K1111">
        <v>0</v>
      </c>
      <c r="L1111">
        <v>1</v>
      </c>
      <c r="M1111">
        <v>3.27</v>
      </c>
      <c r="N1111">
        <v>0</v>
      </c>
      <c r="O1111" t="str">
        <f>IF(financial_fraud_data[[#This Row],[Risk_Score]]&gt;8,"High",IF(financial_fraud_data[[#This Row],[Risk_Score]]&gt;5,"Med","Low"))</f>
        <v>Low</v>
      </c>
      <c r="P1111" t="str">
        <f>TEXT(financial_fraud_data[[#This Row],[Transaction_Date]],"MMM")</f>
        <v>Feb</v>
      </c>
      <c r="Q1111" t="str">
        <f>IF(financial_fraud_data[[#This Row],[Is_Fraud]]=1,"Yes","No")</f>
        <v>No</v>
      </c>
    </row>
    <row r="1112" spans="1:17" x14ac:dyDescent="0.2">
      <c r="A1112" t="s">
        <v>1592</v>
      </c>
      <c r="B1112" t="s">
        <v>917</v>
      </c>
      <c r="C1112" s="1">
        <v>45338.25</v>
      </c>
      <c r="D1112">
        <v>40800.86</v>
      </c>
      <c r="E1112" t="s">
        <v>80</v>
      </c>
      <c r="F1112" t="s">
        <v>50</v>
      </c>
      <c r="G1112" t="s">
        <v>28</v>
      </c>
      <c r="H1112" t="s">
        <v>24</v>
      </c>
      <c r="I1112" t="s">
        <v>29</v>
      </c>
      <c r="J1112" t="s">
        <v>20</v>
      </c>
      <c r="K1112">
        <v>0</v>
      </c>
      <c r="L1112">
        <v>1</v>
      </c>
      <c r="M1112">
        <v>6.58</v>
      </c>
      <c r="N1112">
        <v>1</v>
      </c>
      <c r="O1112" t="str">
        <f>IF(financial_fraud_data[[#This Row],[Risk_Score]]&gt;8,"High",IF(financial_fraud_data[[#This Row],[Risk_Score]]&gt;5,"Med","Low"))</f>
        <v>Med</v>
      </c>
      <c r="P1112" t="str">
        <f>TEXT(financial_fraud_data[[#This Row],[Transaction_Date]],"MMM")</f>
        <v>Feb</v>
      </c>
      <c r="Q1112" t="str">
        <f>IF(financial_fraud_data[[#This Row],[Is_Fraud]]=1,"Yes","No")</f>
        <v>Yes</v>
      </c>
    </row>
    <row r="1113" spans="1:17" x14ac:dyDescent="0.2">
      <c r="A1113" t="s">
        <v>1593</v>
      </c>
      <c r="B1113" t="s">
        <v>53</v>
      </c>
      <c r="C1113" s="1">
        <v>45338.291666666664</v>
      </c>
      <c r="D1113">
        <v>11260.81</v>
      </c>
      <c r="E1113" t="s">
        <v>80</v>
      </c>
      <c r="F1113" t="s">
        <v>50</v>
      </c>
      <c r="G1113" t="s">
        <v>65</v>
      </c>
      <c r="H1113" t="s">
        <v>19</v>
      </c>
      <c r="I1113" t="s">
        <v>29</v>
      </c>
      <c r="J1113" t="s">
        <v>51</v>
      </c>
      <c r="K1113">
        <v>1</v>
      </c>
      <c r="L1113">
        <v>2</v>
      </c>
      <c r="M1113">
        <v>7.13</v>
      </c>
      <c r="N1113">
        <v>1</v>
      </c>
      <c r="O1113" t="str">
        <f>IF(financial_fraud_data[[#This Row],[Risk_Score]]&gt;8,"High",IF(financial_fraud_data[[#This Row],[Risk_Score]]&gt;5,"Med","Low"))</f>
        <v>Med</v>
      </c>
      <c r="P1113" t="str">
        <f>TEXT(financial_fraud_data[[#This Row],[Transaction_Date]],"MMM")</f>
        <v>Feb</v>
      </c>
      <c r="Q1113" t="str">
        <f>IF(financial_fraud_data[[#This Row],[Is_Fraud]]=1,"Yes","No")</f>
        <v>Yes</v>
      </c>
    </row>
    <row r="1114" spans="1:17" x14ac:dyDescent="0.2">
      <c r="A1114" t="s">
        <v>1594</v>
      </c>
      <c r="B1114" t="s">
        <v>1595</v>
      </c>
      <c r="C1114" s="1">
        <v>45338.333333333336</v>
      </c>
      <c r="D1114">
        <v>11229.69</v>
      </c>
      <c r="E1114" t="s">
        <v>16</v>
      </c>
      <c r="F1114" t="s">
        <v>27</v>
      </c>
      <c r="G1114" t="s">
        <v>65</v>
      </c>
      <c r="H1114" t="s">
        <v>36</v>
      </c>
      <c r="I1114" t="s">
        <v>23</v>
      </c>
      <c r="J1114" t="s">
        <v>37</v>
      </c>
      <c r="K1114">
        <v>0</v>
      </c>
      <c r="L1114">
        <v>2</v>
      </c>
      <c r="M1114">
        <v>5.12</v>
      </c>
      <c r="N1114">
        <v>1</v>
      </c>
      <c r="O1114" t="str">
        <f>IF(financial_fraud_data[[#This Row],[Risk_Score]]&gt;8,"High",IF(financial_fraud_data[[#This Row],[Risk_Score]]&gt;5,"Med","Low"))</f>
        <v>Med</v>
      </c>
      <c r="P1114" t="str">
        <f>TEXT(financial_fraud_data[[#This Row],[Transaction_Date]],"MMM")</f>
        <v>Feb</v>
      </c>
      <c r="Q1114" t="str">
        <f>IF(financial_fraud_data[[#This Row],[Is_Fraud]]=1,"Yes","No")</f>
        <v>Yes</v>
      </c>
    </row>
    <row r="1115" spans="1:17" x14ac:dyDescent="0.2">
      <c r="A1115" t="s">
        <v>1596</v>
      </c>
      <c r="B1115" t="s">
        <v>1378</v>
      </c>
      <c r="C1115" s="1">
        <v>45338.375</v>
      </c>
      <c r="D1115">
        <v>26871.87</v>
      </c>
      <c r="E1115" t="s">
        <v>16</v>
      </c>
      <c r="F1115" t="s">
        <v>50</v>
      </c>
      <c r="G1115" t="s">
        <v>18</v>
      </c>
      <c r="H1115" t="s">
        <v>24</v>
      </c>
      <c r="I1115" t="s">
        <v>19</v>
      </c>
      <c r="J1115" t="s">
        <v>20</v>
      </c>
      <c r="K1115">
        <v>0</v>
      </c>
      <c r="L1115">
        <v>4</v>
      </c>
      <c r="M1115">
        <v>9.69</v>
      </c>
      <c r="N1115">
        <v>1</v>
      </c>
      <c r="O1115" t="str">
        <f>IF(financial_fraud_data[[#This Row],[Risk_Score]]&gt;8,"High",IF(financial_fraud_data[[#This Row],[Risk_Score]]&gt;5,"Med","Low"))</f>
        <v>High</v>
      </c>
      <c r="P1115" t="str">
        <f>TEXT(financial_fraud_data[[#This Row],[Transaction_Date]],"MMM")</f>
        <v>Feb</v>
      </c>
      <c r="Q1115" t="str">
        <f>IF(financial_fraud_data[[#This Row],[Is_Fraud]]=1,"Yes","No")</f>
        <v>Yes</v>
      </c>
    </row>
    <row r="1116" spans="1:17" x14ac:dyDescent="0.2">
      <c r="A1116" t="s">
        <v>1597</v>
      </c>
      <c r="B1116" t="s">
        <v>671</v>
      </c>
      <c r="C1116" s="1">
        <v>45338.416666666664</v>
      </c>
      <c r="D1116">
        <v>29667.35</v>
      </c>
      <c r="E1116" t="s">
        <v>16</v>
      </c>
      <c r="F1116" t="s">
        <v>17</v>
      </c>
      <c r="G1116" t="s">
        <v>35</v>
      </c>
      <c r="H1116" t="s">
        <v>19</v>
      </c>
      <c r="I1116" t="s">
        <v>23</v>
      </c>
      <c r="J1116" t="s">
        <v>20</v>
      </c>
      <c r="K1116">
        <v>0</v>
      </c>
      <c r="L1116">
        <v>1</v>
      </c>
      <c r="M1116">
        <v>5.47</v>
      </c>
      <c r="N1116">
        <v>1</v>
      </c>
      <c r="O1116" t="str">
        <f>IF(financial_fraud_data[[#This Row],[Risk_Score]]&gt;8,"High",IF(financial_fraud_data[[#This Row],[Risk_Score]]&gt;5,"Med","Low"))</f>
        <v>Med</v>
      </c>
      <c r="P1116" t="str">
        <f>TEXT(financial_fraud_data[[#This Row],[Transaction_Date]],"MMM")</f>
        <v>Feb</v>
      </c>
      <c r="Q1116" t="str">
        <f>IF(financial_fraud_data[[#This Row],[Is_Fraud]]=1,"Yes","No")</f>
        <v>Yes</v>
      </c>
    </row>
    <row r="1117" spans="1:17" x14ac:dyDescent="0.2">
      <c r="A1117" t="s">
        <v>1598</v>
      </c>
      <c r="B1117" t="s">
        <v>1243</v>
      </c>
      <c r="C1117" s="1">
        <v>45338.458333333336</v>
      </c>
      <c r="D1117">
        <v>29025.31</v>
      </c>
      <c r="E1117" t="s">
        <v>16</v>
      </c>
      <c r="F1117" t="s">
        <v>17</v>
      </c>
      <c r="G1117" t="s">
        <v>18</v>
      </c>
      <c r="H1117" t="s">
        <v>29</v>
      </c>
      <c r="I1117" t="s">
        <v>23</v>
      </c>
      <c r="J1117" t="s">
        <v>51</v>
      </c>
      <c r="K1117">
        <v>0</v>
      </c>
      <c r="L1117">
        <v>3</v>
      </c>
      <c r="M1117">
        <v>8.4</v>
      </c>
      <c r="N1117">
        <v>1</v>
      </c>
      <c r="O1117" t="str">
        <f>IF(financial_fraud_data[[#This Row],[Risk_Score]]&gt;8,"High",IF(financial_fraud_data[[#This Row],[Risk_Score]]&gt;5,"Med","Low"))</f>
        <v>High</v>
      </c>
      <c r="P1117" t="str">
        <f>TEXT(financial_fraud_data[[#This Row],[Transaction_Date]],"MMM")</f>
        <v>Feb</v>
      </c>
      <c r="Q1117" t="str">
        <f>IF(financial_fraud_data[[#This Row],[Is_Fraud]]=1,"Yes","No")</f>
        <v>Yes</v>
      </c>
    </row>
    <row r="1118" spans="1:17" x14ac:dyDescent="0.2">
      <c r="A1118" t="s">
        <v>1599</v>
      </c>
      <c r="B1118" t="s">
        <v>835</v>
      </c>
      <c r="C1118" s="1">
        <v>45338.5</v>
      </c>
      <c r="D1118">
        <v>4619.7700000000004</v>
      </c>
      <c r="E1118" t="s">
        <v>42</v>
      </c>
      <c r="F1118" t="s">
        <v>50</v>
      </c>
      <c r="G1118" t="s">
        <v>65</v>
      </c>
      <c r="H1118" t="s">
        <v>23</v>
      </c>
      <c r="I1118" t="s">
        <v>36</v>
      </c>
      <c r="J1118" t="s">
        <v>37</v>
      </c>
      <c r="K1118">
        <v>0</v>
      </c>
      <c r="L1118">
        <v>3</v>
      </c>
      <c r="M1118">
        <v>5.96</v>
      </c>
      <c r="N1118">
        <v>1</v>
      </c>
      <c r="O1118" t="str">
        <f>IF(financial_fraud_data[[#This Row],[Risk_Score]]&gt;8,"High",IF(financial_fraud_data[[#This Row],[Risk_Score]]&gt;5,"Med","Low"))</f>
        <v>Med</v>
      </c>
      <c r="P1118" t="str">
        <f>TEXT(financial_fraud_data[[#This Row],[Transaction_Date]],"MMM")</f>
        <v>Feb</v>
      </c>
      <c r="Q1118" t="str">
        <f>IF(financial_fraud_data[[#This Row],[Is_Fraud]]=1,"Yes","No")</f>
        <v>Yes</v>
      </c>
    </row>
    <row r="1119" spans="1:17" x14ac:dyDescent="0.2">
      <c r="A1119" t="s">
        <v>1600</v>
      </c>
      <c r="B1119" t="s">
        <v>872</v>
      </c>
      <c r="C1119" s="1">
        <v>45338.541666666664</v>
      </c>
      <c r="D1119">
        <v>43879.17</v>
      </c>
      <c r="E1119" t="s">
        <v>16</v>
      </c>
      <c r="F1119" t="s">
        <v>17</v>
      </c>
      <c r="G1119" t="s">
        <v>56</v>
      </c>
      <c r="H1119" t="s">
        <v>24</v>
      </c>
      <c r="I1119" t="s">
        <v>23</v>
      </c>
      <c r="J1119" t="s">
        <v>37</v>
      </c>
      <c r="K1119">
        <v>0</v>
      </c>
      <c r="L1119">
        <v>0</v>
      </c>
      <c r="M1119">
        <v>5.39</v>
      </c>
      <c r="N1119">
        <v>1</v>
      </c>
      <c r="O1119" t="str">
        <f>IF(financial_fraud_data[[#This Row],[Risk_Score]]&gt;8,"High",IF(financial_fraud_data[[#This Row],[Risk_Score]]&gt;5,"Med","Low"))</f>
        <v>Med</v>
      </c>
      <c r="P1119" t="str">
        <f>TEXT(financial_fraud_data[[#This Row],[Transaction_Date]],"MMM")</f>
        <v>Feb</v>
      </c>
      <c r="Q1119" t="str">
        <f>IF(financial_fraud_data[[#This Row],[Is_Fraud]]=1,"Yes","No")</f>
        <v>Yes</v>
      </c>
    </row>
    <row r="1120" spans="1:17" x14ac:dyDescent="0.2">
      <c r="A1120" t="s">
        <v>1601</v>
      </c>
      <c r="B1120" t="s">
        <v>219</v>
      </c>
      <c r="C1120" s="1">
        <v>45338.583333333336</v>
      </c>
      <c r="D1120">
        <v>13316.72</v>
      </c>
      <c r="E1120" t="s">
        <v>80</v>
      </c>
      <c r="F1120" t="s">
        <v>50</v>
      </c>
      <c r="G1120" t="s">
        <v>28</v>
      </c>
      <c r="H1120" t="s">
        <v>23</v>
      </c>
      <c r="I1120" t="s">
        <v>24</v>
      </c>
      <c r="J1120" t="s">
        <v>37</v>
      </c>
      <c r="K1120">
        <v>0</v>
      </c>
      <c r="L1120">
        <v>1</v>
      </c>
      <c r="M1120">
        <v>3.83</v>
      </c>
      <c r="N1120">
        <v>0</v>
      </c>
      <c r="O1120" t="str">
        <f>IF(financial_fraud_data[[#This Row],[Risk_Score]]&gt;8,"High",IF(financial_fraud_data[[#This Row],[Risk_Score]]&gt;5,"Med","Low"))</f>
        <v>Low</v>
      </c>
      <c r="P1120" t="str">
        <f>TEXT(financial_fraud_data[[#This Row],[Transaction_Date]],"MMM")</f>
        <v>Feb</v>
      </c>
      <c r="Q1120" t="str">
        <f>IF(financial_fraud_data[[#This Row],[Is_Fraud]]=1,"Yes","No")</f>
        <v>No</v>
      </c>
    </row>
    <row r="1121" spans="1:17" x14ac:dyDescent="0.2">
      <c r="A1121" t="s">
        <v>1602</v>
      </c>
      <c r="B1121" t="s">
        <v>601</v>
      </c>
      <c r="C1121" s="1">
        <v>45338.625</v>
      </c>
      <c r="D1121">
        <v>6519.27</v>
      </c>
      <c r="E1121" t="s">
        <v>34</v>
      </c>
      <c r="F1121" t="s">
        <v>50</v>
      </c>
      <c r="G1121" t="s">
        <v>35</v>
      </c>
      <c r="H1121" t="s">
        <v>29</v>
      </c>
      <c r="I1121" t="s">
        <v>29</v>
      </c>
      <c r="J1121" t="s">
        <v>37</v>
      </c>
      <c r="K1121">
        <v>0</v>
      </c>
      <c r="L1121">
        <v>3</v>
      </c>
      <c r="M1121">
        <v>5.15</v>
      </c>
      <c r="N1121">
        <v>1</v>
      </c>
      <c r="O1121" t="str">
        <f>IF(financial_fraud_data[[#This Row],[Risk_Score]]&gt;8,"High",IF(financial_fraud_data[[#This Row],[Risk_Score]]&gt;5,"Med","Low"))</f>
        <v>Med</v>
      </c>
      <c r="P1121" t="str">
        <f>TEXT(financial_fraud_data[[#This Row],[Transaction_Date]],"MMM")</f>
        <v>Feb</v>
      </c>
      <c r="Q1121" t="str">
        <f>IF(financial_fraud_data[[#This Row],[Is_Fraud]]=1,"Yes","No")</f>
        <v>Yes</v>
      </c>
    </row>
    <row r="1122" spans="1:17" x14ac:dyDescent="0.2">
      <c r="A1122" t="s">
        <v>1603</v>
      </c>
      <c r="B1122" t="s">
        <v>55</v>
      </c>
      <c r="C1122" s="1">
        <v>45338.666666666664</v>
      </c>
      <c r="D1122">
        <v>44442.97</v>
      </c>
      <c r="E1122" t="s">
        <v>16</v>
      </c>
      <c r="F1122" t="s">
        <v>47</v>
      </c>
      <c r="G1122" t="s">
        <v>56</v>
      </c>
      <c r="H1122" t="s">
        <v>36</v>
      </c>
      <c r="I1122" t="s">
        <v>23</v>
      </c>
      <c r="J1122" t="s">
        <v>51</v>
      </c>
      <c r="K1122">
        <v>0</v>
      </c>
      <c r="L1122">
        <v>1</v>
      </c>
      <c r="M1122">
        <v>6.94</v>
      </c>
      <c r="N1122">
        <v>1</v>
      </c>
      <c r="O1122" t="str">
        <f>IF(financial_fraud_data[[#This Row],[Risk_Score]]&gt;8,"High",IF(financial_fraud_data[[#This Row],[Risk_Score]]&gt;5,"Med","Low"))</f>
        <v>Med</v>
      </c>
      <c r="P1122" t="str">
        <f>TEXT(financial_fraud_data[[#This Row],[Transaction_Date]],"MMM")</f>
        <v>Feb</v>
      </c>
      <c r="Q1122" t="str">
        <f>IF(financial_fraud_data[[#This Row],[Is_Fraud]]=1,"Yes","No")</f>
        <v>Yes</v>
      </c>
    </row>
    <row r="1123" spans="1:17" x14ac:dyDescent="0.2">
      <c r="A1123" t="s">
        <v>1604</v>
      </c>
      <c r="B1123" t="s">
        <v>621</v>
      </c>
      <c r="C1123" s="1">
        <v>45338.708333333336</v>
      </c>
      <c r="D1123">
        <v>47784.79</v>
      </c>
      <c r="E1123" t="s">
        <v>42</v>
      </c>
      <c r="F1123" t="s">
        <v>27</v>
      </c>
      <c r="G1123" t="s">
        <v>28</v>
      </c>
      <c r="H1123" t="s">
        <v>36</v>
      </c>
      <c r="I1123" t="s">
        <v>24</v>
      </c>
      <c r="J1123" t="s">
        <v>20</v>
      </c>
      <c r="K1123">
        <v>0</v>
      </c>
      <c r="L1123">
        <v>1</v>
      </c>
      <c r="M1123">
        <v>7.28</v>
      </c>
      <c r="N1123">
        <v>1</v>
      </c>
      <c r="O1123" t="str">
        <f>IF(financial_fraud_data[[#This Row],[Risk_Score]]&gt;8,"High",IF(financial_fraud_data[[#This Row],[Risk_Score]]&gt;5,"Med","Low"))</f>
        <v>Med</v>
      </c>
      <c r="P1123" t="str">
        <f>TEXT(financial_fraud_data[[#This Row],[Transaction_Date]],"MMM")</f>
        <v>Feb</v>
      </c>
      <c r="Q1123" t="str">
        <f>IF(financial_fraud_data[[#This Row],[Is_Fraud]]=1,"Yes","No")</f>
        <v>Yes</v>
      </c>
    </row>
    <row r="1124" spans="1:17" x14ac:dyDescent="0.2">
      <c r="A1124" t="s">
        <v>1605</v>
      </c>
      <c r="B1124" t="s">
        <v>79</v>
      </c>
      <c r="C1124" s="1">
        <v>45338.75</v>
      </c>
      <c r="D1124">
        <v>43113.27</v>
      </c>
      <c r="E1124" t="s">
        <v>80</v>
      </c>
      <c r="F1124" t="s">
        <v>27</v>
      </c>
      <c r="G1124" t="s">
        <v>35</v>
      </c>
      <c r="H1124" t="s">
        <v>19</v>
      </c>
      <c r="I1124" t="s">
        <v>19</v>
      </c>
      <c r="J1124" t="s">
        <v>20</v>
      </c>
      <c r="K1124">
        <v>0</v>
      </c>
      <c r="L1124">
        <v>3</v>
      </c>
      <c r="M1124">
        <v>8.81</v>
      </c>
      <c r="N1124">
        <v>1</v>
      </c>
      <c r="O1124" t="str">
        <f>IF(financial_fraud_data[[#This Row],[Risk_Score]]&gt;8,"High",IF(financial_fraud_data[[#This Row],[Risk_Score]]&gt;5,"Med","Low"))</f>
        <v>High</v>
      </c>
      <c r="P1124" t="str">
        <f>TEXT(financial_fraud_data[[#This Row],[Transaction_Date]],"MMM")</f>
        <v>Feb</v>
      </c>
      <c r="Q1124" t="str">
        <f>IF(financial_fraud_data[[#This Row],[Is_Fraud]]=1,"Yes","No")</f>
        <v>Yes</v>
      </c>
    </row>
    <row r="1125" spans="1:17" x14ac:dyDescent="0.2">
      <c r="A1125" t="s">
        <v>1606</v>
      </c>
      <c r="B1125" t="s">
        <v>470</v>
      </c>
      <c r="C1125" s="1">
        <v>45338.791666666664</v>
      </c>
      <c r="D1125">
        <v>40485.33</v>
      </c>
      <c r="E1125" t="s">
        <v>34</v>
      </c>
      <c r="F1125" t="s">
        <v>47</v>
      </c>
      <c r="G1125" t="s">
        <v>35</v>
      </c>
      <c r="H1125" t="s">
        <v>24</v>
      </c>
      <c r="I1125" t="s">
        <v>29</v>
      </c>
      <c r="J1125" t="s">
        <v>37</v>
      </c>
      <c r="K1125">
        <v>0</v>
      </c>
      <c r="L1125">
        <v>1</v>
      </c>
      <c r="M1125">
        <v>6.55</v>
      </c>
      <c r="N1125">
        <v>1</v>
      </c>
      <c r="O1125" t="str">
        <f>IF(financial_fraud_data[[#This Row],[Risk_Score]]&gt;8,"High",IF(financial_fraud_data[[#This Row],[Risk_Score]]&gt;5,"Med","Low"))</f>
        <v>Med</v>
      </c>
      <c r="P1125" t="str">
        <f>TEXT(financial_fraud_data[[#This Row],[Transaction_Date]],"MMM")</f>
        <v>Feb</v>
      </c>
      <c r="Q1125" t="str">
        <f>IF(financial_fraud_data[[#This Row],[Is_Fraud]]=1,"Yes","No")</f>
        <v>Yes</v>
      </c>
    </row>
    <row r="1126" spans="1:17" x14ac:dyDescent="0.2">
      <c r="A1126" t="s">
        <v>1607</v>
      </c>
      <c r="B1126" t="s">
        <v>160</v>
      </c>
      <c r="C1126" s="1">
        <v>45338.833333333336</v>
      </c>
      <c r="D1126">
        <v>32779.339999999997</v>
      </c>
      <c r="E1126" t="s">
        <v>34</v>
      </c>
      <c r="F1126" t="s">
        <v>47</v>
      </c>
      <c r="G1126" t="s">
        <v>65</v>
      </c>
      <c r="H1126" t="s">
        <v>24</v>
      </c>
      <c r="I1126" t="s">
        <v>19</v>
      </c>
      <c r="J1126" t="s">
        <v>37</v>
      </c>
      <c r="K1126">
        <v>0</v>
      </c>
      <c r="L1126">
        <v>2</v>
      </c>
      <c r="M1126">
        <v>7.28</v>
      </c>
      <c r="N1126">
        <v>1</v>
      </c>
      <c r="O1126" t="str">
        <f>IF(financial_fraud_data[[#This Row],[Risk_Score]]&gt;8,"High",IF(financial_fraud_data[[#This Row],[Risk_Score]]&gt;5,"Med","Low"))</f>
        <v>Med</v>
      </c>
      <c r="P1126" t="str">
        <f>TEXT(financial_fraud_data[[#This Row],[Transaction_Date]],"MMM")</f>
        <v>Feb</v>
      </c>
      <c r="Q1126" t="str">
        <f>IF(financial_fraud_data[[#This Row],[Is_Fraud]]=1,"Yes","No")</f>
        <v>Yes</v>
      </c>
    </row>
    <row r="1127" spans="1:17" x14ac:dyDescent="0.2">
      <c r="A1127" t="s">
        <v>1608</v>
      </c>
      <c r="B1127" t="s">
        <v>1219</v>
      </c>
      <c r="C1127" s="1">
        <v>45338.875</v>
      </c>
      <c r="D1127">
        <v>27565.33</v>
      </c>
      <c r="E1127" t="s">
        <v>16</v>
      </c>
      <c r="F1127" t="s">
        <v>27</v>
      </c>
      <c r="G1127" t="s">
        <v>56</v>
      </c>
      <c r="H1127" t="s">
        <v>19</v>
      </c>
      <c r="I1127" t="s">
        <v>24</v>
      </c>
      <c r="J1127" t="s">
        <v>37</v>
      </c>
      <c r="K1127">
        <v>0</v>
      </c>
      <c r="L1127">
        <v>0</v>
      </c>
      <c r="M1127">
        <v>3.76</v>
      </c>
      <c r="N1127">
        <v>0</v>
      </c>
      <c r="O1127" t="str">
        <f>IF(financial_fraud_data[[#This Row],[Risk_Score]]&gt;8,"High",IF(financial_fraud_data[[#This Row],[Risk_Score]]&gt;5,"Med","Low"))</f>
        <v>Low</v>
      </c>
      <c r="P1127" t="str">
        <f>TEXT(financial_fraud_data[[#This Row],[Transaction_Date]],"MMM")</f>
        <v>Feb</v>
      </c>
      <c r="Q1127" t="str">
        <f>IF(financial_fraud_data[[#This Row],[Is_Fraud]]=1,"Yes","No")</f>
        <v>No</v>
      </c>
    </row>
    <row r="1128" spans="1:17" x14ac:dyDescent="0.2">
      <c r="A1128" t="s">
        <v>1609</v>
      </c>
      <c r="B1128" t="s">
        <v>860</v>
      </c>
      <c r="C1128" s="1">
        <v>45338.916666666664</v>
      </c>
      <c r="D1128">
        <v>4394.99</v>
      </c>
      <c r="E1128" t="s">
        <v>34</v>
      </c>
      <c r="F1128" t="s">
        <v>50</v>
      </c>
      <c r="G1128" t="s">
        <v>35</v>
      </c>
      <c r="H1128" t="s">
        <v>23</v>
      </c>
      <c r="I1128" t="s">
        <v>19</v>
      </c>
      <c r="J1128" t="s">
        <v>20</v>
      </c>
      <c r="K1128">
        <v>0</v>
      </c>
      <c r="L1128">
        <v>4</v>
      </c>
      <c r="M1128">
        <v>7.44</v>
      </c>
      <c r="N1128">
        <v>1</v>
      </c>
      <c r="O1128" t="str">
        <f>IF(financial_fraud_data[[#This Row],[Risk_Score]]&gt;8,"High",IF(financial_fraud_data[[#This Row],[Risk_Score]]&gt;5,"Med","Low"))</f>
        <v>Med</v>
      </c>
      <c r="P1128" t="str">
        <f>TEXT(financial_fraud_data[[#This Row],[Transaction_Date]],"MMM")</f>
        <v>Feb</v>
      </c>
      <c r="Q1128" t="str">
        <f>IF(financial_fraud_data[[#This Row],[Is_Fraud]]=1,"Yes","No")</f>
        <v>Yes</v>
      </c>
    </row>
    <row r="1129" spans="1:17" x14ac:dyDescent="0.2">
      <c r="A1129" t="s">
        <v>1610</v>
      </c>
      <c r="B1129" t="s">
        <v>896</v>
      </c>
      <c r="C1129" s="1">
        <v>45338.958333333336</v>
      </c>
      <c r="D1129">
        <v>20452.240000000002</v>
      </c>
      <c r="E1129" t="s">
        <v>16</v>
      </c>
      <c r="F1129" t="s">
        <v>50</v>
      </c>
      <c r="G1129" t="s">
        <v>35</v>
      </c>
      <c r="H1129" t="s">
        <v>36</v>
      </c>
      <c r="I1129" t="s">
        <v>19</v>
      </c>
      <c r="J1129" t="s">
        <v>20</v>
      </c>
      <c r="K1129">
        <v>0</v>
      </c>
      <c r="L1129">
        <v>3</v>
      </c>
      <c r="M1129">
        <v>7.55</v>
      </c>
      <c r="N1129">
        <v>1</v>
      </c>
      <c r="O1129" t="str">
        <f>IF(financial_fraud_data[[#This Row],[Risk_Score]]&gt;8,"High",IF(financial_fraud_data[[#This Row],[Risk_Score]]&gt;5,"Med","Low"))</f>
        <v>Med</v>
      </c>
      <c r="P1129" t="str">
        <f>TEXT(financial_fraud_data[[#This Row],[Transaction_Date]],"MMM")</f>
        <v>Feb</v>
      </c>
      <c r="Q1129" t="str">
        <f>IF(financial_fraud_data[[#This Row],[Is_Fraud]]=1,"Yes","No")</f>
        <v>Yes</v>
      </c>
    </row>
    <row r="1130" spans="1:17" x14ac:dyDescent="0.2">
      <c r="A1130" t="s">
        <v>1611</v>
      </c>
      <c r="B1130" t="s">
        <v>77</v>
      </c>
      <c r="C1130" s="1">
        <v>45339</v>
      </c>
      <c r="D1130">
        <v>18665.79</v>
      </c>
      <c r="E1130" t="s">
        <v>16</v>
      </c>
      <c r="F1130" t="s">
        <v>27</v>
      </c>
      <c r="G1130" t="s">
        <v>28</v>
      </c>
      <c r="H1130" t="s">
        <v>36</v>
      </c>
      <c r="I1130" t="s">
        <v>19</v>
      </c>
      <c r="J1130" t="s">
        <v>37</v>
      </c>
      <c r="K1130">
        <v>1</v>
      </c>
      <c r="L1130">
        <v>4</v>
      </c>
      <c r="M1130">
        <v>10.87</v>
      </c>
      <c r="N1130">
        <v>1</v>
      </c>
      <c r="O1130" t="str">
        <f>IF(financial_fraud_data[[#This Row],[Risk_Score]]&gt;8,"High",IF(financial_fraud_data[[#This Row],[Risk_Score]]&gt;5,"Med","Low"))</f>
        <v>High</v>
      </c>
      <c r="P1130" t="str">
        <f>TEXT(financial_fraud_data[[#This Row],[Transaction_Date]],"MMM")</f>
        <v>Feb</v>
      </c>
      <c r="Q1130" t="str">
        <f>IF(financial_fraud_data[[#This Row],[Is_Fraud]]=1,"Yes","No")</f>
        <v>Yes</v>
      </c>
    </row>
    <row r="1131" spans="1:17" x14ac:dyDescent="0.2">
      <c r="A1131" t="s">
        <v>1612</v>
      </c>
      <c r="B1131" t="s">
        <v>1034</v>
      </c>
      <c r="C1131" s="1">
        <v>45339.041666666664</v>
      </c>
      <c r="D1131">
        <v>13024.7</v>
      </c>
      <c r="E1131" t="s">
        <v>80</v>
      </c>
      <c r="F1131" t="s">
        <v>50</v>
      </c>
      <c r="G1131" t="s">
        <v>65</v>
      </c>
      <c r="H1131" t="s">
        <v>24</v>
      </c>
      <c r="I1131" t="s">
        <v>23</v>
      </c>
      <c r="J1131" t="s">
        <v>51</v>
      </c>
      <c r="K1131">
        <v>0</v>
      </c>
      <c r="L1131">
        <v>0</v>
      </c>
      <c r="M1131">
        <v>2.2999999999999998</v>
      </c>
      <c r="N1131">
        <v>0</v>
      </c>
      <c r="O1131" t="str">
        <f>IF(financial_fraud_data[[#This Row],[Risk_Score]]&gt;8,"High",IF(financial_fraud_data[[#This Row],[Risk_Score]]&gt;5,"Med","Low"))</f>
        <v>Low</v>
      </c>
      <c r="P1131" t="str">
        <f>TEXT(financial_fraud_data[[#This Row],[Transaction_Date]],"MMM")</f>
        <v>Feb</v>
      </c>
      <c r="Q1131" t="str">
        <f>IF(financial_fraud_data[[#This Row],[Is_Fraud]]=1,"Yes","No")</f>
        <v>No</v>
      </c>
    </row>
    <row r="1132" spans="1:17" x14ac:dyDescent="0.2">
      <c r="A1132" t="s">
        <v>1613</v>
      </c>
      <c r="B1132" t="s">
        <v>1125</v>
      </c>
      <c r="C1132" s="1">
        <v>45339.083333333336</v>
      </c>
      <c r="D1132">
        <v>36184.83</v>
      </c>
      <c r="E1132" t="s">
        <v>80</v>
      </c>
      <c r="F1132" t="s">
        <v>47</v>
      </c>
      <c r="G1132" t="s">
        <v>18</v>
      </c>
      <c r="H1132" t="s">
        <v>24</v>
      </c>
      <c r="I1132" t="s">
        <v>23</v>
      </c>
      <c r="J1132" t="s">
        <v>20</v>
      </c>
      <c r="K1132">
        <v>0</v>
      </c>
      <c r="L1132">
        <v>2</v>
      </c>
      <c r="M1132">
        <v>7.62</v>
      </c>
      <c r="N1132">
        <v>1</v>
      </c>
      <c r="O1132" t="str">
        <f>IF(financial_fraud_data[[#This Row],[Risk_Score]]&gt;8,"High",IF(financial_fraud_data[[#This Row],[Risk_Score]]&gt;5,"Med","Low"))</f>
        <v>Med</v>
      </c>
      <c r="P1132" t="str">
        <f>TEXT(financial_fraud_data[[#This Row],[Transaction_Date]],"MMM")</f>
        <v>Feb</v>
      </c>
      <c r="Q1132" t="str">
        <f>IF(financial_fraud_data[[#This Row],[Is_Fraud]]=1,"Yes","No")</f>
        <v>Yes</v>
      </c>
    </row>
    <row r="1133" spans="1:17" x14ac:dyDescent="0.2">
      <c r="A1133" t="s">
        <v>1614</v>
      </c>
      <c r="B1133" t="s">
        <v>642</v>
      </c>
      <c r="C1133" s="1">
        <v>45339.125</v>
      </c>
      <c r="D1133">
        <v>24818.99</v>
      </c>
      <c r="E1133" t="s">
        <v>42</v>
      </c>
      <c r="F1133" t="s">
        <v>50</v>
      </c>
      <c r="G1133" t="s">
        <v>65</v>
      </c>
      <c r="H1133" t="s">
        <v>19</v>
      </c>
      <c r="I1133" t="s">
        <v>23</v>
      </c>
      <c r="J1133" t="s">
        <v>20</v>
      </c>
      <c r="K1133">
        <v>0</v>
      </c>
      <c r="L1133">
        <v>2</v>
      </c>
      <c r="M1133">
        <v>6.48</v>
      </c>
      <c r="N1133">
        <v>1</v>
      </c>
      <c r="O1133" t="str">
        <f>IF(financial_fraud_data[[#This Row],[Risk_Score]]&gt;8,"High",IF(financial_fraud_data[[#This Row],[Risk_Score]]&gt;5,"Med","Low"))</f>
        <v>Med</v>
      </c>
      <c r="P1133" t="str">
        <f>TEXT(financial_fraud_data[[#This Row],[Transaction_Date]],"MMM")</f>
        <v>Feb</v>
      </c>
      <c r="Q1133" t="str">
        <f>IF(financial_fraud_data[[#This Row],[Is_Fraud]]=1,"Yes","No")</f>
        <v>Yes</v>
      </c>
    </row>
    <row r="1134" spans="1:17" x14ac:dyDescent="0.2">
      <c r="A1134" t="s">
        <v>1615</v>
      </c>
      <c r="B1134" t="s">
        <v>291</v>
      </c>
      <c r="C1134" s="1">
        <v>45339.166666666664</v>
      </c>
      <c r="D1134">
        <v>4098.26</v>
      </c>
      <c r="E1134" t="s">
        <v>80</v>
      </c>
      <c r="F1134" t="s">
        <v>50</v>
      </c>
      <c r="G1134" t="s">
        <v>18</v>
      </c>
      <c r="H1134" t="s">
        <v>29</v>
      </c>
      <c r="I1134" t="s">
        <v>29</v>
      </c>
      <c r="J1134" t="s">
        <v>37</v>
      </c>
      <c r="K1134">
        <v>0</v>
      </c>
      <c r="L1134">
        <v>2</v>
      </c>
      <c r="M1134">
        <v>3.41</v>
      </c>
      <c r="N1134">
        <v>0</v>
      </c>
      <c r="O1134" t="str">
        <f>IF(financial_fraud_data[[#This Row],[Risk_Score]]&gt;8,"High",IF(financial_fraud_data[[#This Row],[Risk_Score]]&gt;5,"Med","Low"))</f>
        <v>Low</v>
      </c>
      <c r="P1134" t="str">
        <f>TEXT(financial_fraud_data[[#This Row],[Transaction_Date]],"MMM")</f>
        <v>Feb</v>
      </c>
      <c r="Q1134" t="str">
        <f>IF(financial_fraud_data[[#This Row],[Is_Fraud]]=1,"Yes","No")</f>
        <v>No</v>
      </c>
    </row>
    <row r="1135" spans="1:17" x14ac:dyDescent="0.2">
      <c r="A1135" t="s">
        <v>1616</v>
      </c>
      <c r="B1135" t="s">
        <v>41</v>
      </c>
      <c r="C1135" s="1">
        <v>45339.208333333336</v>
      </c>
      <c r="D1135">
        <v>11048.15</v>
      </c>
      <c r="E1135" t="s">
        <v>80</v>
      </c>
      <c r="F1135" t="s">
        <v>17</v>
      </c>
      <c r="G1135" t="s">
        <v>56</v>
      </c>
      <c r="H1135" t="s">
        <v>23</v>
      </c>
      <c r="I1135" t="s">
        <v>24</v>
      </c>
      <c r="J1135" t="s">
        <v>51</v>
      </c>
      <c r="K1135">
        <v>0</v>
      </c>
      <c r="L1135">
        <v>2</v>
      </c>
      <c r="M1135">
        <v>5.0999999999999996</v>
      </c>
      <c r="N1135">
        <v>1</v>
      </c>
      <c r="O1135" t="str">
        <f>IF(financial_fraud_data[[#This Row],[Risk_Score]]&gt;8,"High",IF(financial_fraud_data[[#This Row],[Risk_Score]]&gt;5,"Med","Low"))</f>
        <v>Med</v>
      </c>
      <c r="P1135" t="str">
        <f>TEXT(financial_fraud_data[[#This Row],[Transaction_Date]],"MMM")</f>
        <v>Feb</v>
      </c>
      <c r="Q1135" t="str">
        <f>IF(financial_fraud_data[[#This Row],[Is_Fraud]]=1,"Yes","No")</f>
        <v>Yes</v>
      </c>
    </row>
    <row r="1136" spans="1:17" x14ac:dyDescent="0.2">
      <c r="A1136" t="s">
        <v>1617</v>
      </c>
      <c r="B1136" t="s">
        <v>1618</v>
      </c>
      <c r="C1136" s="1">
        <v>45339.25</v>
      </c>
      <c r="D1136">
        <v>34178.78</v>
      </c>
      <c r="E1136" t="s">
        <v>16</v>
      </c>
      <c r="F1136" t="s">
        <v>17</v>
      </c>
      <c r="G1136" t="s">
        <v>56</v>
      </c>
      <c r="H1136" t="s">
        <v>29</v>
      </c>
      <c r="I1136" t="s">
        <v>23</v>
      </c>
      <c r="J1136" t="s">
        <v>37</v>
      </c>
      <c r="K1136">
        <v>0</v>
      </c>
      <c r="L1136">
        <v>3</v>
      </c>
      <c r="M1136">
        <v>8.92</v>
      </c>
      <c r="N1136">
        <v>1</v>
      </c>
      <c r="O1136" t="str">
        <f>IF(financial_fraud_data[[#This Row],[Risk_Score]]&gt;8,"High",IF(financial_fraud_data[[#This Row],[Risk_Score]]&gt;5,"Med","Low"))</f>
        <v>High</v>
      </c>
      <c r="P1136" t="str">
        <f>TEXT(financial_fraud_data[[#This Row],[Transaction_Date]],"MMM")</f>
        <v>Feb</v>
      </c>
      <c r="Q1136" t="str">
        <f>IF(financial_fraud_data[[#This Row],[Is_Fraud]]=1,"Yes","No")</f>
        <v>Yes</v>
      </c>
    </row>
    <row r="1137" spans="1:17" x14ac:dyDescent="0.2">
      <c r="A1137" t="s">
        <v>1619</v>
      </c>
      <c r="B1137" t="s">
        <v>1194</v>
      </c>
      <c r="C1137" s="1">
        <v>45339.291666666664</v>
      </c>
      <c r="D1137">
        <v>3852.74</v>
      </c>
      <c r="E1137" t="s">
        <v>80</v>
      </c>
      <c r="F1137" t="s">
        <v>17</v>
      </c>
      <c r="G1137" t="s">
        <v>35</v>
      </c>
      <c r="H1137" t="s">
        <v>29</v>
      </c>
      <c r="I1137" t="s">
        <v>19</v>
      </c>
      <c r="J1137" t="s">
        <v>37</v>
      </c>
      <c r="K1137">
        <v>0</v>
      </c>
      <c r="L1137">
        <v>3</v>
      </c>
      <c r="M1137">
        <v>5.89</v>
      </c>
      <c r="N1137">
        <v>1</v>
      </c>
      <c r="O1137" t="str">
        <f>IF(financial_fraud_data[[#This Row],[Risk_Score]]&gt;8,"High",IF(financial_fraud_data[[#This Row],[Risk_Score]]&gt;5,"Med","Low"))</f>
        <v>Med</v>
      </c>
      <c r="P1137" t="str">
        <f>TEXT(financial_fraud_data[[#This Row],[Transaction_Date]],"MMM")</f>
        <v>Feb</v>
      </c>
      <c r="Q1137" t="str">
        <f>IF(financial_fraud_data[[#This Row],[Is_Fraud]]=1,"Yes","No")</f>
        <v>Yes</v>
      </c>
    </row>
    <row r="1138" spans="1:17" x14ac:dyDescent="0.2">
      <c r="A1138" t="s">
        <v>1620</v>
      </c>
      <c r="B1138" t="s">
        <v>774</v>
      </c>
      <c r="C1138" s="1">
        <v>45339.333333333336</v>
      </c>
      <c r="D1138">
        <v>42567.79</v>
      </c>
      <c r="E1138" t="s">
        <v>16</v>
      </c>
      <c r="F1138" t="s">
        <v>50</v>
      </c>
      <c r="G1138" t="s">
        <v>56</v>
      </c>
      <c r="H1138" t="s">
        <v>24</v>
      </c>
      <c r="I1138" t="s">
        <v>19</v>
      </c>
      <c r="J1138" t="s">
        <v>51</v>
      </c>
      <c r="K1138">
        <v>0</v>
      </c>
      <c r="L1138">
        <v>1</v>
      </c>
      <c r="M1138">
        <v>6.76</v>
      </c>
      <c r="N1138">
        <v>1</v>
      </c>
      <c r="O1138" t="str">
        <f>IF(financial_fraud_data[[#This Row],[Risk_Score]]&gt;8,"High",IF(financial_fraud_data[[#This Row],[Risk_Score]]&gt;5,"Med","Low"))</f>
        <v>Med</v>
      </c>
      <c r="P1138" t="str">
        <f>TEXT(financial_fraud_data[[#This Row],[Transaction_Date]],"MMM")</f>
        <v>Feb</v>
      </c>
      <c r="Q1138" t="str">
        <f>IF(financial_fraud_data[[#This Row],[Is_Fraud]]=1,"Yes","No")</f>
        <v>Yes</v>
      </c>
    </row>
    <row r="1139" spans="1:17" x14ac:dyDescent="0.2">
      <c r="A1139" t="s">
        <v>1621</v>
      </c>
      <c r="B1139" t="s">
        <v>697</v>
      </c>
      <c r="C1139" s="1">
        <v>45339.375</v>
      </c>
      <c r="D1139">
        <v>24782.57</v>
      </c>
      <c r="E1139" t="s">
        <v>16</v>
      </c>
      <c r="F1139" t="s">
        <v>27</v>
      </c>
      <c r="G1139" t="s">
        <v>35</v>
      </c>
      <c r="H1139" t="s">
        <v>24</v>
      </c>
      <c r="I1139" t="s">
        <v>19</v>
      </c>
      <c r="J1139" t="s">
        <v>51</v>
      </c>
      <c r="K1139">
        <v>0</v>
      </c>
      <c r="L1139">
        <v>1</v>
      </c>
      <c r="M1139">
        <v>4.9800000000000004</v>
      </c>
      <c r="N1139">
        <v>0</v>
      </c>
      <c r="O1139" t="str">
        <f>IF(financial_fraud_data[[#This Row],[Risk_Score]]&gt;8,"High",IF(financial_fraud_data[[#This Row],[Risk_Score]]&gt;5,"Med","Low"))</f>
        <v>Low</v>
      </c>
      <c r="P1139" t="str">
        <f>TEXT(financial_fraud_data[[#This Row],[Transaction_Date]],"MMM")</f>
        <v>Feb</v>
      </c>
      <c r="Q1139" t="str">
        <f>IF(financial_fraud_data[[#This Row],[Is_Fraud]]=1,"Yes","No")</f>
        <v>No</v>
      </c>
    </row>
    <row r="1140" spans="1:17" x14ac:dyDescent="0.2">
      <c r="A1140" t="s">
        <v>1622</v>
      </c>
      <c r="B1140" t="s">
        <v>676</v>
      </c>
      <c r="C1140" s="1">
        <v>45339.416666666664</v>
      </c>
      <c r="D1140">
        <v>24055.3</v>
      </c>
      <c r="E1140" t="s">
        <v>80</v>
      </c>
      <c r="F1140" t="s">
        <v>47</v>
      </c>
      <c r="G1140" t="s">
        <v>65</v>
      </c>
      <c r="H1140" t="s">
        <v>24</v>
      </c>
      <c r="I1140" t="s">
        <v>19</v>
      </c>
      <c r="J1140" t="s">
        <v>51</v>
      </c>
      <c r="K1140">
        <v>0</v>
      </c>
      <c r="L1140">
        <v>0</v>
      </c>
      <c r="M1140">
        <v>3.41</v>
      </c>
      <c r="N1140">
        <v>0</v>
      </c>
      <c r="O1140" t="str">
        <f>IF(financial_fraud_data[[#This Row],[Risk_Score]]&gt;8,"High",IF(financial_fraud_data[[#This Row],[Risk_Score]]&gt;5,"Med","Low"))</f>
        <v>Low</v>
      </c>
      <c r="P1140" t="str">
        <f>TEXT(financial_fraud_data[[#This Row],[Transaction_Date]],"MMM")</f>
        <v>Feb</v>
      </c>
      <c r="Q1140" t="str">
        <f>IF(financial_fraud_data[[#This Row],[Is_Fraud]]=1,"Yes","No")</f>
        <v>No</v>
      </c>
    </row>
    <row r="1141" spans="1:17" x14ac:dyDescent="0.2">
      <c r="A1141" t="s">
        <v>1623</v>
      </c>
      <c r="B1141" t="s">
        <v>926</v>
      </c>
      <c r="C1141" s="1">
        <v>45339.458333333336</v>
      </c>
      <c r="D1141">
        <v>29640.77</v>
      </c>
      <c r="E1141" t="s">
        <v>42</v>
      </c>
      <c r="F1141" t="s">
        <v>50</v>
      </c>
      <c r="G1141" t="s">
        <v>56</v>
      </c>
      <c r="H1141" t="s">
        <v>29</v>
      </c>
      <c r="I1141" t="s">
        <v>36</v>
      </c>
      <c r="J1141" t="s">
        <v>20</v>
      </c>
      <c r="K1141">
        <v>1</v>
      </c>
      <c r="L1141">
        <v>1</v>
      </c>
      <c r="M1141">
        <v>7.46</v>
      </c>
      <c r="N1141">
        <v>1</v>
      </c>
      <c r="O1141" t="str">
        <f>IF(financial_fraud_data[[#This Row],[Risk_Score]]&gt;8,"High",IF(financial_fraud_data[[#This Row],[Risk_Score]]&gt;5,"Med","Low"))</f>
        <v>Med</v>
      </c>
      <c r="P1141" t="str">
        <f>TEXT(financial_fraud_data[[#This Row],[Transaction_Date]],"MMM")</f>
        <v>Feb</v>
      </c>
      <c r="Q1141" t="str">
        <f>IF(financial_fraud_data[[#This Row],[Is_Fraud]]=1,"Yes","No")</f>
        <v>Yes</v>
      </c>
    </row>
    <row r="1142" spans="1:17" x14ac:dyDescent="0.2">
      <c r="A1142" t="s">
        <v>1624</v>
      </c>
      <c r="B1142" t="s">
        <v>1625</v>
      </c>
      <c r="C1142" s="1">
        <v>45339.5</v>
      </c>
      <c r="D1142">
        <v>41242.81</v>
      </c>
      <c r="E1142" t="s">
        <v>42</v>
      </c>
      <c r="F1142" t="s">
        <v>27</v>
      </c>
      <c r="G1142" t="s">
        <v>65</v>
      </c>
      <c r="H1142" t="s">
        <v>23</v>
      </c>
      <c r="I1142" t="s">
        <v>29</v>
      </c>
      <c r="J1142" t="s">
        <v>37</v>
      </c>
      <c r="K1142">
        <v>1</v>
      </c>
      <c r="L1142">
        <v>0</v>
      </c>
      <c r="M1142">
        <v>7.12</v>
      </c>
      <c r="N1142">
        <v>1</v>
      </c>
      <c r="O1142" t="str">
        <f>IF(financial_fraud_data[[#This Row],[Risk_Score]]&gt;8,"High",IF(financial_fraud_data[[#This Row],[Risk_Score]]&gt;5,"Med","Low"))</f>
        <v>Med</v>
      </c>
      <c r="P1142" t="str">
        <f>TEXT(financial_fraud_data[[#This Row],[Transaction_Date]],"MMM")</f>
        <v>Feb</v>
      </c>
      <c r="Q1142" t="str">
        <f>IF(financial_fraud_data[[#This Row],[Is_Fraud]]=1,"Yes","No")</f>
        <v>Yes</v>
      </c>
    </row>
    <row r="1143" spans="1:17" x14ac:dyDescent="0.2">
      <c r="A1143" t="s">
        <v>1626</v>
      </c>
      <c r="B1143" t="s">
        <v>439</v>
      </c>
      <c r="C1143" s="1">
        <v>45339.541666666664</v>
      </c>
      <c r="D1143">
        <v>17423.07</v>
      </c>
      <c r="E1143" t="s">
        <v>34</v>
      </c>
      <c r="F1143" t="s">
        <v>50</v>
      </c>
      <c r="G1143" t="s">
        <v>65</v>
      </c>
      <c r="H1143" t="s">
        <v>24</v>
      </c>
      <c r="I1143" t="s">
        <v>24</v>
      </c>
      <c r="J1143" t="s">
        <v>20</v>
      </c>
      <c r="K1143">
        <v>0</v>
      </c>
      <c r="L1143">
        <v>0</v>
      </c>
      <c r="M1143">
        <v>1.74</v>
      </c>
      <c r="N1143">
        <v>0</v>
      </c>
      <c r="O1143" t="str">
        <f>IF(financial_fraud_data[[#This Row],[Risk_Score]]&gt;8,"High",IF(financial_fraud_data[[#This Row],[Risk_Score]]&gt;5,"Med","Low"))</f>
        <v>Low</v>
      </c>
      <c r="P1143" t="str">
        <f>TEXT(financial_fraud_data[[#This Row],[Transaction_Date]],"MMM")</f>
        <v>Feb</v>
      </c>
      <c r="Q1143" t="str">
        <f>IF(financial_fraud_data[[#This Row],[Is_Fraud]]=1,"Yes","No")</f>
        <v>No</v>
      </c>
    </row>
    <row r="1144" spans="1:17" x14ac:dyDescent="0.2">
      <c r="A1144" t="s">
        <v>1627</v>
      </c>
      <c r="B1144" t="s">
        <v>1628</v>
      </c>
      <c r="C1144" s="1">
        <v>45339.583333333336</v>
      </c>
      <c r="D1144">
        <v>33916.910000000003</v>
      </c>
      <c r="E1144" t="s">
        <v>34</v>
      </c>
      <c r="F1144" t="s">
        <v>47</v>
      </c>
      <c r="G1144" t="s">
        <v>56</v>
      </c>
      <c r="H1144" t="s">
        <v>36</v>
      </c>
      <c r="I1144" t="s">
        <v>24</v>
      </c>
      <c r="J1144" t="s">
        <v>51</v>
      </c>
      <c r="K1144">
        <v>0</v>
      </c>
      <c r="L1144">
        <v>0</v>
      </c>
      <c r="M1144">
        <v>4.3899999999999997</v>
      </c>
      <c r="N1144">
        <v>0</v>
      </c>
      <c r="O1144" t="str">
        <f>IF(financial_fraud_data[[#This Row],[Risk_Score]]&gt;8,"High",IF(financial_fraud_data[[#This Row],[Risk_Score]]&gt;5,"Med","Low"))</f>
        <v>Low</v>
      </c>
      <c r="P1144" t="str">
        <f>TEXT(financial_fraud_data[[#This Row],[Transaction_Date]],"MMM")</f>
        <v>Feb</v>
      </c>
      <c r="Q1144" t="str">
        <f>IF(financial_fraud_data[[#This Row],[Is_Fraud]]=1,"Yes","No")</f>
        <v>No</v>
      </c>
    </row>
    <row r="1145" spans="1:17" x14ac:dyDescent="0.2">
      <c r="A1145" t="s">
        <v>1629</v>
      </c>
      <c r="B1145" t="s">
        <v>599</v>
      </c>
      <c r="C1145" s="1">
        <v>45339.625</v>
      </c>
      <c r="D1145">
        <v>28308.31</v>
      </c>
      <c r="E1145" t="s">
        <v>80</v>
      </c>
      <c r="F1145" t="s">
        <v>50</v>
      </c>
      <c r="G1145" t="s">
        <v>65</v>
      </c>
      <c r="H1145" t="s">
        <v>23</v>
      </c>
      <c r="I1145" t="s">
        <v>23</v>
      </c>
      <c r="J1145" t="s">
        <v>20</v>
      </c>
      <c r="K1145">
        <v>0</v>
      </c>
      <c r="L1145">
        <v>2</v>
      </c>
      <c r="M1145">
        <v>5.83</v>
      </c>
      <c r="N1145">
        <v>1</v>
      </c>
      <c r="O1145" t="str">
        <f>IF(financial_fraud_data[[#This Row],[Risk_Score]]&gt;8,"High",IF(financial_fraud_data[[#This Row],[Risk_Score]]&gt;5,"Med","Low"))</f>
        <v>Med</v>
      </c>
      <c r="P1145" t="str">
        <f>TEXT(financial_fraud_data[[#This Row],[Transaction_Date]],"MMM")</f>
        <v>Feb</v>
      </c>
      <c r="Q1145" t="str">
        <f>IF(financial_fraud_data[[#This Row],[Is_Fraud]]=1,"Yes","No")</f>
        <v>Yes</v>
      </c>
    </row>
    <row r="1146" spans="1:17" x14ac:dyDescent="0.2">
      <c r="A1146" t="s">
        <v>1630</v>
      </c>
      <c r="B1146" t="s">
        <v>1631</v>
      </c>
      <c r="C1146" s="1">
        <v>45339.666666666664</v>
      </c>
      <c r="D1146">
        <v>13388.06</v>
      </c>
      <c r="E1146" t="s">
        <v>42</v>
      </c>
      <c r="F1146" t="s">
        <v>47</v>
      </c>
      <c r="G1146" t="s">
        <v>56</v>
      </c>
      <c r="H1146" t="s">
        <v>36</v>
      </c>
      <c r="I1146" t="s">
        <v>36</v>
      </c>
      <c r="J1146" t="s">
        <v>51</v>
      </c>
      <c r="K1146">
        <v>0</v>
      </c>
      <c r="L1146">
        <v>4</v>
      </c>
      <c r="M1146">
        <v>7.34</v>
      </c>
      <c r="N1146">
        <v>1</v>
      </c>
      <c r="O1146" t="str">
        <f>IF(financial_fraud_data[[#This Row],[Risk_Score]]&gt;8,"High",IF(financial_fraud_data[[#This Row],[Risk_Score]]&gt;5,"Med","Low"))</f>
        <v>Med</v>
      </c>
      <c r="P1146" t="str">
        <f>TEXT(financial_fraud_data[[#This Row],[Transaction_Date]],"MMM")</f>
        <v>Feb</v>
      </c>
      <c r="Q1146" t="str">
        <f>IF(financial_fraud_data[[#This Row],[Is_Fraud]]=1,"Yes","No")</f>
        <v>Yes</v>
      </c>
    </row>
    <row r="1147" spans="1:17" x14ac:dyDescent="0.2">
      <c r="A1147" t="s">
        <v>1632</v>
      </c>
      <c r="B1147" t="s">
        <v>1107</v>
      </c>
      <c r="C1147" s="1">
        <v>45339.708333333336</v>
      </c>
      <c r="D1147">
        <v>43937.57</v>
      </c>
      <c r="E1147" t="s">
        <v>16</v>
      </c>
      <c r="F1147" t="s">
        <v>50</v>
      </c>
      <c r="G1147" t="s">
        <v>56</v>
      </c>
      <c r="H1147" t="s">
        <v>23</v>
      </c>
      <c r="I1147" t="s">
        <v>24</v>
      </c>
      <c r="J1147" t="s">
        <v>51</v>
      </c>
      <c r="K1147">
        <v>1</v>
      </c>
      <c r="L1147">
        <v>4</v>
      </c>
      <c r="M1147">
        <v>13.39</v>
      </c>
      <c r="N1147">
        <v>1</v>
      </c>
      <c r="O1147" t="str">
        <f>IF(financial_fraud_data[[#This Row],[Risk_Score]]&gt;8,"High",IF(financial_fraud_data[[#This Row],[Risk_Score]]&gt;5,"Med","Low"))</f>
        <v>High</v>
      </c>
      <c r="P1147" t="str">
        <f>TEXT(financial_fraud_data[[#This Row],[Transaction_Date]],"MMM")</f>
        <v>Feb</v>
      </c>
      <c r="Q1147" t="str">
        <f>IF(financial_fraud_data[[#This Row],[Is_Fraud]]=1,"Yes","No")</f>
        <v>Yes</v>
      </c>
    </row>
    <row r="1148" spans="1:17" x14ac:dyDescent="0.2">
      <c r="A1148" t="s">
        <v>1633</v>
      </c>
      <c r="B1148" t="s">
        <v>483</v>
      </c>
      <c r="C1148" s="1">
        <v>45339.75</v>
      </c>
      <c r="D1148">
        <v>39881.43</v>
      </c>
      <c r="E1148" t="s">
        <v>34</v>
      </c>
      <c r="F1148" t="s">
        <v>47</v>
      </c>
      <c r="G1148" t="s">
        <v>56</v>
      </c>
      <c r="H1148" t="s">
        <v>24</v>
      </c>
      <c r="I1148" t="s">
        <v>29</v>
      </c>
      <c r="J1148" t="s">
        <v>37</v>
      </c>
      <c r="K1148">
        <v>0</v>
      </c>
      <c r="L1148">
        <v>3</v>
      </c>
      <c r="M1148">
        <v>9.49</v>
      </c>
      <c r="N1148">
        <v>1</v>
      </c>
      <c r="O1148" t="str">
        <f>IF(financial_fraud_data[[#This Row],[Risk_Score]]&gt;8,"High",IF(financial_fraud_data[[#This Row],[Risk_Score]]&gt;5,"Med","Low"))</f>
        <v>High</v>
      </c>
      <c r="P1148" t="str">
        <f>TEXT(financial_fraud_data[[#This Row],[Transaction_Date]],"MMM")</f>
        <v>Feb</v>
      </c>
      <c r="Q1148" t="str">
        <f>IF(financial_fraud_data[[#This Row],[Is_Fraud]]=1,"Yes","No")</f>
        <v>Yes</v>
      </c>
    </row>
    <row r="1149" spans="1:17" x14ac:dyDescent="0.2">
      <c r="A1149" t="s">
        <v>1634</v>
      </c>
      <c r="B1149" t="s">
        <v>263</v>
      </c>
      <c r="C1149" s="1">
        <v>45339.791666666664</v>
      </c>
      <c r="D1149">
        <v>32939.67</v>
      </c>
      <c r="E1149" t="s">
        <v>16</v>
      </c>
      <c r="F1149" t="s">
        <v>50</v>
      </c>
      <c r="G1149" t="s">
        <v>18</v>
      </c>
      <c r="H1149" t="s">
        <v>19</v>
      </c>
      <c r="I1149" t="s">
        <v>19</v>
      </c>
      <c r="J1149" t="s">
        <v>37</v>
      </c>
      <c r="K1149">
        <v>0</v>
      </c>
      <c r="L1149">
        <v>0</v>
      </c>
      <c r="M1149">
        <v>3.29</v>
      </c>
      <c r="N1149">
        <v>0</v>
      </c>
      <c r="O1149" t="str">
        <f>IF(financial_fraud_data[[#This Row],[Risk_Score]]&gt;8,"High",IF(financial_fraud_data[[#This Row],[Risk_Score]]&gt;5,"Med","Low"))</f>
        <v>Low</v>
      </c>
      <c r="P1149" t="str">
        <f>TEXT(financial_fraud_data[[#This Row],[Transaction_Date]],"MMM")</f>
        <v>Feb</v>
      </c>
      <c r="Q1149" t="str">
        <f>IF(financial_fraud_data[[#This Row],[Is_Fraud]]=1,"Yes","No")</f>
        <v>No</v>
      </c>
    </row>
    <row r="1150" spans="1:17" x14ac:dyDescent="0.2">
      <c r="A1150" t="s">
        <v>1635</v>
      </c>
      <c r="B1150" t="s">
        <v>1636</v>
      </c>
      <c r="C1150" s="1">
        <v>45339.833333333336</v>
      </c>
      <c r="D1150">
        <v>42536.56</v>
      </c>
      <c r="E1150" t="s">
        <v>34</v>
      </c>
      <c r="F1150" t="s">
        <v>47</v>
      </c>
      <c r="G1150" t="s">
        <v>65</v>
      </c>
      <c r="H1150" t="s">
        <v>24</v>
      </c>
      <c r="I1150" t="s">
        <v>23</v>
      </c>
      <c r="J1150" t="s">
        <v>37</v>
      </c>
      <c r="K1150">
        <v>0</v>
      </c>
      <c r="L1150">
        <v>2</v>
      </c>
      <c r="M1150">
        <v>8.25</v>
      </c>
      <c r="N1150">
        <v>1</v>
      </c>
      <c r="O1150" t="str">
        <f>IF(financial_fraud_data[[#This Row],[Risk_Score]]&gt;8,"High",IF(financial_fraud_data[[#This Row],[Risk_Score]]&gt;5,"Med","Low"))</f>
        <v>High</v>
      </c>
      <c r="P1150" t="str">
        <f>TEXT(financial_fraud_data[[#This Row],[Transaction_Date]],"MMM")</f>
        <v>Feb</v>
      </c>
      <c r="Q1150" t="str">
        <f>IF(financial_fraud_data[[#This Row],[Is_Fraud]]=1,"Yes","No")</f>
        <v>Yes</v>
      </c>
    </row>
    <row r="1151" spans="1:17" x14ac:dyDescent="0.2">
      <c r="A1151" t="s">
        <v>1637</v>
      </c>
      <c r="B1151" t="s">
        <v>715</v>
      </c>
      <c r="C1151" s="1">
        <v>45339.875</v>
      </c>
      <c r="D1151">
        <v>43371.35</v>
      </c>
      <c r="E1151" t="s">
        <v>80</v>
      </c>
      <c r="F1151" t="s">
        <v>17</v>
      </c>
      <c r="G1151" t="s">
        <v>28</v>
      </c>
      <c r="H1151" t="s">
        <v>29</v>
      </c>
      <c r="I1151" t="s">
        <v>29</v>
      </c>
      <c r="J1151" t="s">
        <v>20</v>
      </c>
      <c r="K1151">
        <v>0</v>
      </c>
      <c r="L1151">
        <v>1</v>
      </c>
      <c r="M1151">
        <v>5.84</v>
      </c>
      <c r="N1151">
        <v>1</v>
      </c>
      <c r="O1151" t="str">
        <f>IF(financial_fraud_data[[#This Row],[Risk_Score]]&gt;8,"High",IF(financial_fraud_data[[#This Row],[Risk_Score]]&gt;5,"Med","Low"))</f>
        <v>Med</v>
      </c>
      <c r="P1151" t="str">
        <f>TEXT(financial_fraud_data[[#This Row],[Transaction_Date]],"MMM")</f>
        <v>Feb</v>
      </c>
      <c r="Q1151" t="str">
        <f>IF(financial_fraud_data[[#This Row],[Is_Fraud]]=1,"Yes","No")</f>
        <v>Yes</v>
      </c>
    </row>
    <row r="1152" spans="1:17" x14ac:dyDescent="0.2">
      <c r="A1152" t="s">
        <v>1638</v>
      </c>
      <c r="B1152" t="s">
        <v>1639</v>
      </c>
      <c r="C1152" s="1">
        <v>45339.916666666664</v>
      </c>
      <c r="D1152">
        <v>35432.730000000003</v>
      </c>
      <c r="E1152" t="s">
        <v>42</v>
      </c>
      <c r="F1152" t="s">
        <v>50</v>
      </c>
      <c r="G1152" t="s">
        <v>56</v>
      </c>
      <c r="H1152" t="s">
        <v>29</v>
      </c>
      <c r="I1152" t="s">
        <v>24</v>
      </c>
      <c r="J1152" t="s">
        <v>37</v>
      </c>
      <c r="K1152">
        <v>0</v>
      </c>
      <c r="L1152">
        <v>1</v>
      </c>
      <c r="M1152">
        <v>6.04</v>
      </c>
      <c r="N1152">
        <v>1</v>
      </c>
      <c r="O1152" t="str">
        <f>IF(financial_fraud_data[[#This Row],[Risk_Score]]&gt;8,"High",IF(financial_fraud_data[[#This Row],[Risk_Score]]&gt;5,"Med","Low"))</f>
        <v>Med</v>
      </c>
      <c r="P1152" t="str">
        <f>TEXT(financial_fraud_data[[#This Row],[Transaction_Date]],"MMM")</f>
        <v>Feb</v>
      </c>
      <c r="Q1152" t="str">
        <f>IF(financial_fraud_data[[#This Row],[Is_Fraud]]=1,"Yes","No")</f>
        <v>Yes</v>
      </c>
    </row>
    <row r="1153" spans="1:17" x14ac:dyDescent="0.2">
      <c r="A1153" t="s">
        <v>1640</v>
      </c>
      <c r="B1153" t="s">
        <v>1641</v>
      </c>
      <c r="C1153" s="1">
        <v>45339.958333333336</v>
      </c>
      <c r="D1153">
        <v>41858.82</v>
      </c>
      <c r="E1153" t="s">
        <v>34</v>
      </c>
      <c r="F1153" t="s">
        <v>50</v>
      </c>
      <c r="G1153" t="s">
        <v>65</v>
      </c>
      <c r="H1153" t="s">
        <v>23</v>
      </c>
      <c r="I1153" t="s">
        <v>36</v>
      </c>
      <c r="J1153" t="s">
        <v>51</v>
      </c>
      <c r="K1153">
        <v>0</v>
      </c>
      <c r="L1153">
        <v>3</v>
      </c>
      <c r="M1153">
        <v>9.69</v>
      </c>
      <c r="N1153">
        <v>1</v>
      </c>
      <c r="O1153" t="str">
        <f>IF(financial_fraud_data[[#This Row],[Risk_Score]]&gt;8,"High",IF(financial_fraud_data[[#This Row],[Risk_Score]]&gt;5,"Med","Low"))</f>
        <v>High</v>
      </c>
      <c r="P1153" t="str">
        <f>TEXT(financial_fraud_data[[#This Row],[Transaction_Date]],"MMM")</f>
        <v>Feb</v>
      </c>
      <c r="Q1153" t="str">
        <f>IF(financial_fraud_data[[#This Row],[Is_Fraud]]=1,"Yes","No")</f>
        <v>Yes</v>
      </c>
    </row>
    <row r="1154" spans="1:17" x14ac:dyDescent="0.2">
      <c r="A1154" t="s">
        <v>1642</v>
      </c>
      <c r="B1154" t="s">
        <v>308</v>
      </c>
      <c r="C1154" s="1">
        <v>45340</v>
      </c>
      <c r="D1154">
        <v>34888.699999999997</v>
      </c>
      <c r="E1154" t="s">
        <v>42</v>
      </c>
      <c r="F1154" t="s">
        <v>27</v>
      </c>
      <c r="G1154" t="s">
        <v>35</v>
      </c>
      <c r="H1154" t="s">
        <v>29</v>
      </c>
      <c r="I1154" t="s">
        <v>23</v>
      </c>
      <c r="J1154" t="s">
        <v>37</v>
      </c>
      <c r="K1154">
        <v>0</v>
      </c>
      <c r="L1154">
        <v>3</v>
      </c>
      <c r="M1154">
        <v>8.99</v>
      </c>
      <c r="N1154">
        <v>1</v>
      </c>
      <c r="O1154" t="str">
        <f>IF(financial_fraud_data[[#This Row],[Risk_Score]]&gt;8,"High",IF(financial_fraud_data[[#This Row],[Risk_Score]]&gt;5,"Med","Low"))</f>
        <v>High</v>
      </c>
      <c r="P1154" t="str">
        <f>TEXT(financial_fraud_data[[#This Row],[Transaction_Date]],"MMM")</f>
        <v>Feb</v>
      </c>
      <c r="Q1154" t="str">
        <f>IF(financial_fraud_data[[#This Row],[Is_Fraud]]=1,"Yes","No")</f>
        <v>Yes</v>
      </c>
    </row>
    <row r="1155" spans="1:17" x14ac:dyDescent="0.2">
      <c r="A1155" t="s">
        <v>1643</v>
      </c>
      <c r="B1155" t="s">
        <v>715</v>
      </c>
      <c r="C1155" s="1">
        <v>45340.041666666664</v>
      </c>
      <c r="D1155">
        <v>34023.03</v>
      </c>
      <c r="E1155" t="s">
        <v>16</v>
      </c>
      <c r="F1155" t="s">
        <v>27</v>
      </c>
      <c r="G1155" t="s">
        <v>56</v>
      </c>
      <c r="H1155" t="s">
        <v>24</v>
      </c>
      <c r="I1155" t="s">
        <v>24</v>
      </c>
      <c r="J1155" t="s">
        <v>20</v>
      </c>
      <c r="K1155">
        <v>0</v>
      </c>
      <c r="L1155">
        <v>0</v>
      </c>
      <c r="M1155">
        <v>3.4</v>
      </c>
      <c r="N1155">
        <v>0</v>
      </c>
      <c r="O1155" t="str">
        <f>IF(financial_fraud_data[[#This Row],[Risk_Score]]&gt;8,"High",IF(financial_fraud_data[[#This Row],[Risk_Score]]&gt;5,"Med","Low"))</f>
        <v>Low</v>
      </c>
      <c r="P1155" t="str">
        <f>TEXT(financial_fraud_data[[#This Row],[Transaction_Date]],"MMM")</f>
        <v>Feb</v>
      </c>
      <c r="Q1155" t="str">
        <f>IF(financial_fraud_data[[#This Row],[Is_Fraud]]=1,"Yes","No")</f>
        <v>No</v>
      </c>
    </row>
    <row r="1156" spans="1:17" x14ac:dyDescent="0.2">
      <c r="A1156" t="s">
        <v>1644</v>
      </c>
      <c r="B1156" t="s">
        <v>352</v>
      </c>
      <c r="C1156" s="1">
        <v>45340.083333333336</v>
      </c>
      <c r="D1156">
        <v>30949.64</v>
      </c>
      <c r="E1156" t="s">
        <v>80</v>
      </c>
      <c r="F1156" t="s">
        <v>47</v>
      </c>
      <c r="G1156" t="s">
        <v>56</v>
      </c>
      <c r="H1156" t="s">
        <v>36</v>
      </c>
      <c r="I1156" t="s">
        <v>23</v>
      </c>
      <c r="J1156" t="s">
        <v>37</v>
      </c>
      <c r="K1156">
        <v>0</v>
      </c>
      <c r="L1156">
        <v>0</v>
      </c>
      <c r="M1156">
        <v>4.09</v>
      </c>
      <c r="N1156">
        <v>0</v>
      </c>
      <c r="O1156" t="str">
        <f>IF(financial_fraud_data[[#This Row],[Risk_Score]]&gt;8,"High",IF(financial_fraud_data[[#This Row],[Risk_Score]]&gt;5,"Med","Low"))</f>
        <v>Low</v>
      </c>
      <c r="P1156" t="str">
        <f>TEXT(financial_fraud_data[[#This Row],[Transaction_Date]],"MMM")</f>
        <v>Feb</v>
      </c>
      <c r="Q1156" t="str">
        <f>IF(financial_fraud_data[[#This Row],[Is_Fraud]]=1,"Yes","No")</f>
        <v>No</v>
      </c>
    </row>
    <row r="1157" spans="1:17" x14ac:dyDescent="0.2">
      <c r="A1157" t="s">
        <v>1645</v>
      </c>
      <c r="B1157" t="s">
        <v>625</v>
      </c>
      <c r="C1157" s="1">
        <v>45340.125</v>
      </c>
      <c r="D1157">
        <v>37648.199999999997</v>
      </c>
      <c r="E1157" t="s">
        <v>42</v>
      </c>
      <c r="F1157" t="s">
        <v>50</v>
      </c>
      <c r="G1157" t="s">
        <v>28</v>
      </c>
      <c r="H1157" t="s">
        <v>24</v>
      </c>
      <c r="I1157" t="s">
        <v>24</v>
      </c>
      <c r="J1157" t="s">
        <v>37</v>
      </c>
      <c r="K1157">
        <v>0</v>
      </c>
      <c r="L1157">
        <v>1</v>
      </c>
      <c r="M1157">
        <v>5.26</v>
      </c>
      <c r="N1157">
        <v>1</v>
      </c>
      <c r="O1157" t="str">
        <f>IF(financial_fraud_data[[#This Row],[Risk_Score]]&gt;8,"High",IF(financial_fraud_data[[#This Row],[Risk_Score]]&gt;5,"Med","Low"))</f>
        <v>Med</v>
      </c>
      <c r="P1157" t="str">
        <f>TEXT(financial_fraud_data[[#This Row],[Transaction_Date]],"MMM")</f>
        <v>Feb</v>
      </c>
      <c r="Q1157" t="str">
        <f>IF(financial_fraud_data[[#This Row],[Is_Fraud]]=1,"Yes","No")</f>
        <v>Yes</v>
      </c>
    </row>
    <row r="1158" spans="1:17" x14ac:dyDescent="0.2">
      <c r="A1158" t="s">
        <v>1646</v>
      </c>
      <c r="B1158" t="s">
        <v>1226</v>
      </c>
      <c r="C1158" s="1">
        <v>45340.166666666664</v>
      </c>
      <c r="D1158">
        <v>7972.33</v>
      </c>
      <c r="E1158" t="s">
        <v>80</v>
      </c>
      <c r="F1158" t="s">
        <v>47</v>
      </c>
      <c r="G1158" t="s">
        <v>18</v>
      </c>
      <c r="H1158" t="s">
        <v>23</v>
      </c>
      <c r="I1158" t="s">
        <v>19</v>
      </c>
      <c r="J1158" t="s">
        <v>37</v>
      </c>
      <c r="K1158">
        <v>0</v>
      </c>
      <c r="L1158">
        <v>1</v>
      </c>
      <c r="M1158">
        <v>3.3</v>
      </c>
      <c r="N1158">
        <v>0</v>
      </c>
      <c r="O1158" t="str">
        <f>IF(financial_fraud_data[[#This Row],[Risk_Score]]&gt;8,"High",IF(financial_fraud_data[[#This Row],[Risk_Score]]&gt;5,"Med","Low"))</f>
        <v>Low</v>
      </c>
      <c r="P1158" t="str">
        <f>TEXT(financial_fraud_data[[#This Row],[Transaction_Date]],"MMM")</f>
        <v>Feb</v>
      </c>
      <c r="Q1158" t="str">
        <f>IF(financial_fraud_data[[#This Row],[Is_Fraud]]=1,"Yes","No")</f>
        <v>No</v>
      </c>
    </row>
    <row r="1159" spans="1:17" x14ac:dyDescent="0.2">
      <c r="A1159" t="s">
        <v>1647</v>
      </c>
      <c r="B1159" t="s">
        <v>1289</v>
      </c>
      <c r="C1159" s="1">
        <v>45340.208333333336</v>
      </c>
      <c r="D1159">
        <v>44049.49</v>
      </c>
      <c r="E1159" t="s">
        <v>42</v>
      </c>
      <c r="F1159" t="s">
        <v>17</v>
      </c>
      <c r="G1159" t="s">
        <v>18</v>
      </c>
      <c r="H1159" t="s">
        <v>29</v>
      </c>
      <c r="I1159" t="s">
        <v>36</v>
      </c>
      <c r="J1159" t="s">
        <v>20</v>
      </c>
      <c r="K1159">
        <v>0</v>
      </c>
      <c r="L1159">
        <v>1</v>
      </c>
      <c r="M1159">
        <v>6.9</v>
      </c>
      <c r="N1159">
        <v>1</v>
      </c>
      <c r="O1159" t="str">
        <f>IF(financial_fraud_data[[#This Row],[Risk_Score]]&gt;8,"High",IF(financial_fraud_data[[#This Row],[Risk_Score]]&gt;5,"Med","Low"))</f>
        <v>Med</v>
      </c>
      <c r="P1159" t="str">
        <f>TEXT(financial_fraud_data[[#This Row],[Transaction_Date]],"MMM")</f>
        <v>Feb</v>
      </c>
      <c r="Q1159" t="str">
        <f>IF(financial_fraud_data[[#This Row],[Is_Fraud]]=1,"Yes","No")</f>
        <v>Yes</v>
      </c>
    </row>
    <row r="1160" spans="1:17" x14ac:dyDescent="0.2">
      <c r="A1160" t="s">
        <v>1648</v>
      </c>
      <c r="B1160" t="s">
        <v>1649</v>
      </c>
      <c r="C1160" s="1">
        <v>45340.25</v>
      </c>
      <c r="D1160">
        <v>43598.58</v>
      </c>
      <c r="E1160" t="s">
        <v>16</v>
      </c>
      <c r="F1160" t="s">
        <v>27</v>
      </c>
      <c r="G1160" t="s">
        <v>56</v>
      </c>
      <c r="H1160" t="s">
        <v>36</v>
      </c>
      <c r="I1160" t="s">
        <v>19</v>
      </c>
      <c r="J1160" t="s">
        <v>51</v>
      </c>
      <c r="K1160">
        <v>0</v>
      </c>
      <c r="L1160">
        <v>1</v>
      </c>
      <c r="M1160">
        <v>6.86</v>
      </c>
      <c r="N1160">
        <v>1</v>
      </c>
      <c r="O1160" t="str">
        <f>IF(financial_fraud_data[[#This Row],[Risk_Score]]&gt;8,"High",IF(financial_fraud_data[[#This Row],[Risk_Score]]&gt;5,"Med","Low"))</f>
        <v>Med</v>
      </c>
      <c r="P1160" t="str">
        <f>TEXT(financial_fraud_data[[#This Row],[Transaction_Date]],"MMM")</f>
        <v>Feb</v>
      </c>
      <c r="Q1160" t="str">
        <f>IF(financial_fraud_data[[#This Row],[Is_Fraud]]=1,"Yes","No")</f>
        <v>Yes</v>
      </c>
    </row>
    <row r="1161" spans="1:17" x14ac:dyDescent="0.2">
      <c r="A1161" t="s">
        <v>1650</v>
      </c>
      <c r="B1161" t="s">
        <v>574</v>
      </c>
      <c r="C1161" s="1">
        <v>45340.291666666664</v>
      </c>
      <c r="D1161">
        <v>1510.9</v>
      </c>
      <c r="E1161" t="s">
        <v>16</v>
      </c>
      <c r="F1161" t="s">
        <v>47</v>
      </c>
      <c r="G1161" t="s">
        <v>65</v>
      </c>
      <c r="H1161" t="s">
        <v>19</v>
      </c>
      <c r="I1161" t="s">
        <v>24</v>
      </c>
      <c r="J1161" t="s">
        <v>51</v>
      </c>
      <c r="K1161">
        <v>1</v>
      </c>
      <c r="L1161">
        <v>4</v>
      </c>
      <c r="M1161">
        <v>9.15</v>
      </c>
      <c r="N1161">
        <v>1</v>
      </c>
      <c r="O1161" t="str">
        <f>IF(financial_fraud_data[[#This Row],[Risk_Score]]&gt;8,"High",IF(financial_fraud_data[[#This Row],[Risk_Score]]&gt;5,"Med","Low"))</f>
        <v>High</v>
      </c>
      <c r="P1161" t="str">
        <f>TEXT(financial_fraud_data[[#This Row],[Transaction_Date]],"MMM")</f>
        <v>Feb</v>
      </c>
      <c r="Q1161" t="str">
        <f>IF(financial_fraud_data[[#This Row],[Is_Fraud]]=1,"Yes","No")</f>
        <v>Yes</v>
      </c>
    </row>
    <row r="1162" spans="1:17" x14ac:dyDescent="0.2">
      <c r="A1162" t="s">
        <v>1651</v>
      </c>
      <c r="B1162" t="s">
        <v>855</v>
      </c>
      <c r="C1162" s="1">
        <v>45340.333333333336</v>
      </c>
      <c r="D1162">
        <v>41299.550000000003</v>
      </c>
      <c r="E1162" t="s">
        <v>80</v>
      </c>
      <c r="F1162" t="s">
        <v>47</v>
      </c>
      <c r="G1162" t="s">
        <v>35</v>
      </c>
      <c r="H1162" t="s">
        <v>36</v>
      </c>
      <c r="I1162" t="s">
        <v>29</v>
      </c>
      <c r="J1162" t="s">
        <v>51</v>
      </c>
      <c r="K1162">
        <v>1</v>
      </c>
      <c r="L1162">
        <v>0</v>
      </c>
      <c r="M1162">
        <v>7.13</v>
      </c>
      <c r="N1162">
        <v>1</v>
      </c>
      <c r="O1162" t="str">
        <f>IF(financial_fraud_data[[#This Row],[Risk_Score]]&gt;8,"High",IF(financial_fraud_data[[#This Row],[Risk_Score]]&gt;5,"Med","Low"))</f>
        <v>Med</v>
      </c>
      <c r="P1162" t="str">
        <f>TEXT(financial_fraud_data[[#This Row],[Transaction_Date]],"MMM")</f>
        <v>Feb</v>
      </c>
      <c r="Q1162" t="str">
        <f>IF(financial_fraud_data[[#This Row],[Is_Fraud]]=1,"Yes","No")</f>
        <v>Yes</v>
      </c>
    </row>
    <row r="1163" spans="1:17" x14ac:dyDescent="0.2">
      <c r="A1163" t="s">
        <v>1652</v>
      </c>
      <c r="B1163" t="s">
        <v>1653</v>
      </c>
      <c r="C1163" s="1">
        <v>45340.375</v>
      </c>
      <c r="D1163">
        <v>6487.05</v>
      </c>
      <c r="E1163" t="s">
        <v>16</v>
      </c>
      <c r="F1163" t="s">
        <v>27</v>
      </c>
      <c r="G1163" t="s">
        <v>35</v>
      </c>
      <c r="H1163" t="s">
        <v>36</v>
      </c>
      <c r="I1163" t="s">
        <v>19</v>
      </c>
      <c r="J1163" t="s">
        <v>37</v>
      </c>
      <c r="K1163">
        <v>1</v>
      </c>
      <c r="L1163">
        <v>0</v>
      </c>
      <c r="M1163">
        <v>3.65</v>
      </c>
      <c r="N1163">
        <v>0</v>
      </c>
      <c r="O1163" t="str">
        <f>IF(financial_fraud_data[[#This Row],[Risk_Score]]&gt;8,"High",IF(financial_fraud_data[[#This Row],[Risk_Score]]&gt;5,"Med","Low"))</f>
        <v>Low</v>
      </c>
      <c r="P1163" t="str">
        <f>TEXT(financial_fraud_data[[#This Row],[Transaction_Date]],"MMM")</f>
        <v>Feb</v>
      </c>
      <c r="Q1163" t="str">
        <f>IF(financial_fraud_data[[#This Row],[Is_Fraud]]=1,"Yes","No")</f>
        <v>No</v>
      </c>
    </row>
    <row r="1164" spans="1:17" x14ac:dyDescent="0.2">
      <c r="A1164" t="s">
        <v>1654</v>
      </c>
      <c r="B1164" t="s">
        <v>383</v>
      </c>
      <c r="C1164" s="1">
        <v>45340.416666666664</v>
      </c>
      <c r="D1164">
        <v>16789.189999999999</v>
      </c>
      <c r="E1164" t="s">
        <v>34</v>
      </c>
      <c r="F1164" t="s">
        <v>50</v>
      </c>
      <c r="G1164" t="s">
        <v>65</v>
      </c>
      <c r="H1164" t="s">
        <v>24</v>
      </c>
      <c r="I1164" t="s">
        <v>29</v>
      </c>
      <c r="J1164" t="s">
        <v>37</v>
      </c>
      <c r="K1164">
        <v>0</v>
      </c>
      <c r="L1164">
        <v>1</v>
      </c>
      <c r="M1164">
        <v>4.18</v>
      </c>
      <c r="N1164">
        <v>0</v>
      </c>
      <c r="O1164" t="str">
        <f>IF(financial_fraud_data[[#This Row],[Risk_Score]]&gt;8,"High",IF(financial_fraud_data[[#This Row],[Risk_Score]]&gt;5,"Med","Low"))</f>
        <v>Low</v>
      </c>
      <c r="P1164" t="str">
        <f>TEXT(financial_fraud_data[[#This Row],[Transaction_Date]],"MMM")</f>
        <v>Feb</v>
      </c>
      <c r="Q1164" t="str">
        <f>IF(financial_fraud_data[[#This Row],[Is_Fraud]]=1,"Yes","No")</f>
        <v>No</v>
      </c>
    </row>
    <row r="1165" spans="1:17" x14ac:dyDescent="0.2">
      <c r="A1165" t="s">
        <v>1655</v>
      </c>
      <c r="B1165" t="s">
        <v>49</v>
      </c>
      <c r="C1165" s="1">
        <v>45340.458333333336</v>
      </c>
      <c r="D1165">
        <v>37188.239999999998</v>
      </c>
      <c r="E1165" t="s">
        <v>42</v>
      </c>
      <c r="F1165" t="s">
        <v>47</v>
      </c>
      <c r="G1165" t="s">
        <v>56</v>
      </c>
      <c r="H1165" t="s">
        <v>19</v>
      </c>
      <c r="I1165" t="s">
        <v>24</v>
      </c>
      <c r="J1165" t="s">
        <v>20</v>
      </c>
      <c r="K1165">
        <v>1</v>
      </c>
      <c r="L1165">
        <v>2</v>
      </c>
      <c r="M1165">
        <v>9.7200000000000006</v>
      </c>
      <c r="N1165">
        <v>1</v>
      </c>
      <c r="O1165" t="str">
        <f>IF(financial_fraud_data[[#This Row],[Risk_Score]]&gt;8,"High",IF(financial_fraud_data[[#This Row],[Risk_Score]]&gt;5,"Med","Low"))</f>
        <v>High</v>
      </c>
      <c r="P1165" t="str">
        <f>TEXT(financial_fraud_data[[#This Row],[Transaction_Date]],"MMM")</f>
        <v>Feb</v>
      </c>
      <c r="Q1165" t="str">
        <f>IF(financial_fraud_data[[#This Row],[Is_Fraud]]=1,"Yes","No")</f>
        <v>Yes</v>
      </c>
    </row>
    <row r="1166" spans="1:17" x14ac:dyDescent="0.2">
      <c r="A1166" t="s">
        <v>1656</v>
      </c>
      <c r="B1166" t="s">
        <v>71</v>
      </c>
      <c r="C1166" s="1">
        <v>45340.5</v>
      </c>
      <c r="D1166">
        <v>8079.96</v>
      </c>
      <c r="E1166" t="s">
        <v>16</v>
      </c>
      <c r="F1166" t="s">
        <v>27</v>
      </c>
      <c r="G1166" t="s">
        <v>35</v>
      </c>
      <c r="H1166" t="s">
        <v>23</v>
      </c>
      <c r="I1166" t="s">
        <v>36</v>
      </c>
      <c r="J1166" t="s">
        <v>51</v>
      </c>
      <c r="K1166">
        <v>0</v>
      </c>
      <c r="L1166">
        <v>1</v>
      </c>
      <c r="M1166">
        <v>3.31</v>
      </c>
      <c r="N1166">
        <v>0</v>
      </c>
      <c r="O1166" t="str">
        <f>IF(financial_fraud_data[[#This Row],[Risk_Score]]&gt;8,"High",IF(financial_fraud_data[[#This Row],[Risk_Score]]&gt;5,"Med","Low"))</f>
        <v>Low</v>
      </c>
      <c r="P1166" t="str">
        <f>TEXT(financial_fraud_data[[#This Row],[Transaction_Date]],"MMM")</f>
        <v>Feb</v>
      </c>
      <c r="Q1166" t="str">
        <f>IF(financial_fraud_data[[#This Row],[Is_Fraud]]=1,"Yes","No")</f>
        <v>No</v>
      </c>
    </row>
    <row r="1167" spans="1:17" x14ac:dyDescent="0.2">
      <c r="A1167" t="s">
        <v>1657</v>
      </c>
      <c r="B1167" t="s">
        <v>680</v>
      </c>
      <c r="C1167" s="1">
        <v>45340.541666666664</v>
      </c>
      <c r="D1167">
        <v>40907.449999999997</v>
      </c>
      <c r="E1167" t="s">
        <v>34</v>
      </c>
      <c r="F1167" t="s">
        <v>50</v>
      </c>
      <c r="G1167" t="s">
        <v>18</v>
      </c>
      <c r="H1167" t="s">
        <v>23</v>
      </c>
      <c r="I1167" t="s">
        <v>29</v>
      </c>
      <c r="J1167" t="s">
        <v>37</v>
      </c>
      <c r="K1167">
        <v>1</v>
      </c>
      <c r="L1167">
        <v>3</v>
      </c>
      <c r="M1167">
        <v>11.59</v>
      </c>
      <c r="N1167">
        <v>1</v>
      </c>
      <c r="O1167" t="str">
        <f>IF(financial_fraud_data[[#This Row],[Risk_Score]]&gt;8,"High",IF(financial_fraud_data[[#This Row],[Risk_Score]]&gt;5,"Med","Low"))</f>
        <v>High</v>
      </c>
      <c r="P1167" t="str">
        <f>TEXT(financial_fraud_data[[#This Row],[Transaction_Date]],"MMM")</f>
        <v>Feb</v>
      </c>
      <c r="Q1167" t="str">
        <f>IF(financial_fraud_data[[#This Row],[Is_Fraud]]=1,"Yes","No")</f>
        <v>Yes</v>
      </c>
    </row>
    <row r="1168" spans="1:17" x14ac:dyDescent="0.2">
      <c r="A1168" t="s">
        <v>1658</v>
      </c>
      <c r="B1168" t="s">
        <v>527</v>
      </c>
      <c r="C1168" s="1">
        <v>45340.583333333336</v>
      </c>
      <c r="D1168">
        <v>41615.1</v>
      </c>
      <c r="E1168" t="s">
        <v>80</v>
      </c>
      <c r="F1168" t="s">
        <v>17</v>
      </c>
      <c r="G1168" t="s">
        <v>65</v>
      </c>
      <c r="H1168" t="s">
        <v>36</v>
      </c>
      <c r="I1168" t="s">
        <v>24</v>
      </c>
      <c r="J1168" t="s">
        <v>37</v>
      </c>
      <c r="K1168">
        <v>0</v>
      </c>
      <c r="L1168">
        <v>2</v>
      </c>
      <c r="M1168">
        <v>8.16</v>
      </c>
      <c r="N1168">
        <v>1</v>
      </c>
      <c r="O1168" t="str">
        <f>IF(financial_fraud_data[[#This Row],[Risk_Score]]&gt;8,"High",IF(financial_fraud_data[[#This Row],[Risk_Score]]&gt;5,"Med","Low"))</f>
        <v>High</v>
      </c>
      <c r="P1168" t="str">
        <f>TEXT(financial_fraud_data[[#This Row],[Transaction_Date]],"MMM")</f>
        <v>Feb</v>
      </c>
      <c r="Q1168" t="str">
        <f>IF(financial_fraud_data[[#This Row],[Is_Fraud]]=1,"Yes","No")</f>
        <v>Yes</v>
      </c>
    </row>
    <row r="1169" spans="1:17" x14ac:dyDescent="0.2">
      <c r="A1169" t="s">
        <v>1659</v>
      </c>
      <c r="B1169" t="s">
        <v>920</v>
      </c>
      <c r="C1169" s="1">
        <v>45340.625</v>
      </c>
      <c r="D1169">
        <v>25398.01</v>
      </c>
      <c r="E1169" t="s">
        <v>34</v>
      </c>
      <c r="F1169" t="s">
        <v>27</v>
      </c>
      <c r="G1169" t="s">
        <v>28</v>
      </c>
      <c r="H1169" t="s">
        <v>36</v>
      </c>
      <c r="I1169" t="s">
        <v>29</v>
      </c>
      <c r="J1169" t="s">
        <v>37</v>
      </c>
      <c r="K1169">
        <v>1</v>
      </c>
      <c r="L1169">
        <v>3</v>
      </c>
      <c r="M1169">
        <v>10.039999999999999</v>
      </c>
      <c r="N1169">
        <v>1</v>
      </c>
      <c r="O1169" t="str">
        <f>IF(financial_fraud_data[[#This Row],[Risk_Score]]&gt;8,"High",IF(financial_fraud_data[[#This Row],[Risk_Score]]&gt;5,"Med","Low"))</f>
        <v>High</v>
      </c>
      <c r="P1169" t="str">
        <f>TEXT(financial_fraud_data[[#This Row],[Transaction_Date]],"MMM")</f>
        <v>Feb</v>
      </c>
      <c r="Q1169" t="str">
        <f>IF(financial_fraud_data[[#This Row],[Is_Fraud]]=1,"Yes","No")</f>
        <v>Yes</v>
      </c>
    </row>
    <row r="1170" spans="1:17" x14ac:dyDescent="0.2">
      <c r="A1170" t="s">
        <v>1660</v>
      </c>
      <c r="B1170" t="s">
        <v>1661</v>
      </c>
      <c r="C1170" s="1">
        <v>45340.666666666664</v>
      </c>
      <c r="D1170">
        <v>368.97</v>
      </c>
      <c r="E1170" t="s">
        <v>80</v>
      </c>
      <c r="F1170" t="s">
        <v>47</v>
      </c>
      <c r="G1170" t="s">
        <v>56</v>
      </c>
      <c r="H1170" t="s">
        <v>29</v>
      </c>
      <c r="I1170" t="s">
        <v>19</v>
      </c>
      <c r="J1170" t="s">
        <v>20</v>
      </c>
      <c r="K1170">
        <v>0</v>
      </c>
      <c r="L1170">
        <v>2</v>
      </c>
      <c r="M1170">
        <v>4.04</v>
      </c>
      <c r="N1170">
        <v>0</v>
      </c>
      <c r="O1170" t="str">
        <f>IF(financial_fraud_data[[#This Row],[Risk_Score]]&gt;8,"High",IF(financial_fraud_data[[#This Row],[Risk_Score]]&gt;5,"Med","Low"))</f>
        <v>Low</v>
      </c>
      <c r="P1170" t="str">
        <f>TEXT(financial_fraud_data[[#This Row],[Transaction_Date]],"MMM")</f>
        <v>Feb</v>
      </c>
      <c r="Q1170" t="str">
        <f>IF(financial_fraud_data[[#This Row],[Is_Fraud]]=1,"Yes","No")</f>
        <v>No</v>
      </c>
    </row>
    <row r="1171" spans="1:17" x14ac:dyDescent="0.2">
      <c r="A1171" t="s">
        <v>1662</v>
      </c>
      <c r="B1171" t="s">
        <v>510</v>
      </c>
      <c r="C1171" s="1">
        <v>45340.708333333336</v>
      </c>
      <c r="D1171">
        <v>14387.55</v>
      </c>
      <c r="E1171" t="s">
        <v>80</v>
      </c>
      <c r="F1171" t="s">
        <v>17</v>
      </c>
      <c r="G1171" t="s">
        <v>65</v>
      </c>
      <c r="H1171" t="s">
        <v>19</v>
      </c>
      <c r="I1171" t="s">
        <v>24</v>
      </c>
      <c r="J1171" t="s">
        <v>51</v>
      </c>
      <c r="K1171">
        <v>0</v>
      </c>
      <c r="L1171">
        <v>3</v>
      </c>
      <c r="M1171">
        <v>6.94</v>
      </c>
      <c r="N1171">
        <v>1</v>
      </c>
      <c r="O1171" t="str">
        <f>IF(financial_fraud_data[[#This Row],[Risk_Score]]&gt;8,"High",IF(financial_fraud_data[[#This Row],[Risk_Score]]&gt;5,"Med","Low"))</f>
        <v>Med</v>
      </c>
      <c r="P1171" t="str">
        <f>TEXT(financial_fraud_data[[#This Row],[Transaction_Date]],"MMM")</f>
        <v>Feb</v>
      </c>
      <c r="Q1171" t="str">
        <f>IF(financial_fraud_data[[#This Row],[Is_Fraud]]=1,"Yes","No")</f>
        <v>Yes</v>
      </c>
    </row>
    <row r="1172" spans="1:17" x14ac:dyDescent="0.2">
      <c r="A1172" t="s">
        <v>1663</v>
      </c>
      <c r="B1172" t="s">
        <v>1664</v>
      </c>
      <c r="C1172" s="1">
        <v>45340.75</v>
      </c>
      <c r="D1172">
        <v>30865.5</v>
      </c>
      <c r="E1172" t="s">
        <v>42</v>
      </c>
      <c r="F1172" t="s">
        <v>50</v>
      </c>
      <c r="G1172" t="s">
        <v>35</v>
      </c>
      <c r="H1172" t="s">
        <v>36</v>
      </c>
      <c r="I1172" t="s">
        <v>19</v>
      </c>
      <c r="J1172" t="s">
        <v>20</v>
      </c>
      <c r="K1172">
        <v>0</v>
      </c>
      <c r="L1172">
        <v>1</v>
      </c>
      <c r="M1172">
        <v>5.59</v>
      </c>
      <c r="N1172">
        <v>1</v>
      </c>
      <c r="O1172" t="str">
        <f>IF(financial_fraud_data[[#This Row],[Risk_Score]]&gt;8,"High",IF(financial_fraud_data[[#This Row],[Risk_Score]]&gt;5,"Med","Low"))</f>
        <v>Med</v>
      </c>
      <c r="P1172" t="str">
        <f>TEXT(financial_fraud_data[[#This Row],[Transaction_Date]],"MMM")</f>
        <v>Feb</v>
      </c>
      <c r="Q1172" t="str">
        <f>IF(financial_fraud_data[[#This Row],[Is_Fraud]]=1,"Yes","No")</f>
        <v>Yes</v>
      </c>
    </row>
    <row r="1173" spans="1:17" x14ac:dyDescent="0.2">
      <c r="A1173" t="s">
        <v>1665</v>
      </c>
      <c r="B1173" t="s">
        <v>53</v>
      </c>
      <c r="C1173" s="1">
        <v>45340.791666666664</v>
      </c>
      <c r="D1173">
        <v>49060.25</v>
      </c>
      <c r="E1173" t="s">
        <v>42</v>
      </c>
      <c r="F1173" t="s">
        <v>50</v>
      </c>
      <c r="G1173" t="s">
        <v>56</v>
      </c>
      <c r="H1173" t="s">
        <v>29</v>
      </c>
      <c r="I1173" t="s">
        <v>23</v>
      </c>
      <c r="J1173" t="s">
        <v>51</v>
      </c>
      <c r="K1173">
        <v>0</v>
      </c>
      <c r="L1173">
        <v>1</v>
      </c>
      <c r="M1173">
        <v>7.41</v>
      </c>
      <c r="N1173">
        <v>1</v>
      </c>
      <c r="O1173" t="str">
        <f>IF(financial_fraud_data[[#This Row],[Risk_Score]]&gt;8,"High",IF(financial_fraud_data[[#This Row],[Risk_Score]]&gt;5,"Med","Low"))</f>
        <v>Med</v>
      </c>
      <c r="P1173" t="str">
        <f>TEXT(financial_fraud_data[[#This Row],[Transaction_Date]],"MMM")</f>
        <v>Feb</v>
      </c>
      <c r="Q1173" t="str">
        <f>IF(financial_fraud_data[[#This Row],[Is_Fraud]]=1,"Yes","No")</f>
        <v>Yes</v>
      </c>
    </row>
    <row r="1174" spans="1:17" x14ac:dyDescent="0.2">
      <c r="A1174" t="s">
        <v>1666</v>
      </c>
      <c r="B1174" t="s">
        <v>108</v>
      </c>
      <c r="C1174" s="1">
        <v>45340.833333333336</v>
      </c>
      <c r="D1174">
        <v>31609.09</v>
      </c>
      <c r="E1174" t="s">
        <v>34</v>
      </c>
      <c r="F1174" t="s">
        <v>27</v>
      </c>
      <c r="G1174" t="s">
        <v>18</v>
      </c>
      <c r="H1174" t="s">
        <v>19</v>
      </c>
      <c r="I1174" t="s">
        <v>24</v>
      </c>
      <c r="J1174" t="s">
        <v>51</v>
      </c>
      <c r="K1174">
        <v>0</v>
      </c>
      <c r="L1174">
        <v>2</v>
      </c>
      <c r="M1174">
        <v>7.16</v>
      </c>
      <c r="N1174">
        <v>1</v>
      </c>
      <c r="O1174" t="str">
        <f>IF(financial_fraud_data[[#This Row],[Risk_Score]]&gt;8,"High",IF(financial_fraud_data[[#This Row],[Risk_Score]]&gt;5,"Med","Low"))</f>
        <v>Med</v>
      </c>
      <c r="P1174" t="str">
        <f>TEXT(financial_fraud_data[[#This Row],[Transaction_Date]],"MMM")</f>
        <v>Feb</v>
      </c>
      <c r="Q1174" t="str">
        <f>IF(financial_fraud_data[[#This Row],[Is_Fraud]]=1,"Yes","No")</f>
        <v>Yes</v>
      </c>
    </row>
    <row r="1175" spans="1:17" x14ac:dyDescent="0.2">
      <c r="A1175" t="s">
        <v>1667</v>
      </c>
      <c r="B1175" t="s">
        <v>1075</v>
      </c>
      <c r="C1175" s="1">
        <v>45340.875</v>
      </c>
      <c r="D1175">
        <v>13027.19</v>
      </c>
      <c r="E1175" t="s">
        <v>42</v>
      </c>
      <c r="F1175" t="s">
        <v>27</v>
      </c>
      <c r="G1175" t="s">
        <v>56</v>
      </c>
      <c r="H1175" t="s">
        <v>23</v>
      </c>
      <c r="I1175" t="s">
        <v>29</v>
      </c>
      <c r="J1175" t="s">
        <v>37</v>
      </c>
      <c r="K1175">
        <v>0</v>
      </c>
      <c r="L1175">
        <v>3</v>
      </c>
      <c r="M1175">
        <v>6.8</v>
      </c>
      <c r="N1175">
        <v>1</v>
      </c>
      <c r="O1175" t="str">
        <f>IF(financial_fraud_data[[#This Row],[Risk_Score]]&gt;8,"High",IF(financial_fraud_data[[#This Row],[Risk_Score]]&gt;5,"Med","Low"))</f>
        <v>Med</v>
      </c>
      <c r="P1175" t="str">
        <f>TEXT(financial_fraud_data[[#This Row],[Transaction_Date]],"MMM")</f>
        <v>Feb</v>
      </c>
      <c r="Q1175" t="str">
        <f>IF(financial_fraud_data[[#This Row],[Is_Fraud]]=1,"Yes","No")</f>
        <v>Yes</v>
      </c>
    </row>
    <row r="1176" spans="1:17" x14ac:dyDescent="0.2">
      <c r="A1176" t="s">
        <v>1668</v>
      </c>
      <c r="B1176" t="s">
        <v>1408</v>
      </c>
      <c r="C1176" s="1">
        <v>45340.916666666664</v>
      </c>
      <c r="D1176">
        <v>31718.58</v>
      </c>
      <c r="E1176" t="s">
        <v>42</v>
      </c>
      <c r="F1176" t="s">
        <v>27</v>
      </c>
      <c r="G1176" t="s">
        <v>56</v>
      </c>
      <c r="H1176" t="s">
        <v>29</v>
      </c>
      <c r="I1176" t="s">
        <v>23</v>
      </c>
      <c r="J1176" t="s">
        <v>37</v>
      </c>
      <c r="K1176">
        <v>0</v>
      </c>
      <c r="L1176">
        <v>4</v>
      </c>
      <c r="M1176">
        <v>10.17</v>
      </c>
      <c r="N1176">
        <v>1</v>
      </c>
      <c r="O1176" t="str">
        <f>IF(financial_fraud_data[[#This Row],[Risk_Score]]&gt;8,"High",IF(financial_fraud_data[[#This Row],[Risk_Score]]&gt;5,"Med","Low"))</f>
        <v>High</v>
      </c>
      <c r="P1176" t="str">
        <f>TEXT(financial_fraud_data[[#This Row],[Transaction_Date]],"MMM")</f>
        <v>Feb</v>
      </c>
      <c r="Q1176" t="str">
        <f>IF(financial_fraud_data[[#This Row],[Is_Fraud]]=1,"Yes","No")</f>
        <v>Yes</v>
      </c>
    </row>
    <row r="1177" spans="1:17" x14ac:dyDescent="0.2">
      <c r="A1177" t="s">
        <v>1669</v>
      </c>
      <c r="B1177" t="s">
        <v>367</v>
      </c>
      <c r="C1177" s="1">
        <v>45340.958333333336</v>
      </c>
      <c r="D1177">
        <v>27022.27</v>
      </c>
      <c r="E1177" t="s">
        <v>42</v>
      </c>
      <c r="F1177" t="s">
        <v>50</v>
      </c>
      <c r="G1177" t="s">
        <v>18</v>
      </c>
      <c r="H1177" t="s">
        <v>19</v>
      </c>
      <c r="I1177" t="s">
        <v>19</v>
      </c>
      <c r="J1177" t="s">
        <v>37</v>
      </c>
      <c r="K1177">
        <v>0</v>
      </c>
      <c r="L1177">
        <v>2</v>
      </c>
      <c r="M1177">
        <v>5.7</v>
      </c>
      <c r="N1177">
        <v>1</v>
      </c>
      <c r="O1177" t="str">
        <f>IF(financial_fraud_data[[#This Row],[Risk_Score]]&gt;8,"High",IF(financial_fraud_data[[#This Row],[Risk_Score]]&gt;5,"Med","Low"))</f>
        <v>Med</v>
      </c>
      <c r="P1177" t="str">
        <f>TEXT(financial_fraud_data[[#This Row],[Transaction_Date]],"MMM")</f>
        <v>Feb</v>
      </c>
      <c r="Q1177" t="str">
        <f>IF(financial_fraud_data[[#This Row],[Is_Fraud]]=1,"Yes","No")</f>
        <v>Yes</v>
      </c>
    </row>
    <row r="1178" spans="1:17" x14ac:dyDescent="0.2">
      <c r="A1178" t="s">
        <v>1670</v>
      </c>
      <c r="B1178" t="s">
        <v>1671</v>
      </c>
      <c r="C1178" s="1">
        <v>45341</v>
      </c>
      <c r="D1178">
        <v>39003.279999999999</v>
      </c>
      <c r="E1178" t="s">
        <v>34</v>
      </c>
      <c r="F1178" t="s">
        <v>17</v>
      </c>
      <c r="G1178" t="s">
        <v>18</v>
      </c>
      <c r="H1178" t="s">
        <v>29</v>
      </c>
      <c r="I1178" t="s">
        <v>19</v>
      </c>
      <c r="J1178" t="s">
        <v>37</v>
      </c>
      <c r="K1178">
        <v>0</v>
      </c>
      <c r="L1178">
        <v>2</v>
      </c>
      <c r="M1178">
        <v>7.9</v>
      </c>
      <c r="N1178">
        <v>1</v>
      </c>
      <c r="O1178" t="str">
        <f>IF(financial_fraud_data[[#This Row],[Risk_Score]]&gt;8,"High",IF(financial_fraud_data[[#This Row],[Risk_Score]]&gt;5,"Med","Low"))</f>
        <v>Med</v>
      </c>
      <c r="P1178" t="str">
        <f>TEXT(financial_fraud_data[[#This Row],[Transaction_Date]],"MMM")</f>
        <v>Feb</v>
      </c>
      <c r="Q1178" t="str">
        <f>IF(financial_fraud_data[[#This Row],[Is_Fraud]]=1,"Yes","No")</f>
        <v>Yes</v>
      </c>
    </row>
    <row r="1179" spans="1:17" x14ac:dyDescent="0.2">
      <c r="A1179" t="s">
        <v>1672</v>
      </c>
      <c r="B1179" t="s">
        <v>60</v>
      </c>
      <c r="C1179" s="1">
        <v>45341.041666666664</v>
      </c>
      <c r="D1179">
        <v>5393.68</v>
      </c>
      <c r="E1179" t="s">
        <v>16</v>
      </c>
      <c r="F1179" t="s">
        <v>50</v>
      </c>
      <c r="G1179" t="s">
        <v>56</v>
      </c>
      <c r="H1179" t="s">
        <v>36</v>
      </c>
      <c r="I1179" t="s">
        <v>29</v>
      </c>
      <c r="J1179" t="s">
        <v>37</v>
      </c>
      <c r="K1179">
        <v>0</v>
      </c>
      <c r="L1179">
        <v>0</v>
      </c>
      <c r="M1179">
        <v>1.54</v>
      </c>
      <c r="N1179">
        <v>0</v>
      </c>
      <c r="O1179" t="str">
        <f>IF(financial_fraud_data[[#This Row],[Risk_Score]]&gt;8,"High",IF(financial_fraud_data[[#This Row],[Risk_Score]]&gt;5,"Med","Low"))</f>
        <v>Low</v>
      </c>
      <c r="P1179" t="str">
        <f>TEXT(financial_fraud_data[[#This Row],[Transaction_Date]],"MMM")</f>
        <v>Feb</v>
      </c>
      <c r="Q1179" t="str">
        <f>IF(financial_fraud_data[[#This Row],[Is_Fraud]]=1,"Yes","No")</f>
        <v>No</v>
      </c>
    </row>
    <row r="1180" spans="1:17" x14ac:dyDescent="0.2">
      <c r="A1180" t="s">
        <v>1673</v>
      </c>
      <c r="B1180" t="s">
        <v>938</v>
      </c>
      <c r="C1180" s="1">
        <v>45341.083333333336</v>
      </c>
      <c r="D1180">
        <v>38063.339999999997</v>
      </c>
      <c r="E1180" t="s">
        <v>42</v>
      </c>
      <c r="F1180" t="s">
        <v>47</v>
      </c>
      <c r="G1180" t="s">
        <v>18</v>
      </c>
      <c r="H1180" t="s">
        <v>24</v>
      </c>
      <c r="I1180" t="s">
        <v>23</v>
      </c>
      <c r="J1180" t="s">
        <v>51</v>
      </c>
      <c r="K1180">
        <v>0</v>
      </c>
      <c r="L1180">
        <v>2</v>
      </c>
      <c r="M1180">
        <v>7.81</v>
      </c>
      <c r="N1180">
        <v>1</v>
      </c>
      <c r="O1180" t="str">
        <f>IF(financial_fraud_data[[#This Row],[Risk_Score]]&gt;8,"High",IF(financial_fraud_data[[#This Row],[Risk_Score]]&gt;5,"Med","Low"))</f>
        <v>Med</v>
      </c>
      <c r="P1180" t="str">
        <f>TEXT(financial_fraud_data[[#This Row],[Transaction_Date]],"MMM")</f>
        <v>Feb</v>
      </c>
      <c r="Q1180" t="str">
        <f>IF(financial_fraud_data[[#This Row],[Is_Fraud]]=1,"Yes","No")</f>
        <v>Yes</v>
      </c>
    </row>
    <row r="1181" spans="1:17" x14ac:dyDescent="0.2">
      <c r="A1181" t="s">
        <v>1674</v>
      </c>
      <c r="B1181" t="s">
        <v>1636</v>
      </c>
      <c r="C1181" s="1">
        <v>45341.125</v>
      </c>
      <c r="D1181">
        <v>27086.27</v>
      </c>
      <c r="E1181" t="s">
        <v>42</v>
      </c>
      <c r="F1181" t="s">
        <v>50</v>
      </c>
      <c r="G1181" t="s">
        <v>65</v>
      </c>
      <c r="H1181" t="s">
        <v>23</v>
      </c>
      <c r="I1181" t="s">
        <v>36</v>
      </c>
      <c r="J1181" t="s">
        <v>37</v>
      </c>
      <c r="K1181">
        <v>0</v>
      </c>
      <c r="L1181">
        <v>4</v>
      </c>
      <c r="M1181">
        <v>9.7100000000000009</v>
      </c>
      <c r="N1181">
        <v>1</v>
      </c>
      <c r="O1181" t="str">
        <f>IF(financial_fraud_data[[#This Row],[Risk_Score]]&gt;8,"High",IF(financial_fraud_data[[#This Row],[Risk_Score]]&gt;5,"Med","Low"))</f>
        <v>High</v>
      </c>
      <c r="P1181" t="str">
        <f>TEXT(financial_fraud_data[[#This Row],[Transaction_Date]],"MMM")</f>
        <v>Feb</v>
      </c>
      <c r="Q1181" t="str">
        <f>IF(financial_fraud_data[[#This Row],[Is_Fraud]]=1,"Yes","No")</f>
        <v>Yes</v>
      </c>
    </row>
    <row r="1182" spans="1:17" x14ac:dyDescent="0.2">
      <c r="A1182" t="s">
        <v>1675</v>
      </c>
      <c r="B1182" t="s">
        <v>525</v>
      </c>
      <c r="C1182" s="1">
        <v>45341.166666666664</v>
      </c>
      <c r="D1182">
        <v>48151.45</v>
      </c>
      <c r="E1182" t="s">
        <v>34</v>
      </c>
      <c r="F1182" t="s">
        <v>47</v>
      </c>
      <c r="G1182" t="s">
        <v>18</v>
      </c>
      <c r="H1182" t="s">
        <v>36</v>
      </c>
      <c r="I1182" t="s">
        <v>29</v>
      </c>
      <c r="J1182" t="s">
        <v>37</v>
      </c>
      <c r="K1182">
        <v>0</v>
      </c>
      <c r="L1182">
        <v>1</v>
      </c>
      <c r="M1182">
        <v>7.32</v>
      </c>
      <c r="N1182">
        <v>1</v>
      </c>
      <c r="O1182" t="str">
        <f>IF(financial_fraud_data[[#This Row],[Risk_Score]]&gt;8,"High",IF(financial_fraud_data[[#This Row],[Risk_Score]]&gt;5,"Med","Low"))</f>
        <v>Med</v>
      </c>
      <c r="P1182" t="str">
        <f>TEXT(financial_fraud_data[[#This Row],[Transaction_Date]],"MMM")</f>
        <v>Feb</v>
      </c>
      <c r="Q1182" t="str">
        <f>IF(financial_fraud_data[[#This Row],[Is_Fraud]]=1,"Yes","No")</f>
        <v>Yes</v>
      </c>
    </row>
    <row r="1183" spans="1:17" x14ac:dyDescent="0.2">
      <c r="A1183" t="s">
        <v>1676</v>
      </c>
      <c r="B1183" t="s">
        <v>343</v>
      </c>
      <c r="C1183" s="1">
        <v>45341.208333333336</v>
      </c>
      <c r="D1183">
        <v>17126.509999999998</v>
      </c>
      <c r="E1183" t="s">
        <v>16</v>
      </c>
      <c r="F1183" t="s">
        <v>17</v>
      </c>
      <c r="G1183" t="s">
        <v>18</v>
      </c>
      <c r="H1183" t="s">
        <v>36</v>
      </c>
      <c r="I1183" t="s">
        <v>19</v>
      </c>
      <c r="J1183" t="s">
        <v>20</v>
      </c>
      <c r="K1183">
        <v>0</v>
      </c>
      <c r="L1183">
        <v>3</v>
      </c>
      <c r="M1183">
        <v>7.21</v>
      </c>
      <c r="N1183">
        <v>1</v>
      </c>
      <c r="O1183" t="str">
        <f>IF(financial_fraud_data[[#This Row],[Risk_Score]]&gt;8,"High",IF(financial_fraud_data[[#This Row],[Risk_Score]]&gt;5,"Med","Low"))</f>
        <v>Med</v>
      </c>
      <c r="P1183" t="str">
        <f>TEXT(financial_fraud_data[[#This Row],[Transaction_Date]],"MMM")</f>
        <v>Feb</v>
      </c>
      <c r="Q1183" t="str">
        <f>IF(financial_fraud_data[[#This Row],[Is_Fraud]]=1,"Yes","No")</f>
        <v>Yes</v>
      </c>
    </row>
    <row r="1184" spans="1:17" x14ac:dyDescent="0.2">
      <c r="A1184" t="s">
        <v>1677</v>
      </c>
      <c r="B1184" t="s">
        <v>308</v>
      </c>
      <c r="C1184" s="1">
        <v>45341.25</v>
      </c>
      <c r="D1184">
        <v>31649.46</v>
      </c>
      <c r="E1184" t="s">
        <v>42</v>
      </c>
      <c r="F1184" t="s">
        <v>27</v>
      </c>
      <c r="G1184" t="s">
        <v>56</v>
      </c>
      <c r="H1184" t="s">
        <v>19</v>
      </c>
      <c r="I1184" t="s">
        <v>24</v>
      </c>
      <c r="J1184" t="s">
        <v>20</v>
      </c>
      <c r="K1184">
        <v>0</v>
      </c>
      <c r="L1184">
        <v>0</v>
      </c>
      <c r="M1184">
        <v>4.16</v>
      </c>
      <c r="N1184">
        <v>0</v>
      </c>
      <c r="O1184" t="str">
        <f>IF(financial_fraud_data[[#This Row],[Risk_Score]]&gt;8,"High",IF(financial_fraud_data[[#This Row],[Risk_Score]]&gt;5,"Med","Low"))</f>
        <v>Low</v>
      </c>
      <c r="P1184" t="str">
        <f>TEXT(financial_fraud_data[[#This Row],[Transaction_Date]],"MMM")</f>
        <v>Feb</v>
      </c>
      <c r="Q1184" t="str">
        <f>IF(financial_fraud_data[[#This Row],[Is_Fraud]]=1,"Yes","No")</f>
        <v>No</v>
      </c>
    </row>
    <row r="1185" spans="1:17" x14ac:dyDescent="0.2">
      <c r="A1185" t="s">
        <v>1678</v>
      </c>
      <c r="B1185" t="s">
        <v>431</v>
      </c>
      <c r="C1185" s="1">
        <v>45341.291666666664</v>
      </c>
      <c r="D1185">
        <v>46604.800000000003</v>
      </c>
      <c r="E1185" t="s">
        <v>80</v>
      </c>
      <c r="F1185" t="s">
        <v>27</v>
      </c>
      <c r="G1185" t="s">
        <v>65</v>
      </c>
      <c r="H1185" t="s">
        <v>29</v>
      </c>
      <c r="I1185" t="s">
        <v>23</v>
      </c>
      <c r="J1185" t="s">
        <v>51</v>
      </c>
      <c r="K1185">
        <v>0</v>
      </c>
      <c r="L1185">
        <v>3</v>
      </c>
      <c r="M1185">
        <v>10.16</v>
      </c>
      <c r="N1185">
        <v>1</v>
      </c>
      <c r="O1185" t="str">
        <f>IF(financial_fraud_data[[#This Row],[Risk_Score]]&gt;8,"High",IF(financial_fraud_data[[#This Row],[Risk_Score]]&gt;5,"Med","Low"))</f>
        <v>High</v>
      </c>
      <c r="P1185" t="str">
        <f>TEXT(financial_fraud_data[[#This Row],[Transaction_Date]],"MMM")</f>
        <v>Feb</v>
      </c>
      <c r="Q1185" t="str">
        <f>IF(financial_fraud_data[[#This Row],[Is_Fraud]]=1,"Yes","No")</f>
        <v>Yes</v>
      </c>
    </row>
    <row r="1186" spans="1:17" x14ac:dyDescent="0.2">
      <c r="A1186" t="s">
        <v>1679</v>
      </c>
      <c r="B1186" t="s">
        <v>1486</v>
      </c>
      <c r="C1186" s="1">
        <v>45341.333333333336</v>
      </c>
      <c r="D1186">
        <v>5170.3599999999997</v>
      </c>
      <c r="E1186" t="s">
        <v>34</v>
      </c>
      <c r="F1186" t="s">
        <v>50</v>
      </c>
      <c r="G1186" t="s">
        <v>28</v>
      </c>
      <c r="H1186" t="s">
        <v>23</v>
      </c>
      <c r="I1186" t="s">
        <v>36</v>
      </c>
      <c r="J1186" t="s">
        <v>51</v>
      </c>
      <c r="K1186">
        <v>0</v>
      </c>
      <c r="L1186">
        <v>1</v>
      </c>
      <c r="M1186">
        <v>3.02</v>
      </c>
      <c r="N1186">
        <v>0</v>
      </c>
      <c r="O1186" t="str">
        <f>IF(financial_fraud_data[[#This Row],[Risk_Score]]&gt;8,"High",IF(financial_fraud_data[[#This Row],[Risk_Score]]&gt;5,"Med","Low"))</f>
        <v>Low</v>
      </c>
      <c r="P1186" t="str">
        <f>TEXT(financial_fraud_data[[#This Row],[Transaction_Date]],"MMM")</f>
        <v>Feb</v>
      </c>
      <c r="Q1186" t="str">
        <f>IF(financial_fraud_data[[#This Row],[Is_Fraud]]=1,"Yes","No")</f>
        <v>No</v>
      </c>
    </row>
    <row r="1187" spans="1:17" x14ac:dyDescent="0.2">
      <c r="A1187" t="s">
        <v>1680</v>
      </c>
      <c r="B1187" t="s">
        <v>106</v>
      </c>
      <c r="C1187" s="1">
        <v>45341.375</v>
      </c>
      <c r="D1187">
        <v>46864.56</v>
      </c>
      <c r="E1187" t="s">
        <v>42</v>
      </c>
      <c r="F1187" t="s">
        <v>27</v>
      </c>
      <c r="G1187" t="s">
        <v>28</v>
      </c>
      <c r="H1187" t="s">
        <v>36</v>
      </c>
      <c r="I1187" t="s">
        <v>24</v>
      </c>
      <c r="J1187" t="s">
        <v>20</v>
      </c>
      <c r="K1187">
        <v>0</v>
      </c>
      <c r="L1187">
        <v>2</v>
      </c>
      <c r="M1187">
        <v>8.69</v>
      </c>
      <c r="N1187">
        <v>1</v>
      </c>
      <c r="O1187" t="str">
        <f>IF(financial_fraud_data[[#This Row],[Risk_Score]]&gt;8,"High",IF(financial_fraud_data[[#This Row],[Risk_Score]]&gt;5,"Med","Low"))</f>
        <v>High</v>
      </c>
      <c r="P1187" t="str">
        <f>TEXT(financial_fraud_data[[#This Row],[Transaction_Date]],"MMM")</f>
        <v>Feb</v>
      </c>
      <c r="Q1187" t="str">
        <f>IF(financial_fraud_data[[#This Row],[Is_Fraud]]=1,"Yes","No")</f>
        <v>Yes</v>
      </c>
    </row>
    <row r="1188" spans="1:17" x14ac:dyDescent="0.2">
      <c r="A1188" t="s">
        <v>1681</v>
      </c>
      <c r="B1188" t="s">
        <v>396</v>
      </c>
      <c r="C1188" s="1">
        <v>45341.416666666664</v>
      </c>
      <c r="D1188">
        <v>34409.89</v>
      </c>
      <c r="E1188" t="s">
        <v>42</v>
      </c>
      <c r="F1188" t="s">
        <v>17</v>
      </c>
      <c r="G1188" t="s">
        <v>35</v>
      </c>
      <c r="H1188" t="s">
        <v>19</v>
      </c>
      <c r="I1188" t="s">
        <v>23</v>
      </c>
      <c r="J1188" t="s">
        <v>20</v>
      </c>
      <c r="K1188">
        <v>0</v>
      </c>
      <c r="L1188">
        <v>4</v>
      </c>
      <c r="M1188">
        <v>10.44</v>
      </c>
      <c r="N1188">
        <v>1</v>
      </c>
      <c r="O1188" t="str">
        <f>IF(financial_fraud_data[[#This Row],[Risk_Score]]&gt;8,"High",IF(financial_fraud_data[[#This Row],[Risk_Score]]&gt;5,"Med","Low"))</f>
        <v>High</v>
      </c>
      <c r="P1188" t="str">
        <f>TEXT(financial_fraud_data[[#This Row],[Transaction_Date]],"MMM")</f>
        <v>Feb</v>
      </c>
      <c r="Q1188" t="str">
        <f>IF(financial_fraud_data[[#This Row],[Is_Fraud]]=1,"Yes","No")</f>
        <v>Yes</v>
      </c>
    </row>
    <row r="1189" spans="1:17" x14ac:dyDescent="0.2">
      <c r="A1189" t="s">
        <v>1682</v>
      </c>
      <c r="B1189" t="s">
        <v>661</v>
      </c>
      <c r="C1189" s="1">
        <v>45341.458333333336</v>
      </c>
      <c r="D1189">
        <v>3438.46</v>
      </c>
      <c r="E1189" t="s">
        <v>80</v>
      </c>
      <c r="F1189" t="s">
        <v>27</v>
      </c>
      <c r="G1189" t="s">
        <v>18</v>
      </c>
      <c r="H1189" t="s">
        <v>23</v>
      </c>
      <c r="I1189" t="s">
        <v>29</v>
      </c>
      <c r="J1189" t="s">
        <v>37</v>
      </c>
      <c r="K1189">
        <v>1</v>
      </c>
      <c r="L1189">
        <v>0</v>
      </c>
      <c r="M1189">
        <v>3.34</v>
      </c>
      <c r="N1189">
        <v>0</v>
      </c>
      <c r="O1189" t="str">
        <f>IF(financial_fraud_data[[#This Row],[Risk_Score]]&gt;8,"High",IF(financial_fraud_data[[#This Row],[Risk_Score]]&gt;5,"Med","Low"))</f>
        <v>Low</v>
      </c>
      <c r="P1189" t="str">
        <f>TEXT(financial_fraud_data[[#This Row],[Transaction_Date]],"MMM")</f>
        <v>Feb</v>
      </c>
      <c r="Q1189" t="str">
        <f>IF(financial_fraud_data[[#This Row],[Is_Fraud]]=1,"Yes","No")</f>
        <v>No</v>
      </c>
    </row>
    <row r="1190" spans="1:17" x14ac:dyDescent="0.2">
      <c r="A1190" t="s">
        <v>1683</v>
      </c>
      <c r="B1190" t="s">
        <v>255</v>
      </c>
      <c r="C1190" s="1">
        <v>45341.5</v>
      </c>
      <c r="D1190">
        <v>15083.13</v>
      </c>
      <c r="E1190" t="s">
        <v>80</v>
      </c>
      <c r="F1190" t="s">
        <v>50</v>
      </c>
      <c r="G1190" t="s">
        <v>18</v>
      </c>
      <c r="H1190" t="s">
        <v>29</v>
      </c>
      <c r="I1190" t="s">
        <v>29</v>
      </c>
      <c r="J1190" t="s">
        <v>37</v>
      </c>
      <c r="K1190">
        <v>0</v>
      </c>
      <c r="L1190">
        <v>4</v>
      </c>
      <c r="M1190">
        <v>7.51</v>
      </c>
      <c r="N1190">
        <v>1</v>
      </c>
      <c r="O1190" t="str">
        <f>IF(financial_fraud_data[[#This Row],[Risk_Score]]&gt;8,"High",IF(financial_fraud_data[[#This Row],[Risk_Score]]&gt;5,"Med","Low"))</f>
        <v>Med</v>
      </c>
      <c r="P1190" t="str">
        <f>TEXT(financial_fraud_data[[#This Row],[Transaction_Date]],"MMM")</f>
        <v>Feb</v>
      </c>
      <c r="Q1190" t="str">
        <f>IF(financial_fraud_data[[#This Row],[Is_Fraud]]=1,"Yes","No")</f>
        <v>Yes</v>
      </c>
    </row>
    <row r="1191" spans="1:17" x14ac:dyDescent="0.2">
      <c r="A1191" t="s">
        <v>1684</v>
      </c>
      <c r="B1191" t="s">
        <v>823</v>
      </c>
      <c r="C1191" s="1">
        <v>45341.541666666664</v>
      </c>
      <c r="D1191">
        <v>35423.199999999997</v>
      </c>
      <c r="E1191" t="s">
        <v>34</v>
      </c>
      <c r="F1191" t="s">
        <v>17</v>
      </c>
      <c r="G1191" t="s">
        <v>65</v>
      </c>
      <c r="H1191" t="s">
        <v>36</v>
      </c>
      <c r="I1191" t="s">
        <v>23</v>
      </c>
      <c r="J1191" t="s">
        <v>51</v>
      </c>
      <c r="K1191">
        <v>0</v>
      </c>
      <c r="L1191">
        <v>4</v>
      </c>
      <c r="M1191">
        <v>10.54</v>
      </c>
      <c r="N1191">
        <v>1</v>
      </c>
      <c r="O1191" t="str">
        <f>IF(financial_fraud_data[[#This Row],[Risk_Score]]&gt;8,"High",IF(financial_fraud_data[[#This Row],[Risk_Score]]&gt;5,"Med","Low"))</f>
        <v>High</v>
      </c>
      <c r="P1191" t="str">
        <f>TEXT(financial_fraud_data[[#This Row],[Transaction_Date]],"MMM")</f>
        <v>Feb</v>
      </c>
      <c r="Q1191" t="str">
        <f>IF(financial_fraud_data[[#This Row],[Is_Fraud]]=1,"Yes","No")</f>
        <v>Yes</v>
      </c>
    </row>
    <row r="1192" spans="1:17" x14ac:dyDescent="0.2">
      <c r="A1192" t="s">
        <v>1685</v>
      </c>
      <c r="B1192" t="s">
        <v>816</v>
      </c>
      <c r="C1192" s="1">
        <v>45341.583333333336</v>
      </c>
      <c r="D1192">
        <v>3414.16</v>
      </c>
      <c r="E1192" t="s">
        <v>34</v>
      </c>
      <c r="F1192" t="s">
        <v>47</v>
      </c>
      <c r="G1192" t="s">
        <v>28</v>
      </c>
      <c r="H1192" t="s">
        <v>36</v>
      </c>
      <c r="I1192" t="s">
        <v>36</v>
      </c>
      <c r="J1192" t="s">
        <v>20</v>
      </c>
      <c r="K1192">
        <v>0</v>
      </c>
      <c r="L1192">
        <v>4</v>
      </c>
      <c r="M1192">
        <v>6.34</v>
      </c>
      <c r="N1192">
        <v>1</v>
      </c>
      <c r="O1192" t="str">
        <f>IF(financial_fraud_data[[#This Row],[Risk_Score]]&gt;8,"High",IF(financial_fraud_data[[#This Row],[Risk_Score]]&gt;5,"Med","Low"))</f>
        <v>Med</v>
      </c>
      <c r="P1192" t="str">
        <f>TEXT(financial_fraud_data[[#This Row],[Transaction_Date]],"MMM")</f>
        <v>Feb</v>
      </c>
      <c r="Q1192" t="str">
        <f>IF(financial_fraud_data[[#This Row],[Is_Fraud]]=1,"Yes","No")</f>
        <v>Yes</v>
      </c>
    </row>
    <row r="1193" spans="1:17" x14ac:dyDescent="0.2">
      <c r="A1193" t="s">
        <v>1686</v>
      </c>
      <c r="B1193" t="s">
        <v>1279</v>
      </c>
      <c r="C1193" s="1">
        <v>45341.625</v>
      </c>
      <c r="D1193">
        <v>29129.41</v>
      </c>
      <c r="E1193" t="s">
        <v>80</v>
      </c>
      <c r="F1193" t="s">
        <v>50</v>
      </c>
      <c r="G1193" t="s">
        <v>35</v>
      </c>
      <c r="H1193" t="s">
        <v>36</v>
      </c>
      <c r="I1193" t="s">
        <v>23</v>
      </c>
      <c r="J1193" t="s">
        <v>51</v>
      </c>
      <c r="K1193">
        <v>0</v>
      </c>
      <c r="L1193">
        <v>4</v>
      </c>
      <c r="M1193">
        <v>9.91</v>
      </c>
      <c r="N1193">
        <v>1</v>
      </c>
      <c r="O1193" t="str">
        <f>IF(financial_fraud_data[[#This Row],[Risk_Score]]&gt;8,"High",IF(financial_fraud_data[[#This Row],[Risk_Score]]&gt;5,"Med","Low"))</f>
        <v>High</v>
      </c>
      <c r="P1193" t="str">
        <f>TEXT(financial_fraud_data[[#This Row],[Transaction_Date]],"MMM")</f>
        <v>Feb</v>
      </c>
      <c r="Q1193" t="str">
        <f>IF(financial_fraud_data[[#This Row],[Is_Fraud]]=1,"Yes","No")</f>
        <v>Yes</v>
      </c>
    </row>
    <row r="1194" spans="1:17" x14ac:dyDescent="0.2">
      <c r="A1194" t="s">
        <v>1687</v>
      </c>
      <c r="B1194" t="s">
        <v>1688</v>
      </c>
      <c r="C1194" s="1">
        <v>45341.666666666664</v>
      </c>
      <c r="D1194">
        <v>17326.86</v>
      </c>
      <c r="E1194" t="s">
        <v>34</v>
      </c>
      <c r="F1194" t="s">
        <v>47</v>
      </c>
      <c r="G1194" t="s">
        <v>65</v>
      </c>
      <c r="H1194" t="s">
        <v>23</v>
      </c>
      <c r="I1194" t="s">
        <v>24</v>
      </c>
      <c r="J1194" t="s">
        <v>37</v>
      </c>
      <c r="K1194">
        <v>0</v>
      </c>
      <c r="L1194">
        <v>1</v>
      </c>
      <c r="M1194">
        <v>4.2300000000000004</v>
      </c>
      <c r="N1194">
        <v>0</v>
      </c>
      <c r="O1194" t="str">
        <f>IF(financial_fraud_data[[#This Row],[Risk_Score]]&gt;8,"High",IF(financial_fraud_data[[#This Row],[Risk_Score]]&gt;5,"Med","Low"))</f>
        <v>Low</v>
      </c>
      <c r="P1194" t="str">
        <f>TEXT(financial_fraud_data[[#This Row],[Transaction_Date]],"MMM")</f>
        <v>Feb</v>
      </c>
      <c r="Q1194" t="str">
        <f>IF(financial_fraud_data[[#This Row],[Is_Fraud]]=1,"Yes","No")</f>
        <v>No</v>
      </c>
    </row>
    <row r="1195" spans="1:17" x14ac:dyDescent="0.2">
      <c r="A1195" t="s">
        <v>1689</v>
      </c>
      <c r="B1195" t="s">
        <v>33</v>
      </c>
      <c r="C1195" s="1">
        <v>45341.708333333336</v>
      </c>
      <c r="D1195">
        <v>31064.73</v>
      </c>
      <c r="E1195" t="s">
        <v>80</v>
      </c>
      <c r="F1195" t="s">
        <v>17</v>
      </c>
      <c r="G1195" t="s">
        <v>18</v>
      </c>
      <c r="H1195" t="s">
        <v>23</v>
      </c>
      <c r="I1195" t="s">
        <v>24</v>
      </c>
      <c r="J1195" t="s">
        <v>51</v>
      </c>
      <c r="K1195">
        <v>0</v>
      </c>
      <c r="L1195">
        <v>4</v>
      </c>
      <c r="M1195">
        <v>10.11</v>
      </c>
      <c r="N1195">
        <v>1</v>
      </c>
      <c r="O1195" t="str">
        <f>IF(financial_fraud_data[[#This Row],[Risk_Score]]&gt;8,"High",IF(financial_fraud_data[[#This Row],[Risk_Score]]&gt;5,"Med","Low"))</f>
        <v>High</v>
      </c>
      <c r="P1195" t="str">
        <f>TEXT(financial_fraud_data[[#This Row],[Transaction_Date]],"MMM")</f>
        <v>Feb</v>
      </c>
      <c r="Q1195" t="str">
        <f>IF(financial_fraud_data[[#This Row],[Is_Fraud]]=1,"Yes","No")</f>
        <v>Yes</v>
      </c>
    </row>
    <row r="1196" spans="1:17" x14ac:dyDescent="0.2">
      <c r="A1196" t="s">
        <v>1690</v>
      </c>
      <c r="B1196" t="s">
        <v>1017</v>
      </c>
      <c r="C1196" s="1">
        <v>45341.75</v>
      </c>
      <c r="D1196">
        <v>2334.81</v>
      </c>
      <c r="E1196" t="s">
        <v>42</v>
      </c>
      <c r="F1196" t="s">
        <v>50</v>
      </c>
      <c r="G1196" t="s">
        <v>28</v>
      </c>
      <c r="H1196" t="s">
        <v>23</v>
      </c>
      <c r="I1196" t="s">
        <v>29</v>
      </c>
      <c r="J1196" t="s">
        <v>51</v>
      </c>
      <c r="K1196">
        <v>0</v>
      </c>
      <c r="L1196">
        <v>4</v>
      </c>
      <c r="M1196">
        <v>7.23</v>
      </c>
      <c r="N1196">
        <v>1</v>
      </c>
      <c r="O1196" t="str">
        <f>IF(financial_fraud_data[[#This Row],[Risk_Score]]&gt;8,"High",IF(financial_fraud_data[[#This Row],[Risk_Score]]&gt;5,"Med","Low"))</f>
        <v>Med</v>
      </c>
      <c r="P1196" t="str">
        <f>TEXT(financial_fraud_data[[#This Row],[Transaction_Date]],"MMM")</f>
        <v>Feb</v>
      </c>
      <c r="Q1196" t="str">
        <f>IF(financial_fraud_data[[#This Row],[Is_Fraud]]=1,"Yes","No")</f>
        <v>Yes</v>
      </c>
    </row>
    <row r="1197" spans="1:17" x14ac:dyDescent="0.2">
      <c r="A1197" t="s">
        <v>1691</v>
      </c>
      <c r="B1197" t="s">
        <v>328</v>
      </c>
      <c r="C1197" s="1">
        <v>45341.791666666664</v>
      </c>
      <c r="D1197">
        <v>43583.26</v>
      </c>
      <c r="E1197" t="s">
        <v>80</v>
      </c>
      <c r="F1197" t="s">
        <v>50</v>
      </c>
      <c r="G1197" t="s">
        <v>35</v>
      </c>
      <c r="H1197" t="s">
        <v>23</v>
      </c>
      <c r="I1197" t="s">
        <v>23</v>
      </c>
      <c r="J1197" t="s">
        <v>51</v>
      </c>
      <c r="K1197">
        <v>0</v>
      </c>
      <c r="L1197">
        <v>1</v>
      </c>
      <c r="M1197">
        <v>5.86</v>
      </c>
      <c r="N1197">
        <v>1</v>
      </c>
      <c r="O1197" t="str">
        <f>IF(financial_fraud_data[[#This Row],[Risk_Score]]&gt;8,"High",IF(financial_fraud_data[[#This Row],[Risk_Score]]&gt;5,"Med","Low"))</f>
        <v>Med</v>
      </c>
      <c r="P1197" t="str">
        <f>TEXT(financial_fraud_data[[#This Row],[Transaction_Date]],"MMM")</f>
        <v>Feb</v>
      </c>
      <c r="Q1197" t="str">
        <f>IF(financial_fraud_data[[#This Row],[Is_Fraud]]=1,"Yes","No")</f>
        <v>Yes</v>
      </c>
    </row>
    <row r="1198" spans="1:17" x14ac:dyDescent="0.2">
      <c r="A1198" t="s">
        <v>1692</v>
      </c>
      <c r="B1198" t="s">
        <v>1693</v>
      </c>
      <c r="C1198" s="1">
        <v>45341.833333333336</v>
      </c>
      <c r="D1198">
        <v>48675.77</v>
      </c>
      <c r="E1198" t="s">
        <v>80</v>
      </c>
      <c r="F1198" t="s">
        <v>17</v>
      </c>
      <c r="G1198" t="s">
        <v>56</v>
      </c>
      <c r="H1198" t="s">
        <v>19</v>
      </c>
      <c r="I1198" t="s">
        <v>29</v>
      </c>
      <c r="J1198" t="s">
        <v>37</v>
      </c>
      <c r="K1198">
        <v>0</v>
      </c>
      <c r="L1198">
        <v>3</v>
      </c>
      <c r="M1198">
        <v>10.37</v>
      </c>
      <c r="N1198">
        <v>1</v>
      </c>
      <c r="O1198" t="str">
        <f>IF(financial_fraud_data[[#This Row],[Risk_Score]]&gt;8,"High",IF(financial_fraud_data[[#This Row],[Risk_Score]]&gt;5,"Med","Low"))</f>
        <v>High</v>
      </c>
      <c r="P1198" t="str">
        <f>TEXT(financial_fraud_data[[#This Row],[Transaction_Date]],"MMM")</f>
        <v>Feb</v>
      </c>
      <c r="Q1198" t="str">
        <f>IF(financial_fraud_data[[#This Row],[Is_Fraud]]=1,"Yes","No")</f>
        <v>Yes</v>
      </c>
    </row>
    <row r="1199" spans="1:17" x14ac:dyDescent="0.2">
      <c r="A1199" t="s">
        <v>1694</v>
      </c>
      <c r="B1199" t="s">
        <v>398</v>
      </c>
      <c r="C1199" s="1">
        <v>45341.875</v>
      </c>
      <c r="D1199">
        <v>48445.45</v>
      </c>
      <c r="E1199" t="s">
        <v>16</v>
      </c>
      <c r="F1199" t="s">
        <v>27</v>
      </c>
      <c r="G1199" t="s">
        <v>28</v>
      </c>
      <c r="H1199" t="s">
        <v>24</v>
      </c>
      <c r="I1199" t="s">
        <v>36</v>
      </c>
      <c r="J1199" t="s">
        <v>51</v>
      </c>
      <c r="K1199">
        <v>0</v>
      </c>
      <c r="L1199">
        <v>1</v>
      </c>
      <c r="M1199">
        <v>7.34</v>
      </c>
      <c r="N1199">
        <v>1</v>
      </c>
      <c r="O1199" t="str">
        <f>IF(financial_fraud_data[[#This Row],[Risk_Score]]&gt;8,"High",IF(financial_fraud_data[[#This Row],[Risk_Score]]&gt;5,"Med","Low"))</f>
        <v>Med</v>
      </c>
      <c r="P1199" t="str">
        <f>TEXT(financial_fraud_data[[#This Row],[Transaction_Date]],"MMM")</f>
        <v>Feb</v>
      </c>
      <c r="Q1199" t="str">
        <f>IF(financial_fraud_data[[#This Row],[Is_Fraud]]=1,"Yes","No")</f>
        <v>Yes</v>
      </c>
    </row>
    <row r="1200" spans="1:17" x14ac:dyDescent="0.2">
      <c r="A1200" t="s">
        <v>1695</v>
      </c>
      <c r="B1200" t="s">
        <v>519</v>
      </c>
      <c r="C1200" s="1">
        <v>45341.916666666664</v>
      </c>
      <c r="D1200">
        <v>37495.11</v>
      </c>
      <c r="E1200" t="s">
        <v>80</v>
      </c>
      <c r="F1200" t="s">
        <v>50</v>
      </c>
      <c r="G1200" t="s">
        <v>35</v>
      </c>
      <c r="H1200" t="s">
        <v>19</v>
      </c>
      <c r="I1200" t="s">
        <v>24</v>
      </c>
      <c r="J1200" t="s">
        <v>37</v>
      </c>
      <c r="K1200">
        <v>1</v>
      </c>
      <c r="L1200">
        <v>2</v>
      </c>
      <c r="M1200">
        <v>9.75</v>
      </c>
      <c r="N1200">
        <v>1</v>
      </c>
      <c r="O1200" t="str">
        <f>IF(financial_fraud_data[[#This Row],[Risk_Score]]&gt;8,"High",IF(financial_fraud_data[[#This Row],[Risk_Score]]&gt;5,"Med","Low"))</f>
        <v>High</v>
      </c>
      <c r="P1200" t="str">
        <f>TEXT(financial_fraud_data[[#This Row],[Transaction_Date]],"MMM")</f>
        <v>Feb</v>
      </c>
      <c r="Q1200" t="str">
        <f>IF(financial_fraud_data[[#This Row],[Is_Fraud]]=1,"Yes","No")</f>
        <v>Yes</v>
      </c>
    </row>
    <row r="1201" spans="1:17" x14ac:dyDescent="0.2">
      <c r="A1201" t="s">
        <v>1696</v>
      </c>
      <c r="B1201" t="s">
        <v>431</v>
      </c>
      <c r="C1201" s="1">
        <v>45341.958333333336</v>
      </c>
      <c r="D1201">
        <v>6547.81</v>
      </c>
      <c r="E1201" t="s">
        <v>80</v>
      </c>
      <c r="F1201" t="s">
        <v>50</v>
      </c>
      <c r="G1201" t="s">
        <v>65</v>
      </c>
      <c r="H1201" t="s">
        <v>36</v>
      </c>
      <c r="I1201" t="s">
        <v>19</v>
      </c>
      <c r="J1201" t="s">
        <v>20</v>
      </c>
      <c r="K1201">
        <v>0</v>
      </c>
      <c r="L1201">
        <v>1</v>
      </c>
      <c r="M1201">
        <v>3.15</v>
      </c>
      <c r="N1201">
        <v>0</v>
      </c>
      <c r="O1201" t="str">
        <f>IF(financial_fraud_data[[#This Row],[Risk_Score]]&gt;8,"High",IF(financial_fraud_data[[#This Row],[Risk_Score]]&gt;5,"Med","Low"))</f>
        <v>Low</v>
      </c>
      <c r="P1201" t="str">
        <f>TEXT(financial_fraud_data[[#This Row],[Transaction_Date]],"MMM")</f>
        <v>Feb</v>
      </c>
      <c r="Q1201" t="str">
        <f>IF(financial_fraud_data[[#This Row],[Is_Fraud]]=1,"Yes","No")</f>
        <v>No</v>
      </c>
    </row>
    <row r="1202" spans="1:17" x14ac:dyDescent="0.2">
      <c r="A1202" t="s">
        <v>1697</v>
      </c>
      <c r="B1202" t="s">
        <v>1099</v>
      </c>
      <c r="C1202" s="1">
        <v>45342</v>
      </c>
      <c r="D1202">
        <v>37925.25</v>
      </c>
      <c r="E1202" t="s">
        <v>16</v>
      </c>
      <c r="F1202" t="s">
        <v>47</v>
      </c>
      <c r="G1202" t="s">
        <v>56</v>
      </c>
      <c r="H1202" t="s">
        <v>19</v>
      </c>
      <c r="I1202" t="s">
        <v>19</v>
      </c>
      <c r="J1202" t="s">
        <v>51</v>
      </c>
      <c r="K1202">
        <v>0</v>
      </c>
      <c r="L1202">
        <v>3</v>
      </c>
      <c r="M1202">
        <v>8.2899999999999991</v>
      </c>
      <c r="N1202">
        <v>1</v>
      </c>
      <c r="O1202" t="str">
        <f>IF(financial_fraud_data[[#This Row],[Risk_Score]]&gt;8,"High",IF(financial_fraud_data[[#This Row],[Risk_Score]]&gt;5,"Med","Low"))</f>
        <v>High</v>
      </c>
      <c r="P1202" t="str">
        <f>TEXT(financial_fraud_data[[#This Row],[Transaction_Date]],"MMM")</f>
        <v>Feb</v>
      </c>
      <c r="Q1202" t="str">
        <f>IF(financial_fraud_data[[#This Row],[Is_Fraud]]=1,"Yes","No")</f>
        <v>Yes</v>
      </c>
    </row>
    <row r="1203" spans="1:17" x14ac:dyDescent="0.2">
      <c r="A1203" t="s">
        <v>1698</v>
      </c>
      <c r="B1203" t="s">
        <v>894</v>
      </c>
      <c r="C1203" s="1">
        <v>45342.041666666664</v>
      </c>
      <c r="D1203">
        <v>1278.1199999999999</v>
      </c>
      <c r="E1203" t="s">
        <v>34</v>
      </c>
      <c r="F1203" t="s">
        <v>27</v>
      </c>
      <c r="G1203" t="s">
        <v>35</v>
      </c>
      <c r="H1203" t="s">
        <v>29</v>
      </c>
      <c r="I1203" t="s">
        <v>23</v>
      </c>
      <c r="J1203" t="s">
        <v>51</v>
      </c>
      <c r="K1203">
        <v>1</v>
      </c>
      <c r="L1203">
        <v>2</v>
      </c>
      <c r="M1203">
        <v>6.13</v>
      </c>
      <c r="N1203">
        <v>1</v>
      </c>
      <c r="O1203" t="str">
        <f>IF(financial_fraud_data[[#This Row],[Risk_Score]]&gt;8,"High",IF(financial_fraud_data[[#This Row],[Risk_Score]]&gt;5,"Med","Low"))</f>
        <v>Med</v>
      </c>
      <c r="P1203" t="str">
        <f>TEXT(financial_fraud_data[[#This Row],[Transaction_Date]],"MMM")</f>
        <v>Feb</v>
      </c>
      <c r="Q1203" t="str">
        <f>IF(financial_fraud_data[[#This Row],[Is_Fraud]]=1,"Yes","No")</f>
        <v>Yes</v>
      </c>
    </row>
    <row r="1204" spans="1:17" x14ac:dyDescent="0.2">
      <c r="A1204" t="s">
        <v>1699</v>
      </c>
      <c r="B1204" t="s">
        <v>543</v>
      </c>
      <c r="C1204" s="1">
        <v>45342.083333333336</v>
      </c>
      <c r="D1204">
        <v>1155.07</v>
      </c>
      <c r="E1204" t="s">
        <v>16</v>
      </c>
      <c r="F1204" t="s">
        <v>47</v>
      </c>
      <c r="G1204" t="s">
        <v>35</v>
      </c>
      <c r="H1204" t="s">
        <v>23</v>
      </c>
      <c r="I1204" t="s">
        <v>23</v>
      </c>
      <c r="J1204" t="s">
        <v>37</v>
      </c>
      <c r="K1204">
        <v>0</v>
      </c>
      <c r="L1204">
        <v>2</v>
      </c>
      <c r="M1204">
        <v>3.12</v>
      </c>
      <c r="N1204">
        <v>0</v>
      </c>
      <c r="O1204" t="str">
        <f>IF(financial_fraud_data[[#This Row],[Risk_Score]]&gt;8,"High",IF(financial_fraud_data[[#This Row],[Risk_Score]]&gt;5,"Med","Low"))</f>
        <v>Low</v>
      </c>
      <c r="P1204" t="str">
        <f>TEXT(financial_fraud_data[[#This Row],[Transaction_Date]],"MMM")</f>
        <v>Feb</v>
      </c>
      <c r="Q1204" t="str">
        <f>IF(financial_fraud_data[[#This Row],[Is_Fraud]]=1,"Yes","No")</f>
        <v>No</v>
      </c>
    </row>
    <row r="1205" spans="1:17" x14ac:dyDescent="0.2">
      <c r="A1205" t="s">
        <v>1700</v>
      </c>
      <c r="B1205" t="s">
        <v>239</v>
      </c>
      <c r="C1205" s="1">
        <v>45342.125</v>
      </c>
      <c r="D1205">
        <v>16214.33</v>
      </c>
      <c r="E1205" t="s">
        <v>42</v>
      </c>
      <c r="F1205" t="s">
        <v>47</v>
      </c>
      <c r="G1205" t="s">
        <v>18</v>
      </c>
      <c r="H1205" t="s">
        <v>29</v>
      </c>
      <c r="I1205" t="s">
        <v>19</v>
      </c>
      <c r="J1205" t="s">
        <v>51</v>
      </c>
      <c r="K1205">
        <v>0</v>
      </c>
      <c r="L1205">
        <v>0</v>
      </c>
      <c r="M1205">
        <v>2.62</v>
      </c>
      <c r="N1205">
        <v>0</v>
      </c>
      <c r="O1205" t="str">
        <f>IF(financial_fraud_data[[#This Row],[Risk_Score]]&gt;8,"High",IF(financial_fraud_data[[#This Row],[Risk_Score]]&gt;5,"Med","Low"))</f>
        <v>Low</v>
      </c>
      <c r="P1205" t="str">
        <f>TEXT(financial_fraud_data[[#This Row],[Transaction_Date]],"MMM")</f>
        <v>Feb</v>
      </c>
      <c r="Q1205" t="str">
        <f>IF(financial_fraud_data[[#This Row],[Is_Fraud]]=1,"Yes","No")</f>
        <v>No</v>
      </c>
    </row>
    <row r="1206" spans="1:17" x14ac:dyDescent="0.2">
      <c r="A1206" t="s">
        <v>1701</v>
      </c>
      <c r="B1206" t="s">
        <v>268</v>
      </c>
      <c r="C1206" s="1">
        <v>45342.166666666664</v>
      </c>
      <c r="D1206">
        <v>24457.73</v>
      </c>
      <c r="E1206" t="s">
        <v>16</v>
      </c>
      <c r="F1206" t="s">
        <v>27</v>
      </c>
      <c r="G1206" t="s">
        <v>28</v>
      </c>
      <c r="H1206" t="s">
        <v>29</v>
      </c>
      <c r="I1206" t="s">
        <v>23</v>
      </c>
      <c r="J1206" t="s">
        <v>37</v>
      </c>
      <c r="K1206">
        <v>0</v>
      </c>
      <c r="L1206">
        <v>4</v>
      </c>
      <c r="M1206">
        <v>9.4499999999999993</v>
      </c>
      <c r="N1206">
        <v>1</v>
      </c>
      <c r="O1206" t="str">
        <f>IF(financial_fraud_data[[#This Row],[Risk_Score]]&gt;8,"High",IF(financial_fraud_data[[#This Row],[Risk_Score]]&gt;5,"Med","Low"))</f>
        <v>High</v>
      </c>
      <c r="P1206" t="str">
        <f>TEXT(financial_fraud_data[[#This Row],[Transaction_Date]],"MMM")</f>
        <v>Feb</v>
      </c>
      <c r="Q1206" t="str">
        <f>IF(financial_fraud_data[[#This Row],[Is_Fraud]]=1,"Yes","No")</f>
        <v>Yes</v>
      </c>
    </row>
    <row r="1207" spans="1:17" x14ac:dyDescent="0.2">
      <c r="A1207" t="s">
        <v>1702</v>
      </c>
      <c r="B1207" t="s">
        <v>268</v>
      </c>
      <c r="C1207" s="1">
        <v>45342.208333333336</v>
      </c>
      <c r="D1207">
        <v>38531.85</v>
      </c>
      <c r="E1207" t="s">
        <v>42</v>
      </c>
      <c r="F1207" t="s">
        <v>27</v>
      </c>
      <c r="G1207" t="s">
        <v>18</v>
      </c>
      <c r="H1207" t="s">
        <v>36</v>
      </c>
      <c r="I1207" t="s">
        <v>24</v>
      </c>
      <c r="J1207" t="s">
        <v>51</v>
      </c>
      <c r="K1207">
        <v>0</v>
      </c>
      <c r="L1207">
        <v>2</v>
      </c>
      <c r="M1207">
        <v>7.85</v>
      </c>
      <c r="N1207">
        <v>1</v>
      </c>
      <c r="O1207" t="str">
        <f>IF(financial_fraud_data[[#This Row],[Risk_Score]]&gt;8,"High",IF(financial_fraud_data[[#This Row],[Risk_Score]]&gt;5,"Med","Low"))</f>
        <v>Med</v>
      </c>
      <c r="P1207" t="str">
        <f>TEXT(financial_fraud_data[[#This Row],[Transaction_Date]],"MMM")</f>
        <v>Feb</v>
      </c>
      <c r="Q1207" t="str">
        <f>IF(financial_fraud_data[[#This Row],[Is_Fraud]]=1,"Yes","No")</f>
        <v>Yes</v>
      </c>
    </row>
    <row r="1208" spans="1:17" x14ac:dyDescent="0.2">
      <c r="A1208" t="s">
        <v>1703</v>
      </c>
      <c r="B1208" t="s">
        <v>217</v>
      </c>
      <c r="C1208" s="1">
        <v>45342.25</v>
      </c>
      <c r="D1208">
        <v>34180.6</v>
      </c>
      <c r="E1208" t="s">
        <v>34</v>
      </c>
      <c r="F1208" t="s">
        <v>17</v>
      </c>
      <c r="G1208" t="s">
        <v>56</v>
      </c>
      <c r="H1208" t="s">
        <v>23</v>
      </c>
      <c r="I1208" t="s">
        <v>36</v>
      </c>
      <c r="J1208" t="s">
        <v>20</v>
      </c>
      <c r="K1208">
        <v>0</v>
      </c>
      <c r="L1208">
        <v>2</v>
      </c>
      <c r="M1208">
        <v>7.42</v>
      </c>
      <c r="N1208">
        <v>1</v>
      </c>
      <c r="O1208" t="str">
        <f>IF(financial_fraud_data[[#This Row],[Risk_Score]]&gt;8,"High",IF(financial_fraud_data[[#This Row],[Risk_Score]]&gt;5,"Med","Low"))</f>
        <v>Med</v>
      </c>
      <c r="P1208" t="str">
        <f>TEXT(financial_fraud_data[[#This Row],[Transaction_Date]],"MMM")</f>
        <v>Feb</v>
      </c>
      <c r="Q1208" t="str">
        <f>IF(financial_fraud_data[[#This Row],[Is_Fraud]]=1,"Yes","No")</f>
        <v>Yes</v>
      </c>
    </row>
    <row r="1209" spans="1:17" x14ac:dyDescent="0.2">
      <c r="A1209" t="s">
        <v>1704</v>
      </c>
      <c r="B1209" t="s">
        <v>138</v>
      </c>
      <c r="C1209" s="1">
        <v>45342.291666666664</v>
      </c>
      <c r="D1209">
        <v>22322.84</v>
      </c>
      <c r="E1209" t="s">
        <v>16</v>
      </c>
      <c r="F1209" t="s">
        <v>27</v>
      </c>
      <c r="G1209" t="s">
        <v>35</v>
      </c>
      <c r="H1209" t="s">
        <v>29</v>
      </c>
      <c r="I1209" t="s">
        <v>36</v>
      </c>
      <c r="J1209" t="s">
        <v>20</v>
      </c>
      <c r="K1209">
        <v>0</v>
      </c>
      <c r="L1209">
        <v>3</v>
      </c>
      <c r="M1209">
        <v>7.73</v>
      </c>
      <c r="N1209">
        <v>1</v>
      </c>
      <c r="O1209" t="str">
        <f>IF(financial_fraud_data[[#This Row],[Risk_Score]]&gt;8,"High",IF(financial_fraud_data[[#This Row],[Risk_Score]]&gt;5,"Med","Low"))</f>
        <v>Med</v>
      </c>
      <c r="P1209" t="str">
        <f>TEXT(financial_fraud_data[[#This Row],[Transaction_Date]],"MMM")</f>
        <v>Feb</v>
      </c>
      <c r="Q1209" t="str">
        <f>IF(financial_fraud_data[[#This Row],[Is_Fraud]]=1,"Yes","No")</f>
        <v>Yes</v>
      </c>
    </row>
    <row r="1210" spans="1:17" x14ac:dyDescent="0.2">
      <c r="A1210" t="s">
        <v>1705</v>
      </c>
      <c r="B1210" t="s">
        <v>1099</v>
      </c>
      <c r="C1210" s="1">
        <v>45342.333333333336</v>
      </c>
      <c r="D1210">
        <v>13717.65</v>
      </c>
      <c r="E1210" t="s">
        <v>16</v>
      </c>
      <c r="F1210" t="s">
        <v>50</v>
      </c>
      <c r="G1210" t="s">
        <v>18</v>
      </c>
      <c r="H1210" t="s">
        <v>36</v>
      </c>
      <c r="I1210" t="s">
        <v>29</v>
      </c>
      <c r="J1210" t="s">
        <v>20</v>
      </c>
      <c r="K1210">
        <v>0</v>
      </c>
      <c r="L1210">
        <v>2</v>
      </c>
      <c r="M1210">
        <v>5.37</v>
      </c>
      <c r="N1210">
        <v>1</v>
      </c>
      <c r="O1210" t="str">
        <f>IF(financial_fraud_data[[#This Row],[Risk_Score]]&gt;8,"High",IF(financial_fraud_data[[#This Row],[Risk_Score]]&gt;5,"Med","Low"))</f>
        <v>Med</v>
      </c>
      <c r="P1210" t="str">
        <f>TEXT(financial_fraud_data[[#This Row],[Transaction_Date]],"MMM")</f>
        <v>Feb</v>
      </c>
      <c r="Q1210" t="str">
        <f>IF(financial_fraud_data[[#This Row],[Is_Fraud]]=1,"Yes","No")</f>
        <v>Yes</v>
      </c>
    </row>
    <row r="1211" spans="1:17" x14ac:dyDescent="0.2">
      <c r="A1211" t="s">
        <v>1706</v>
      </c>
      <c r="B1211" t="s">
        <v>593</v>
      </c>
      <c r="C1211" s="1">
        <v>45342.375</v>
      </c>
      <c r="D1211">
        <v>49856.37</v>
      </c>
      <c r="E1211" t="s">
        <v>34</v>
      </c>
      <c r="F1211" t="s">
        <v>27</v>
      </c>
      <c r="G1211" t="s">
        <v>28</v>
      </c>
      <c r="H1211" t="s">
        <v>23</v>
      </c>
      <c r="I1211" t="s">
        <v>24</v>
      </c>
      <c r="J1211" t="s">
        <v>51</v>
      </c>
      <c r="K1211">
        <v>0</v>
      </c>
      <c r="L1211">
        <v>3</v>
      </c>
      <c r="M1211">
        <v>10.49</v>
      </c>
      <c r="N1211">
        <v>1</v>
      </c>
      <c r="O1211" t="str">
        <f>IF(financial_fraud_data[[#This Row],[Risk_Score]]&gt;8,"High",IF(financial_fraud_data[[#This Row],[Risk_Score]]&gt;5,"Med","Low"))</f>
        <v>High</v>
      </c>
      <c r="P1211" t="str">
        <f>TEXT(financial_fraud_data[[#This Row],[Transaction_Date]],"MMM")</f>
        <v>Feb</v>
      </c>
      <c r="Q1211" t="str">
        <f>IF(financial_fraud_data[[#This Row],[Is_Fraud]]=1,"Yes","No")</f>
        <v>Yes</v>
      </c>
    </row>
    <row r="1212" spans="1:17" x14ac:dyDescent="0.2">
      <c r="A1212" t="s">
        <v>1707</v>
      </c>
      <c r="B1212" t="s">
        <v>711</v>
      </c>
      <c r="C1212" s="1">
        <v>45342.416666666664</v>
      </c>
      <c r="D1212">
        <v>21337.759999999998</v>
      </c>
      <c r="E1212" t="s">
        <v>42</v>
      </c>
      <c r="F1212" t="s">
        <v>17</v>
      </c>
      <c r="G1212" t="s">
        <v>56</v>
      </c>
      <c r="H1212" t="s">
        <v>24</v>
      </c>
      <c r="I1212" t="s">
        <v>23</v>
      </c>
      <c r="J1212" t="s">
        <v>51</v>
      </c>
      <c r="K1212">
        <v>0</v>
      </c>
      <c r="L1212">
        <v>4</v>
      </c>
      <c r="M1212">
        <v>9.1300000000000008</v>
      </c>
      <c r="N1212">
        <v>1</v>
      </c>
      <c r="O1212" t="str">
        <f>IF(financial_fraud_data[[#This Row],[Risk_Score]]&gt;8,"High",IF(financial_fraud_data[[#This Row],[Risk_Score]]&gt;5,"Med","Low"))</f>
        <v>High</v>
      </c>
      <c r="P1212" t="str">
        <f>TEXT(financial_fraud_data[[#This Row],[Transaction_Date]],"MMM")</f>
        <v>Feb</v>
      </c>
      <c r="Q1212" t="str">
        <f>IF(financial_fraud_data[[#This Row],[Is_Fraud]]=1,"Yes","No")</f>
        <v>Yes</v>
      </c>
    </row>
    <row r="1213" spans="1:17" x14ac:dyDescent="0.2">
      <c r="A1213" t="s">
        <v>1708</v>
      </c>
      <c r="B1213" t="s">
        <v>407</v>
      </c>
      <c r="C1213" s="1">
        <v>45342.458333333336</v>
      </c>
      <c r="D1213">
        <v>22596.78</v>
      </c>
      <c r="E1213" t="s">
        <v>16</v>
      </c>
      <c r="F1213" t="s">
        <v>17</v>
      </c>
      <c r="G1213" t="s">
        <v>65</v>
      </c>
      <c r="H1213" t="s">
        <v>36</v>
      </c>
      <c r="I1213" t="s">
        <v>23</v>
      </c>
      <c r="J1213" t="s">
        <v>20</v>
      </c>
      <c r="K1213">
        <v>0</v>
      </c>
      <c r="L1213">
        <v>0</v>
      </c>
      <c r="M1213">
        <v>3.26</v>
      </c>
      <c r="N1213">
        <v>0</v>
      </c>
      <c r="O1213" t="str">
        <f>IF(financial_fraud_data[[#This Row],[Risk_Score]]&gt;8,"High",IF(financial_fraud_data[[#This Row],[Risk_Score]]&gt;5,"Med","Low"))</f>
        <v>Low</v>
      </c>
      <c r="P1213" t="str">
        <f>TEXT(financial_fraud_data[[#This Row],[Transaction_Date]],"MMM")</f>
        <v>Feb</v>
      </c>
      <c r="Q1213" t="str">
        <f>IF(financial_fraud_data[[#This Row],[Is_Fraud]]=1,"Yes","No")</f>
        <v>No</v>
      </c>
    </row>
    <row r="1214" spans="1:17" x14ac:dyDescent="0.2">
      <c r="A1214" t="s">
        <v>1709</v>
      </c>
      <c r="B1214" t="s">
        <v>901</v>
      </c>
      <c r="C1214" s="1">
        <v>45342.5</v>
      </c>
      <c r="D1214">
        <v>8223.01</v>
      </c>
      <c r="E1214" t="s">
        <v>42</v>
      </c>
      <c r="F1214" t="s">
        <v>17</v>
      </c>
      <c r="G1214" t="s">
        <v>18</v>
      </c>
      <c r="H1214" t="s">
        <v>19</v>
      </c>
      <c r="I1214" t="s">
        <v>29</v>
      </c>
      <c r="J1214" t="s">
        <v>20</v>
      </c>
      <c r="K1214">
        <v>0</v>
      </c>
      <c r="L1214">
        <v>0</v>
      </c>
      <c r="M1214">
        <v>1.82</v>
      </c>
      <c r="N1214">
        <v>0</v>
      </c>
      <c r="O1214" t="str">
        <f>IF(financial_fraud_data[[#This Row],[Risk_Score]]&gt;8,"High",IF(financial_fraud_data[[#This Row],[Risk_Score]]&gt;5,"Med","Low"))</f>
        <v>Low</v>
      </c>
      <c r="P1214" t="str">
        <f>TEXT(financial_fraud_data[[#This Row],[Transaction_Date]],"MMM")</f>
        <v>Feb</v>
      </c>
      <c r="Q1214" t="str">
        <f>IF(financial_fraud_data[[#This Row],[Is_Fraud]]=1,"Yes","No")</f>
        <v>No</v>
      </c>
    </row>
    <row r="1215" spans="1:17" x14ac:dyDescent="0.2">
      <c r="A1215" t="s">
        <v>1710</v>
      </c>
      <c r="B1215" t="s">
        <v>974</v>
      </c>
      <c r="C1215" s="1">
        <v>45342.541666666664</v>
      </c>
      <c r="D1215">
        <v>39750.74</v>
      </c>
      <c r="E1215" t="s">
        <v>16</v>
      </c>
      <c r="F1215" t="s">
        <v>27</v>
      </c>
      <c r="G1215" t="s">
        <v>56</v>
      </c>
      <c r="H1215" t="s">
        <v>23</v>
      </c>
      <c r="I1215" t="s">
        <v>29</v>
      </c>
      <c r="J1215" t="s">
        <v>37</v>
      </c>
      <c r="K1215">
        <v>0</v>
      </c>
      <c r="L1215">
        <v>4</v>
      </c>
      <c r="M1215">
        <v>10.98</v>
      </c>
      <c r="N1215">
        <v>1</v>
      </c>
      <c r="O1215" t="str">
        <f>IF(financial_fraud_data[[#This Row],[Risk_Score]]&gt;8,"High",IF(financial_fraud_data[[#This Row],[Risk_Score]]&gt;5,"Med","Low"))</f>
        <v>High</v>
      </c>
      <c r="P1215" t="str">
        <f>TEXT(financial_fraud_data[[#This Row],[Transaction_Date]],"MMM")</f>
        <v>Feb</v>
      </c>
      <c r="Q1215" t="str">
        <f>IF(financial_fraud_data[[#This Row],[Is_Fraud]]=1,"Yes","No")</f>
        <v>Yes</v>
      </c>
    </row>
    <row r="1216" spans="1:17" x14ac:dyDescent="0.2">
      <c r="A1216" t="s">
        <v>1711</v>
      </c>
      <c r="B1216" t="s">
        <v>255</v>
      </c>
      <c r="C1216" s="1">
        <v>45342.583333333336</v>
      </c>
      <c r="D1216">
        <v>34699.43</v>
      </c>
      <c r="E1216" t="s">
        <v>80</v>
      </c>
      <c r="F1216" t="s">
        <v>27</v>
      </c>
      <c r="G1216" t="s">
        <v>65</v>
      </c>
      <c r="H1216" t="s">
        <v>29</v>
      </c>
      <c r="I1216" t="s">
        <v>23</v>
      </c>
      <c r="J1216" t="s">
        <v>37</v>
      </c>
      <c r="K1216">
        <v>0</v>
      </c>
      <c r="L1216">
        <v>4</v>
      </c>
      <c r="M1216">
        <v>10.47</v>
      </c>
      <c r="N1216">
        <v>1</v>
      </c>
      <c r="O1216" t="str">
        <f>IF(financial_fraud_data[[#This Row],[Risk_Score]]&gt;8,"High",IF(financial_fraud_data[[#This Row],[Risk_Score]]&gt;5,"Med","Low"))</f>
        <v>High</v>
      </c>
      <c r="P1216" t="str">
        <f>TEXT(financial_fraud_data[[#This Row],[Transaction_Date]],"MMM")</f>
        <v>Feb</v>
      </c>
      <c r="Q1216" t="str">
        <f>IF(financial_fraud_data[[#This Row],[Is_Fraud]]=1,"Yes","No")</f>
        <v>Yes</v>
      </c>
    </row>
    <row r="1217" spans="1:17" x14ac:dyDescent="0.2">
      <c r="A1217" t="s">
        <v>1712</v>
      </c>
      <c r="B1217" t="s">
        <v>504</v>
      </c>
      <c r="C1217" s="1">
        <v>45342.625</v>
      </c>
      <c r="D1217">
        <v>11077.44</v>
      </c>
      <c r="E1217" t="s">
        <v>16</v>
      </c>
      <c r="F1217" t="s">
        <v>47</v>
      </c>
      <c r="G1217" t="s">
        <v>18</v>
      </c>
      <c r="H1217" t="s">
        <v>29</v>
      </c>
      <c r="I1217" t="s">
        <v>23</v>
      </c>
      <c r="J1217" t="s">
        <v>20</v>
      </c>
      <c r="K1217">
        <v>0</v>
      </c>
      <c r="L1217">
        <v>1</v>
      </c>
      <c r="M1217">
        <v>3.61</v>
      </c>
      <c r="N1217">
        <v>0</v>
      </c>
      <c r="O1217" t="str">
        <f>IF(financial_fraud_data[[#This Row],[Risk_Score]]&gt;8,"High",IF(financial_fraud_data[[#This Row],[Risk_Score]]&gt;5,"Med","Low"))</f>
        <v>Low</v>
      </c>
      <c r="P1217" t="str">
        <f>TEXT(financial_fraud_data[[#This Row],[Transaction_Date]],"MMM")</f>
        <v>Feb</v>
      </c>
      <c r="Q1217" t="str">
        <f>IF(financial_fraud_data[[#This Row],[Is_Fraud]]=1,"Yes","No")</f>
        <v>No</v>
      </c>
    </row>
    <row r="1218" spans="1:17" x14ac:dyDescent="0.2">
      <c r="A1218" t="s">
        <v>1713</v>
      </c>
      <c r="B1218" t="s">
        <v>1521</v>
      </c>
      <c r="C1218" s="1">
        <v>45342.666666666664</v>
      </c>
      <c r="D1218">
        <v>4164.93</v>
      </c>
      <c r="E1218" t="s">
        <v>34</v>
      </c>
      <c r="F1218" t="s">
        <v>47</v>
      </c>
      <c r="G1218" t="s">
        <v>56</v>
      </c>
      <c r="H1218" t="s">
        <v>19</v>
      </c>
      <c r="I1218" t="s">
        <v>24</v>
      </c>
      <c r="J1218" t="s">
        <v>20</v>
      </c>
      <c r="K1218">
        <v>0</v>
      </c>
      <c r="L1218">
        <v>2</v>
      </c>
      <c r="M1218">
        <v>4.42</v>
      </c>
      <c r="N1218">
        <v>0</v>
      </c>
      <c r="O1218" t="str">
        <f>IF(financial_fraud_data[[#This Row],[Risk_Score]]&gt;8,"High",IF(financial_fraud_data[[#This Row],[Risk_Score]]&gt;5,"Med","Low"))</f>
        <v>Low</v>
      </c>
      <c r="P1218" t="str">
        <f>TEXT(financial_fraud_data[[#This Row],[Transaction_Date]],"MMM")</f>
        <v>Feb</v>
      </c>
      <c r="Q1218" t="str">
        <f>IF(financial_fraud_data[[#This Row],[Is_Fraud]]=1,"Yes","No")</f>
        <v>No</v>
      </c>
    </row>
    <row r="1219" spans="1:17" x14ac:dyDescent="0.2">
      <c r="A1219" t="s">
        <v>1714</v>
      </c>
      <c r="B1219" t="s">
        <v>911</v>
      </c>
      <c r="C1219" s="1">
        <v>45342.708333333336</v>
      </c>
      <c r="D1219">
        <v>34040.94</v>
      </c>
      <c r="E1219" t="s">
        <v>34</v>
      </c>
      <c r="F1219" t="s">
        <v>50</v>
      </c>
      <c r="G1219" t="s">
        <v>56</v>
      </c>
      <c r="H1219" t="s">
        <v>19</v>
      </c>
      <c r="I1219" t="s">
        <v>29</v>
      </c>
      <c r="J1219" t="s">
        <v>51</v>
      </c>
      <c r="K1219">
        <v>1</v>
      </c>
      <c r="L1219">
        <v>2</v>
      </c>
      <c r="M1219">
        <v>9.4</v>
      </c>
      <c r="N1219">
        <v>1</v>
      </c>
      <c r="O1219" t="str">
        <f>IF(financial_fraud_data[[#This Row],[Risk_Score]]&gt;8,"High",IF(financial_fraud_data[[#This Row],[Risk_Score]]&gt;5,"Med","Low"))</f>
        <v>High</v>
      </c>
      <c r="P1219" t="str">
        <f>TEXT(financial_fraud_data[[#This Row],[Transaction_Date]],"MMM")</f>
        <v>Feb</v>
      </c>
      <c r="Q1219" t="str">
        <f>IF(financial_fraud_data[[#This Row],[Is_Fraud]]=1,"Yes","No")</f>
        <v>Yes</v>
      </c>
    </row>
    <row r="1220" spans="1:17" x14ac:dyDescent="0.2">
      <c r="A1220" t="s">
        <v>1715</v>
      </c>
      <c r="B1220" t="s">
        <v>809</v>
      </c>
      <c r="C1220" s="1">
        <v>45342.75</v>
      </c>
      <c r="D1220">
        <v>32742.84</v>
      </c>
      <c r="E1220" t="s">
        <v>42</v>
      </c>
      <c r="F1220" t="s">
        <v>47</v>
      </c>
      <c r="G1220" t="s">
        <v>18</v>
      </c>
      <c r="H1220" t="s">
        <v>29</v>
      </c>
      <c r="I1220" t="s">
        <v>24</v>
      </c>
      <c r="J1220" t="s">
        <v>20</v>
      </c>
      <c r="K1220">
        <v>0</v>
      </c>
      <c r="L1220">
        <v>2</v>
      </c>
      <c r="M1220">
        <v>7.27</v>
      </c>
      <c r="N1220">
        <v>1</v>
      </c>
      <c r="O1220" t="str">
        <f>IF(financial_fraud_data[[#This Row],[Risk_Score]]&gt;8,"High",IF(financial_fraud_data[[#This Row],[Risk_Score]]&gt;5,"Med","Low"))</f>
        <v>Med</v>
      </c>
      <c r="P1220" t="str">
        <f>TEXT(financial_fraud_data[[#This Row],[Transaction_Date]],"MMM")</f>
        <v>Feb</v>
      </c>
      <c r="Q1220" t="str">
        <f>IF(financial_fraud_data[[#This Row],[Is_Fraud]]=1,"Yes","No")</f>
        <v>Yes</v>
      </c>
    </row>
    <row r="1221" spans="1:17" x14ac:dyDescent="0.2">
      <c r="A1221" t="s">
        <v>1716</v>
      </c>
      <c r="B1221" t="s">
        <v>953</v>
      </c>
      <c r="C1221" s="1">
        <v>45342.791666666664</v>
      </c>
      <c r="D1221">
        <v>13699.31</v>
      </c>
      <c r="E1221" t="s">
        <v>16</v>
      </c>
      <c r="F1221" t="s">
        <v>50</v>
      </c>
      <c r="G1221" t="s">
        <v>56</v>
      </c>
      <c r="H1221" t="s">
        <v>23</v>
      </c>
      <c r="I1221" t="s">
        <v>23</v>
      </c>
      <c r="J1221" t="s">
        <v>37</v>
      </c>
      <c r="K1221">
        <v>0</v>
      </c>
      <c r="L1221">
        <v>3</v>
      </c>
      <c r="M1221">
        <v>5.87</v>
      </c>
      <c r="N1221">
        <v>1</v>
      </c>
      <c r="O1221" t="str">
        <f>IF(financial_fraud_data[[#This Row],[Risk_Score]]&gt;8,"High",IF(financial_fraud_data[[#This Row],[Risk_Score]]&gt;5,"Med","Low"))</f>
        <v>Med</v>
      </c>
      <c r="P1221" t="str">
        <f>TEXT(financial_fraud_data[[#This Row],[Transaction_Date]],"MMM")</f>
        <v>Feb</v>
      </c>
      <c r="Q1221" t="str">
        <f>IF(financial_fraud_data[[#This Row],[Is_Fraud]]=1,"Yes","No")</f>
        <v>Yes</v>
      </c>
    </row>
    <row r="1222" spans="1:17" x14ac:dyDescent="0.2">
      <c r="A1222" t="s">
        <v>1717</v>
      </c>
      <c r="B1222" t="s">
        <v>1345</v>
      </c>
      <c r="C1222" s="1">
        <v>45342.833333333336</v>
      </c>
      <c r="D1222">
        <v>47545.63</v>
      </c>
      <c r="E1222" t="s">
        <v>42</v>
      </c>
      <c r="F1222" t="s">
        <v>17</v>
      </c>
      <c r="G1222" t="s">
        <v>35</v>
      </c>
      <c r="H1222" t="s">
        <v>36</v>
      </c>
      <c r="I1222" t="s">
        <v>19</v>
      </c>
      <c r="J1222" t="s">
        <v>37</v>
      </c>
      <c r="K1222">
        <v>1</v>
      </c>
      <c r="L1222">
        <v>1</v>
      </c>
      <c r="M1222">
        <v>9.25</v>
      </c>
      <c r="N1222">
        <v>1</v>
      </c>
      <c r="O1222" t="str">
        <f>IF(financial_fraud_data[[#This Row],[Risk_Score]]&gt;8,"High",IF(financial_fraud_data[[#This Row],[Risk_Score]]&gt;5,"Med","Low"))</f>
        <v>High</v>
      </c>
      <c r="P1222" t="str">
        <f>TEXT(financial_fraud_data[[#This Row],[Transaction_Date]],"MMM")</f>
        <v>Feb</v>
      </c>
      <c r="Q1222" t="str">
        <f>IF(financial_fraud_data[[#This Row],[Is_Fraud]]=1,"Yes","No")</f>
        <v>Yes</v>
      </c>
    </row>
    <row r="1223" spans="1:17" x14ac:dyDescent="0.2">
      <c r="A1223" t="s">
        <v>1718</v>
      </c>
      <c r="B1223" t="s">
        <v>1595</v>
      </c>
      <c r="C1223" s="1">
        <v>45342.875</v>
      </c>
      <c r="D1223">
        <v>7595.34</v>
      </c>
      <c r="E1223" t="s">
        <v>42</v>
      </c>
      <c r="F1223" t="s">
        <v>47</v>
      </c>
      <c r="G1223" t="s">
        <v>18</v>
      </c>
      <c r="H1223" t="s">
        <v>19</v>
      </c>
      <c r="I1223" t="s">
        <v>19</v>
      </c>
      <c r="J1223" t="s">
        <v>37</v>
      </c>
      <c r="K1223">
        <v>0</v>
      </c>
      <c r="L1223">
        <v>2</v>
      </c>
      <c r="M1223">
        <v>3.76</v>
      </c>
      <c r="N1223">
        <v>0</v>
      </c>
      <c r="O1223" t="str">
        <f>IF(financial_fraud_data[[#This Row],[Risk_Score]]&gt;8,"High",IF(financial_fraud_data[[#This Row],[Risk_Score]]&gt;5,"Med","Low"))</f>
        <v>Low</v>
      </c>
      <c r="P1223" t="str">
        <f>TEXT(financial_fraud_data[[#This Row],[Transaction_Date]],"MMM")</f>
        <v>Feb</v>
      </c>
      <c r="Q1223" t="str">
        <f>IF(financial_fraud_data[[#This Row],[Is_Fraud]]=1,"Yes","No")</f>
        <v>No</v>
      </c>
    </row>
    <row r="1224" spans="1:17" x14ac:dyDescent="0.2">
      <c r="A1224" t="s">
        <v>1719</v>
      </c>
      <c r="B1224" t="s">
        <v>331</v>
      </c>
      <c r="C1224" s="1">
        <v>45342.916666666664</v>
      </c>
      <c r="D1224">
        <v>21645.119999999999</v>
      </c>
      <c r="E1224" t="s">
        <v>80</v>
      </c>
      <c r="F1224" t="s">
        <v>27</v>
      </c>
      <c r="G1224" t="s">
        <v>56</v>
      </c>
      <c r="H1224" t="s">
        <v>19</v>
      </c>
      <c r="I1224" t="s">
        <v>23</v>
      </c>
      <c r="J1224" t="s">
        <v>37</v>
      </c>
      <c r="K1224">
        <v>1</v>
      </c>
      <c r="L1224">
        <v>3</v>
      </c>
      <c r="M1224">
        <v>9.66</v>
      </c>
      <c r="N1224">
        <v>1</v>
      </c>
      <c r="O1224" t="str">
        <f>IF(financial_fraud_data[[#This Row],[Risk_Score]]&gt;8,"High",IF(financial_fraud_data[[#This Row],[Risk_Score]]&gt;5,"Med","Low"))</f>
        <v>High</v>
      </c>
      <c r="P1224" t="str">
        <f>TEXT(financial_fraud_data[[#This Row],[Transaction_Date]],"MMM")</f>
        <v>Feb</v>
      </c>
      <c r="Q1224" t="str">
        <f>IF(financial_fraud_data[[#This Row],[Is_Fraud]]=1,"Yes","No")</f>
        <v>Yes</v>
      </c>
    </row>
    <row r="1225" spans="1:17" x14ac:dyDescent="0.2">
      <c r="A1225" t="s">
        <v>1720</v>
      </c>
      <c r="B1225" t="s">
        <v>121</v>
      </c>
      <c r="C1225" s="1">
        <v>45342.958333333336</v>
      </c>
      <c r="D1225">
        <v>47183.62</v>
      </c>
      <c r="E1225" t="s">
        <v>80</v>
      </c>
      <c r="F1225" t="s">
        <v>47</v>
      </c>
      <c r="G1225" t="s">
        <v>65</v>
      </c>
      <c r="H1225" t="s">
        <v>19</v>
      </c>
      <c r="I1225" t="s">
        <v>29</v>
      </c>
      <c r="J1225" t="s">
        <v>37</v>
      </c>
      <c r="K1225">
        <v>0</v>
      </c>
      <c r="L1225">
        <v>3</v>
      </c>
      <c r="M1225">
        <v>10.220000000000001</v>
      </c>
      <c r="N1225">
        <v>1</v>
      </c>
      <c r="O1225" t="str">
        <f>IF(financial_fraud_data[[#This Row],[Risk_Score]]&gt;8,"High",IF(financial_fraud_data[[#This Row],[Risk_Score]]&gt;5,"Med","Low"))</f>
        <v>High</v>
      </c>
      <c r="P1225" t="str">
        <f>TEXT(financial_fraud_data[[#This Row],[Transaction_Date]],"MMM")</f>
        <v>Feb</v>
      </c>
      <c r="Q1225" t="str">
        <f>IF(financial_fraud_data[[#This Row],[Is_Fraud]]=1,"Yes","No")</f>
        <v>Yes</v>
      </c>
    </row>
    <row r="1226" spans="1:17" x14ac:dyDescent="0.2">
      <c r="A1226" t="s">
        <v>1721</v>
      </c>
      <c r="B1226" t="s">
        <v>394</v>
      </c>
      <c r="C1226" s="1">
        <v>45343</v>
      </c>
      <c r="D1226">
        <v>21015.38</v>
      </c>
      <c r="E1226" t="s">
        <v>34</v>
      </c>
      <c r="F1226" t="s">
        <v>50</v>
      </c>
      <c r="G1226" t="s">
        <v>65</v>
      </c>
      <c r="H1226" t="s">
        <v>24</v>
      </c>
      <c r="I1226" t="s">
        <v>19</v>
      </c>
      <c r="J1226" t="s">
        <v>37</v>
      </c>
      <c r="K1226">
        <v>0</v>
      </c>
      <c r="L1226">
        <v>0</v>
      </c>
      <c r="M1226">
        <v>3.1</v>
      </c>
      <c r="N1226">
        <v>0</v>
      </c>
      <c r="O1226" t="str">
        <f>IF(financial_fraud_data[[#This Row],[Risk_Score]]&gt;8,"High",IF(financial_fraud_data[[#This Row],[Risk_Score]]&gt;5,"Med","Low"))</f>
        <v>Low</v>
      </c>
      <c r="P1226" t="str">
        <f>TEXT(financial_fraud_data[[#This Row],[Transaction_Date]],"MMM")</f>
        <v>Feb</v>
      </c>
      <c r="Q1226" t="str">
        <f>IF(financial_fraud_data[[#This Row],[Is_Fraud]]=1,"Yes","No")</f>
        <v>No</v>
      </c>
    </row>
    <row r="1227" spans="1:17" x14ac:dyDescent="0.2">
      <c r="A1227" t="s">
        <v>1722</v>
      </c>
      <c r="B1227" t="s">
        <v>1362</v>
      </c>
      <c r="C1227" s="1">
        <v>45343.041666666664</v>
      </c>
      <c r="D1227">
        <v>31944.37</v>
      </c>
      <c r="E1227" t="s">
        <v>42</v>
      </c>
      <c r="F1227" t="s">
        <v>47</v>
      </c>
      <c r="G1227" t="s">
        <v>35</v>
      </c>
      <c r="H1227" t="s">
        <v>23</v>
      </c>
      <c r="I1227" t="s">
        <v>29</v>
      </c>
      <c r="J1227" t="s">
        <v>20</v>
      </c>
      <c r="K1227">
        <v>0</v>
      </c>
      <c r="L1227">
        <v>3</v>
      </c>
      <c r="M1227">
        <v>8.69</v>
      </c>
      <c r="N1227">
        <v>1</v>
      </c>
      <c r="O1227" t="str">
        <f>IF(financial_fraud_data[[#This Row],[Risk_Score]]&gt;8,"High",IF(financial_fraud_data[[#This Row],[Risk_Score]]&gt;5,"Med","Low"))</f>
        <v>High</v>
      </c>
      <c r="P1227" t="str">
        <f>TEXT(financial_fraud_data[[#This Row],[Transaction_Date]],"MMM")</f>
        <v>Feb</v>
      </c>
      <c r="Q1227" t="str">
        <f>IF(financial_fraud_data[[#This Row],[Is_Fraud]]=1,"Yes","No")</f>
        <v>Yes</v>
      </c>
    </row>
    <row r="1228" spans="1:17" x14ac:dyDescent="0.2">
      <c r="A1228" t="s">
        <v>1723</v>
      </c>
      <c r="B1228" t="s">
        <v>678</v>
      </c>
      <c r="C1228" s="1">
        <v>45343.083333333336</v>
      </c>
      <c r="D1228">
        <v>19909.84</v>
      </c>
      <c r="E1228" t="s">
        <v>34</v>
      </c>
      <c r="F1228" t="s">
        <v>17</v>
      </c>
      <c r="G1228" t="s">
        <v>18</v>
      </c>
      <c r="H1228" t="s">
        <v>23</v>
      </c>
      <c r="I1228" t="s">
        <v>19</v>
      </c>
      <c r="J1228" t="s">
        <v>37</v>
      </c>
      <c r="K1228">
        <v>0</v>
      </c>
      <c r="L1228">
        <v>4</v>
      </c>
      <c r="M1228">
        <v>8.99</v>
      </c>
      <c r="N1228">
        <v>1</v>
      </c>
      <c r="O1228" t="str">
        <f>IF(financial_fraud_data[[#This Row],[Risk_Score]]&gt;8,"High",IF(financial_fraud_data[[#This Row],[Risk_Score]]&gt;5,"Med","Low"))</f>
        <v>High</v>
      </c>
      <c r="P1228" t="str">
        <f>TEXT(financial_fraud_data[[#This Row],[Transaction_Date]],"MMM")</f>
        <v>Feb</v>
      </c>
      <c r="Q1228" t="str">
        <f>IF(financial_fraud_data[[#This Row],[Is_Fraud]]=1,"Yes","No")</f>
        <v>Yes</v>
      </c>
    </row>
    <row r="1229" spans="1:17" x14ac:dyDescent="0.2">
      <c r="A1229" t="s">
        <v>1724</v>
      </c>
      <c r="B1229" t="s">
        <v>1112</v>
      </c>
      <c r="C1229" s="1">
        <v>45343.125</v>
      </c>
      <c r="D1229">
        <v>13747.05</v>
      </c>
      <c r="E1229" t="s">
        <v>16</v>
      </c>
      <c r="F1229" t="s">
        <v>27</v>
      </c>
      <c r="G1229" t="s">
        <v>56</v>
      </c>
      <c r="H1229" t="s">
        <v>23</v>
      </c>
      <c r="I1229" t="s">
        <v>29</v>
      </c>
      <c r="J1229" t="s">
        <v>37</v>
      </c>
      <c r="K1229">
        <v>0</v>
      </c>
      <c r="L1229">
        <v>3</v>
      </c>
      <c r="M1229">
        <v>6.87</v>
      </c>
      <c r="N1229">
        <v>1</v>
      </c>
      <c r="O1229" t="str">
        <f>IF(financial_fraud_data[[#This Row],[Risk_Score]]&gt;8,"High",IF(financial_fraud_data[[#This Row],[Risk_Score]]&gt;5,"Med","Low"))</f>
        <v>Med</v>
      </c>
      <c r="P1229" t="str">
        <f>TEXT(financial_fraud_data[[#This Row],[Transaction_Date]],"MMM")</f>
        <v>Feb</v>
      </c>
      <c r="Q1229" t="str">
        <f>IF(financial_fraud_data[[#This Row],[Is_Fraud]]=1,"Yes","No")</f>
        <v>Yes</v>
      </c>
    </row>
    <row r="1230" spans="1:17" x14ac:dyDescent="0.2">
      <c r="A1230" t="s">
        <v>1725</v>
      </c>
      <c r="B1230" t="s">
        <v>1726</v>
      </c>
      <c r="C1230" s="1">
        <v>45343.166666666664</v>
      </c>
      <c r="D1230">
        <v>49199.68</v>
      </c>
      <c r="E1230" t="s">
        <v>42</v>
      </c>
      <c r="F1230" t="s">
        <v>50</v>
      </c>
      <c r="G1230" t="s">
        <v>56</v>
      </c>
      <c r="H1230" t="s">
        <v>23</v>
      </c>
      <c r="I1230" t="s">
        <v>19</v>
      </c>
      <c r="J1230" t="s">
        <v>37</v>
      </c>
      <c r="K1230">
        <v>1</v>
      </c>
      <c r="L1230">
        <v>4</v>
      </c>
      <c r="M1230">
        <v>13.92</v>
      </c>
      <c r="N1230">
        <v>1</v>
      </c>
      <c r="O1230" t="str">
        <f>IF(financial_fraud_data[[#This Row],[Risk_Score]]&gt;8,"High",IF(financial_fraud_data[[#This Row],[Risk_Score]]&gt;5,"Med","Low"))</f>
        <v>High</v>
      </c>
      <c r="P1230" t="str">
        <f>TEXT(financial_fraud_data[[#This Row],[Transaction_Date]],"MMM")</f>
        <v>Feb</v>
      </c>
      <c r="Q1230" t="str">
        <f>IF(financial_fraud_data[[#This Row],[Is_Fraud]]=1,"Yes","No")</f>
        <v>Yes</v>
      </c>
    </row>
    <row r="1231" spans="1:17" x14ac:dyDescent="0.2">
      <c r="A1231" t="s">
        <v>1727</v>
      </c>
      <c r="B1231" t="s">
        <v>572</v>
      </c>
      <c r="C1231" s="1">
        <v>45343.208333333336</v>
      </c>
      <c r="D1231">
        <v>20496.23</v>
      </c>
      <c r="E1231" t="s">
        <v>42</v>
      </c>
      <c r="F1231" t="s">
        <v>27</v>
      </c>
      <c r="G1231" t="s">
        <v>65</v>
      </c>
      <c r="H1231" t="s">
        <v>23</v>
      </c>
      <c r="I1231" t="s">
        <v>29</v>
      </c>
      <c r="J1231" t="s">
        <v>37</v>
      </c>
      <c r="K1231">
        <v>0</v>
      </c>
      <c r="L1231">
        <v>4</v>
      </c>
      <c r="M1231">
        <v>9.0500000000000007</v>
      </c>
      <c r="N1231">
        <v>1</v>
      </c>
      <c r="O1231" t="str">
        <f>IF(financial_fraud_data[[#This Row],[Risk_Score]]&gt;8,"High",IF(financial_fraud_data[[#This Row],[Risk_Score]]&gt;5,"Med","Low"))</f>
        <v>High</v>
      </c>
      <c r="P1231" t="str">
        <f>TEXT(financial_fraud_data[[#This Row],[Transaction_Date]],"MMM")</f>
        <v>Feb</v>
      </c>
      <c r="Q1231" t="str">
        <f>IF(financial_fraud_data[[#This Row],[Is_Fraud]]=1,"Yes","No")</f>
        <v>Yes</v>
      </c>
    </row>
    <row r="1232" spans="1:17" x14ac:dyDescent="0.2">
      <c r="A1232" t="s">
        <v>1728</v>
      </c>
      <c r="B1232" t="s">
        <v>293</v>
      </c>
      <c r="C1232" s="1">
        <v>45343.25</v>
      </c>
      <c r="D1232">
        <v>44710.26</v>
      </c>
      <c r="E1232" t="s">
        <v>16</v>
      </c>
      <c r="F1232" t="s">
        <v>27</v>
      </c>
      <c r="G1232" t="s">
        <v>35</v>
      </c>
      <c r="H1232" t="s">
        <v>29</v>
      </c>
      <c r="I1232" t="s">
        <v>24</v>
      </c>
      <c r="J1232" t="s">
        <v>20</v>
      </c>
      <c r="K1232">
        <v>0</v>
      </c>
      <c r="L1232">
        <v>0</v>
      </c>
      <c r="M1232">
        <v>5.47</v>
      </c>
      <c r="N1232">
        <v>1</v>
      </c>
      <c r="O1232" t="str">
        <f>IF(financial_fraud_data[[#This Row],[Risk_Score]]&gt;8,"High",IF(financial_fraud_data[[#This Row],[Risk_Score]]&gt;5,"Med","Low"))</f>
        <v>Med</v>
      </c>
      <c r="P1232" t="str">
        <f>TEXT(financial_fraud_data[[#This Row],[Transaction_Date]],"MMM")</f>
        <v>Feb</v>
      </c>
      <c r="Q1232" t="str">
        <f>IF(financial_fraud_data[[#This Row],[Is_Fraud]]=1,"Yes","No")</f>
        <v>Yes</v>
      </c>
    </row>
    <row r="1233" spans="1:17" x14ac:dyDescent="0.2">
      <c r="A1233" t="s">
        <v>1729</v>
      </c>
      <c r="B1233" t="s">
        <v>349</v>
      </c>
      <c r="C1233" s="1">
        <v>45343.291666666664</v>
      </c>
      <c r="D1233">
        <v>11536.23</v>
      </c>
      <c r="E1233" t="s">
        <v>16</v>
      </c>
      <c r="F1233" t="s">
        <v>50</v>
      </c>
      <c r="G1233" t="s">
        <v>65</v>
      </c>
      <c r="H1233" t="s">
        <v>19</v>
      </c>
      <c r="I1233" t="s">
        <v>29</v>
      </c>
      <c r="J1233" t="s">
        <v>51</v>
      </c>
      <c r="K1233">
        <v>0</v>
      </c>
      <c r="L1233">
        <v>0</v>
      </c>
      <c r="M1233">
        <v>2.15</v>
      </c>
      <c r="N1233">
        <v>0</v>
      </c>
      <c r="O1233" t="str">
        <f>IF(financial_fraud_data[[#This Row],[Risk_Score]]&gt;8,"High",IF(financial_fraud_data[[#This Row],[Risk_Score]]&gt;5,"Med","Low"))</f>
        <v>Low</v>
      </c>
      <c r="P1233" t="str">
        <f>TEXT(financial_fraud_data[[#This Row],[Transaction_Date]],"MMM")</f>
        <v>Feb</v>
      </c>
      <c r="Q1233" t="str">
        <f>IF(financial_fraud_data[[#This Row],[Is_Fraud]]=1,"Yes","No")</f>
        <v>No</v>
      </c>
    </row>
    <row r="1234" spans="1:17" x14ac:dyDescent="0.2">
      <c r="A1234" t="s">
        <v>1730</v>
      </c>
      <c r="B1234" t="s">
        <v>182</v>
      </c>
      <c r="C1234" s="1">
        <v>45343.333333333336</v>
      </c>
      <c r="D1234">
        <v>10694.58</v>
      </c>
      <c r="E1234" t="s">
        <v>34</v>
      </c>
      <c r="F1234" t="s">
        <v>27</v>
      </c>
      <c r="G1234" t="s">
        <v>65</v>
      </c>
      <c r="H1234" t="s">
        <v>29</v>
      </c>
      <c r="I1234" t="s">
        <v>24</v>
      </c>
      <c r="J1234" t="s">
        <v>51</v>
      </c>
      <c r="K1234">
        <v>0</v>
      </c>
      <c r="L1234">
        <v>3</v>
      </c>
      <c r="M1234">
        <v>6.57</v>
      </c>
      <c r="N1234">
        <v>1</v>
      </c>
      <c r="O1234" t="str">
        <f>IF(financial_fraud_data[[#This Row],[Risk_Score]]&gt;8,"High",IF(financial_fraud_data[[#This Row],[Risk_Score]]&gt;5,"Med","Low"))</f>
        <v>Med</v>
      </c>
      <c r="P1234" t="str">
        <f>TEXT(financial_fraud_data[[#This Row],[Transaction_Date]],"MMM")</f>
        <v>Feb</v>
      </c>
      <c r="Q1234" t="str">
        <f>IF(financial_fraud_data[[#This Row],[Is_Fraud]]=1,"Yes","No")</f>
        <v>Yes</v>
      </c>
    </row>
    <row r="1235" spans="1:17" x14ac:dyDescent="0.2">
      <c r="A1235" t="s">
        <v>1731</v>
      </c>
      <c r="B1235" t="s">
        <v>863</v>
      </c>
      <c r="C1235" s="1">
        <v>45343.375</v>
      </c>
      <c r="D1235">
        <v>1605.15</v>
      </c>
      <c r="E1235" t="s">
        <v>34</v>
      </c>
      <c r="F1235" t="s">
        <v>27</v>
      </c>
      <c r="G1235" t="s">
        <v>35</v>
      </c>
      <c r="H1235" t="s">
        <v>24</v>
      </c>
      <c r="I1235" t="s">
        <v>24</v>
      </c>
      <c r="J1235" t="s">
        <v>51</v>
      </c>
      <c r="K1235">
        <v>0</v>
      </c>
      <c r="L1235">
        <v>0</v>
      </c>
      <c r="M1235">
        <v>0.16</v>
      </c>
      <c r="N1235">
        <v>0</v>
      </c>
      <c r="O1235" t="str">
        <f>IF(financial_fraud_data[[#This Row],[Risk_Score]]&gt;8,"High",IF(financial_fraud_data[[#This Row],[Risk_Score]]&gt;5,"Med","Low"))</f>
        <v>Low</v>
      </c>
      <c r="P1235" t="str">
        <f>TEXT(financial_fraud_data[[#This Row],[Transaction_Date]],"MMM")</f>
        <v>Feb</v>
      </c>
      <c r="Q1235" t="str">
        <f>IF(financial_fraud_data[[#This Row],[Is_Fraud]]=1,"Yes","No")</f>
        <v>No</v>
      </c>
    </row>
    <row r="1236" spans="1:17" x14ac:dyDescent="0.2">
      <c r="A1236" t="s">
        <v>1732</v>
      </c>
      <c r="B1236" t="s">
        <v>1090</v>
      </c>
      <c r="C1236" s="1">
        <v>45343.416666666664</v>
      </c>
      <c r="D1236">
        <v>32600.76</v>
      </c>
      <c r="E1236" t="s">
        <v>16</v>
      </c>
      <c r="F1236" t="s">
        <v>47</v>
      </c>
      <c r="G1236" t="s">
        <v>18</v>
      </c>
      <c r="H1236" t="s">
        <v>36</v>
      </c>
      <c r="I1236" t="s">
        <v>23</v>
      </c>
      <c r="J1236" t="s">
        <v>51</v>
      </c>
      <c r="K1236">
        <v>0</v>
      </c>
      <c r="L1236">
        <v>0</v>
      </c>
      <c r="M1236">
        <v>4.26</v>
      </c>
      <c r="N1236">
        <v>0</v>
      </c>
      <c r="O1236" t="str">
        <f>IF(financial_fraud_data[[#This Row],[Risk_Score]]&gt;8,"High",IF(financial_fraud_data[[#This Row],[Risk_Score]]&gt;5,"Med","Low"))</f>
        <v>Low</v>
      </c>
      <c r="P1236" t="str">
        <f>TEXT(financial_fraud_data[[#This Row],[Transaction_Date]],"MMM")</f>
        <v>Feb</v>
      </c>
      <c r="Q1236" t="str">
        <f>IF(financial_fraud_data[[#This Row],[Is_Fraud]]=1,"Yes","No")</f>
        <v>No</v>
      </c>
    </row>
    <row r="1237" spans="1:17" x14ac:dyDescent="0.2">
      <c r="A1237" t="s">
        <v>1733</v>
      </c>
      <c r="B1237" t="s">
        <v>359</v>
      </c>
      <c r="C1237" s="1">
        <v>45343.458333333336</v>
      </c>
      <c r="D1237">
        <v>18457.89</v>
      </c>
      <c r="E1237" t="s">
        <v>34</v>
      </c>
      <c r="F1237" t="s">
        <v>27</v>
      </c>
      <c r="G1237" t="s">
        <v>56</v>
      </c>
      <c r="H1237" t="s">
        <v>19</v>
      </c>
      <c r="I1237" t="s">
        <v>24</v>
      </c>
      <c r="J1237" t="s">
        <v>37</v>
      </c>
      <c r="K1237">
        <v>0</v>
      </c>
      <c r="L1237">
        <v>2</v>
      </c>
      <c r="M1237">
        <v>5.85</v>
      </c>
      <c r="N1237">
        <v>1</v>
      </c>
      <c r="O1237" t="str">
        <f>IF(financial_fraud_data[[#This Row],[Risk_Score]]&gt;8,"High",IF(financial_fraud_data[[#This Row],[Risk_Score]]&gt;5,"Med","Low"))</f>
        <v>Med</v>
      </c>
      <c r="P1237" t="str">
        <f>TEXT(financial_fraud_data[[#This Row],[Transaction_Date]],"MMM")</f>
        <v>Feb</v>
      </c>
      <c r="Q1237" t="str">
        <f>IF(financial_fraud_data[[#This Row],[Is_Fraud]]=1,"Yes","No")</f>
        <v>Yes</v>
      </c>
    </row>
    <row r="1238" spans="1:17" x14ac:dyDescent="0.2">
      <c r="A1238" t="s">
        <v>1734</v>
      </c>
      <c r="B1238" t="s">
        <v>1357</v>
      </c>
      <c r="C1238" s="1">
        <v>45343.5</v>
      </c>
      <c r="D1238">
        <v>43224.69</v>
      </c>
      <c r="E1238" t="s">
        <v>16</v>
      </c>
      <c r="F1238" t="s">
        <v>27</v>
      </c>
      <c r="G1238" t="s">
        <v>18</v>
      </c>
      <c r="H1238" t="s">
        <v>24</v>
      </c>
      <c r="I1238" t="s">
        <v>36</v>
      </c>
      <c r="J1238" t="s">
        <v>51</v>
      </c>
      <c r="K1238">
        <v>0</v>
      </c>
      <c r="L1238">
        <v>3</v>
      </c>
      <c r="M1238">
        <v>9.82</v>
      </c>
      <c r="N1238">
        <v>1</v>
      </c>
      <c r="O1238" t="str">
        <f>IF(financial_fraud_data[[#This Row],[Risk_Score]]&gt;8,"High",IF(financial_fraud_data[[#This Row],[Risk_Score]]&gt;5,"Med","Low"))</f>
        <v>High</v>
      </c>
      <c r="P1238" t="str">
        <f>TEXT(financial_fraud_data[[#This Row],[Transaction_Date]],"MMM")</f>
        <v>Feb</v>
      </c>
      <c r="Q1238" t="str">
        <f>IF(financial_fraud_data[[#This Row],[Is_Fraud]]=1,"Yes","No")</f>
        <v>Yes</v>
      </c>
    </row>
    <row r="1239" spans="1:17" x14ac:dyDescent="0.2">
      <c r="A1239" t="s">
        <v>1735</v>
      </c>
      <c r="B1239" t="s">
        <v>201</v>
      </c>
      <c r="C1239" s="1">
        <v>45343.541666666664</v>
      </c>
      <c r="D1239">
        <v>23686.83</v>
      </c>
      <c r="E1239" t="s">
        <v>42</v>
      </c>
      <c r="F1239" t="s">
        <v>27</v>
      </c>
      <c r="G1239" t="s">
        <v>28</v>
      </c>
      <c r="H1239" t="s">
        <v>29</v>
      </c>
      <c r="I1239" t="s">
        <v>24</v>
      </c>
      <c r="J1239" t="s">
        <v>51</v>
      </c>
      <c r="K1239">
        <v>0</v>
      </c>
      <c r="L1239">
        <v>3</v>
      </c>
      <c r="M1239">
        <v>7.87</v>
      </c>
      <c r="N1239">
        <v>1</v>
      </c>
      <c r="O1239" t="str">
        <f>IF(financial_fraud_data[[#This Row],[Risk_Score]]&gt;8,"High",IF(financial_fraud_data[[#This Row],[Risk_Score]]&gt;5,"Med","Low"))</f>
        <v>Med</v>
      </c>
      <c r="P1239" t="str">
        <f>TEXT(financial_fraud_data[[#This Row],[Transaction_Date]],"MMM")</f>
        <v>Feb</v>
      </c>
      <c r="Q1239" t="str">
        <f>IF(financial_fraud_data[[#This Row],[Is_Fraud]]=1,"Yes","No")</f>
        <v>Yes</v>
      </c>
    </row>
    <row r="1240" spans="1:17" x14ac:dyDescent="0.2">
      <c r="A1240" t="s">
        <v>1736</v>
      </c>
      <c r="B1240" t="s">
        <v>661</v>
      </c>
      <c r="C1240" s="1">
        <v>45343.583333333336</v>
      </c>
      <c r="D1240">
        <v>48411.26</v>
      </c>
      <c r="E1240" t="s">
        <v>42</v>
      </c>
      <c r="F1240" t="s">
        <v>27</v>
      </c>
      <c r="G1240" t="s">
        <v>28</v>
      </c>
      <c r="H1240" t="s">
        <v>36</v>
      </c>
      <c r="I1240" t="s">
        <v>29</v>
      </c>
      <c r="J1240" t="s">
        <v>20</v>
      </c>
      <c r="K1240">
        <v>1</v>
      </c>
      <c r="L1240">
        <v>3</v>
      </c>
      <c r="M1240">
        <v>12.34</v>
      </c>
      <c r="N1240">
        <v>1</v>
      </c>
      <c r="O1240" t="str">
        <f>IF(financial_fraud_data[[#This Row],[Risk_Score]]&gt;8,"High",IF(financial_fraud_data[[#This Row],[Risk_Score]]&gt;5,"Med","Low"))</f>
        <v>High</v>
      </c>
      <c r="P1240" t="str">
        <f>TEXT(financial_fraud_data[[#This Row],[Transaction_Date]],"MMM")</f>
        <v>Feb</v>
      </c>
      <c r="Q1240" t="str">
        <f>IF(financial_fraud_data[[#This Row],[Is_Fraud]]=1,"Yes","No")</f>
        <v>Yes</v>
      </c>
    </row>
    <row r="1241" spans="1:17" x14ac:dyDescent="0.2">
      <c r="A1241" t="s">
        <v>1737</v>
      </c>
      <c r="B1241" t="s">
        <v>1631</v>
      </c>
      <c r="C1241" s="1">
        <v>45343.625</v>
      </c>
      <c r="D1241">
        <v>9317</v>
      </c>
      <c r="E1241" t="s">
        <v>80</v>
      </c>
      <c r="F1241" t="s">
        <v>50</v>
      </c>
      <c r="G1241" t="s">
        <v>28</v>
      </c>
      <c r="H1241" t="s">
        <v>24</v>
      </c>
      <c r="I1241" t="s">
        <v>24</v>
      </c>
      <c r="J1241" t="s">
        <v>20</v>
      </c>
      <c r="K1241">
        <v>0</v>
      </c>
      <c r="L1241">
        <v>0</v>
      </c>
      <c r="M1241">
        <v>0.93</v>
      </c>
      <c r="N1241">
        <v>0</v>
      </c>
      <c r="O1241" t="str">
        <f>IF(financial_fraud_data[[#This Row],[Risk_Score]]&gt;8,"High",IF(financial_fraud_data[[#This Row],[Risk_Score]]&gt;5,"Med","Low"))</f>
        <v>Low</v>
      </c>
      <c r="P1241" t="str">
        <f>TEXT(financial_fraud_data[[#This Row],[Transaction_Date]],"MMM")</f>
        <v>Feb</v>
      </c>
      <c r="Q1241" t="str">
        <f>IF(financial_fraud_data[[#This Row],[Is_Fraud]]=1,"Yes","No")</f>
        <v>No</v>
      </c>
    </row>
    <row r="1242" spans="1:17" x14ac:dyDescent="0.2">
      <c r="A1242" t="s">
        <v>1738</v>
      </c>
      <c r="B1242" t="s">
        <v>1739</v>
      </c>
      <c r="C1242" s="1">
        <v>45343.666666666664</v>
      </c>
      <c r="D1242">
        <v>43437.73</v>
      </c>
      <c r="E1242" t="s">
        <v>42</v>
      </c>
      <c r="F1242" t="s">
        <v>17</v>
      </c>
      <c r="G1242" t="s">
        <v>35</v>
      </c>
      <c r="H1242" t="s">
        <v>36</v>
      </c>
      <c r="I1242" t="s">
        <v>29</v>
      </c>
      <c r="J1242" t="s">
        <v>20</v>
      </c>
      <c r="K1242">
        <v>0</v>
      </c>
      <c r="L1242">
        <v>0</v>
      </c>
      <c r="M1242">
        <v>5.34</v>
      </c>
      <c r="N1242">
        <v>1</v>
      </c>
      <c r="O1242" t="str">
        <f>IF(financial_fraud_data[[#This Row],[Risk_Score]]&gt;8,"High",IF(financial_fraud_data[[#This Row],[Risk_Score]]&gt;5,"Med","Low"))</f>
        <v>Med</v>
      </c>
      <c r="P1242" t="str">
        <f>TEXT(financial_fraud_data[[#This Row],[Transaction_Date]],"MMM")</f>
        <v>Feb</v>
      </c>
      <c r="Q1242" t="str">
        <f>IF(financial_fraud_data[[#This Row],[Is_Fraud]]=1,"Yes","No")</f>
        <v>Yes</v>
      </c>
    </row>
    <row r="1243" spans="1:17" x14ac:dyDescent="0.2">
      <c r="A1243" t="s">
        <v>1740</v>
      </c>
      <c r="B1243" t="s">
        <v>1219</v>
      </c>
      <c r="C1243" s="1">
        <v>45343.708333333336</v>
      </c>
      <c r="D1243">
        <v>38841.01</v>
      </c>
      <c r="E1243" t="s">
        <v>16</v>
      </c>
      <c r="F1243" t="s">
        <v>47</v>
      </c>
      <c r="G1243" t="s">
        <v>65</v>
      </c>
      <c r="H1243" t="s">
        <v>24</v>
      </c>
      <c r="I1243" t="s">
        <v>29</v>
      </c>
      <c r="J1243" t="s">
        <v>37</v>
      </c>
      <c r="K1243">
        <v>0</v>
      </c>
      <c r="L1243">
        <v>4</v>
      </c>
      <c r="M1243">
        <v>10.88</v>
      </c>
      <c r="N1243">
        <v>1</v>
      </c>
      <c r="O1243" t="str">
        <f>IF(financial_fraud_data[[#This Row],[Risk_Score]]&gt;8,"High",IF(financial_fraud_data[[#This Row],[Risk_Score]]&gt;5,"Med","Low"))</f>
        <v>High</v>
      </c>
      <c r="P1243" t="str">
        <f>TEXT(financial_fraud_data[[#This Row],[Transaction_Date]],"MMM")</f>
        <v>Feb</v>
      </c>
      <c r="Q1243" t="str">
        <f>IF(financial_fraud_data[[#This Row],[Is_Fraud]]=1,"Yes","No")</f>
        <v>Yes</v>
      </c>
    </row>
    <row r="1244" spans="1:17" x14ac:dyDescent="0.2">
      <c r="A1244" t="s">
        <v>1741</v>
      </c>
      <c r="B1244" t="s">
        <v>1742</v>
      </c>
      <c r="C1244" s="1">
        <v>45343.75</v>
      </c>
      <c r="D1244">
        <v>38557.550000000003</v>
      </c>
      <c r="E1244" t="s">
        <v>34</v>
      </c>
      <c r="F1244" t="s">
        <v>27</v>
      </c>
      <c r="G1244" t="s">
        <v>18</v>
      </c>
      <c r="H1244" t="s">
        <v>29</v>
      </c>
      <c r="I1244" t="s">
        <v>36</v>
      </c>
      <c r="J1244" t="s">
        <v>37</v>
      </c>
      <c r="K1244">
        <v>0</v>
      </c>
      <c r="L1244">
        <v>1</v>
      </c>
      <c r="M1244">
        <v>6.36</v>
      </c>
      <c r="N1244">
        <v>1</v>
      </c>
      <c r="O1244" t="str">
        <f>IF(financial_fraud_data[[#This Row],[Risk_Score]]&gt;8,"High",IF(financial_fraud_data[[#This Row],[Risk_Score]]&gt;5,"Med","Low"))</f>
        <v>Med</v>
      </c>
      <c r="P1244" t="str">
        <f>TEXT(financial_fraud_data[[#This Row],[Transaction_Date]],"MMM")</f>
        <v>Feb</v>
      </c>
      <c r="Q1244" t="str">
        <f>IF(financial_fraud_data[[#This Row],[Is_Fraud]]=1,"Yes","No")</f>
        <v>Yes</v>
      </c>
    </row>
    <row r="1245" spans="1:17" x14ac:dyDescent="0.2">
      <c r="A1245" t="s">
        <v>1743</v>
      </c>
      <c r="B1245" t="s">
        <v>1744</v>
      </c>
      <c r="C1245" s="1">
        <v>45343.791666666664</v>
      </c>
      <c r="D1245">
        <v>42246.92</v>
      </c>
      <c r="E1245" t="s">
        <v>80</v>
      </c>
      <c r="F1245" t="s">
        <v>27</v>
      </c>
      <c r="G1245" t="s">
        <v>56</v>
      </c>
      <c r="H1245" t="s">
        <v>36</v>
      </c>
      <c r="I1245" t="s">
        <v>24</v>
      </c>
      <c r="J1245" t="s">
        <v>37</v>
      </c>
      <c r="K1245">
        <v>0</v>
      </c>
      <c r="L1245">
        <v>1</v>
      </c>
      <c r="M1245">
        <v>6.72</v>
      </c>
      <c r="N1245">
        <v>1</v>
      </c>
      <c r="O1245" t="str">
        <f>IF(financial_fraud_data[[#This Row],[Risk_Score]]&gt;8,"High",IF(financial_fraud_data[[#This Row],[Risk_Score]]&gt;5,"Med","Low"))</f>
        <v>Med</v>
      </c>
      <c r="P1245" t="str">
        <f>TEXT(financial_fraud_data[[#This Row],[Transaction_Date]],"MMM")</f>
        <v>Feb</v>
      </c>
      <c r="Q1245" t="str">
        <f>IF(financial_fraud_data[[#This Row],[Is_Fraud]]=1,"Yes","No")</f>
        <v>Yes</v>
      </c>
    </row>
    <row r="1246" spans="1:17" x14ac:dyDescent="0.2">
      <c r="A1246" t="s">
        <v>1745</v>
      </c>
      <c r="B1246" t="s">
        <v>638</v>
      </c>
      <c r="C1246" s="1">
        <v>45343.833333333336</v>
      </c>
      <c r="D1246">
        <v>38063.15</v>
      </c>
      <c r="E1246" t="s">
        <v>34</v>
      </c>
      <c r="F1246" t="s">
        <v>50</v>
      </c>
      <c r="G1246" t="s">
        <v>28</v>
      </c>
      <c r="H1246" t="s">
        <v>24</v>
      </c>
      <c r="I1246" t="s">
        <v>24</v>
      </c>
      <c r="J1246" t="s">
        <v>20</v>
      </c>
      <c r="K1246">
        <v>1</v>
      </c>
      <c r="L1246">
        <v>1</v>
      </c>
      <c r="M1246">
        <v>7.31</v>
      </c>
      <c r="N1246">
        <v>1</v>
      </c>
      <c r="O1246" t="str">
        <f>IF(financial_fraud_data[[#This Row],[Risk_Score]]&gt;8,"High",IF(financial_fraud_data[[#This Row],[Risk_Score]]&gt;5,"Med","Low"))</f>
        <v>Med</v>
      </c>
      <c r="P1246" t="str">
        <f>TEXT(financial_fraud_data[[#This Row],[Transaction_Date]],"MMM")</f>
        <v>Feb</v>
      </c>
      <c r="Q1246" t="str">
        <f>IF(financial_fraud_data[[#This Row],[Is_Fraud]]=1,"Yes","No")</f>
        <v>Yes</v>
      </c>
    </row>
    <row r="1247" spans="1:17" x14ac:dyDescent="0.2">
      <c r="A1247" t="s">
        <v>1746</v>
      </c>
      <c r="B1247" t="s">
        <v>335</v>
      </c>
      <c r="C1247" s="1">
        <v>45343.875</v>
      </c>
      <c r="D1247">
        <v>31329.71</v>
      </c>
      <c r="E1247" t="s">
        <v>16</v>
      </c>
      <c r="F1247" t="s">
        <v>17</v>
      </c>
      <c r="G1247" t="s">
        <v>18</v>
      </c>
      <c r="H1247" t="s">
        <v>29</v>
      </c>
      <c r="I1247" t="s">
        <v>19</v>
      </c>
      <c r="J1247" t="s">
        <v>51</v>
      </c>
      <c r="K1247">
        <v>0</v>
      </c>
      <c r="L1247">
        <v>2</v>
      </c>
      <c r="M1247">
        <v>7.13</v>
      </c>
      <c r="N1247">
        <v>1</v>
      </c>
      <c r="O1247" t="str">
        <f>IF(financial_fraud_data[[#This Row],[Risk_Score]]&gt;8,"High",IF(financial_fraud_data[[#This Row],[Risk_Score]]&gt;5,"Med","Low"))</f>
        <v>Med</v>
      </c>
      <c r="P1247" t="str">
        <f>TEXT(financial_fraud_data[[#This Row],[Transaction_Date]],"MMM")</f>
        <v>Feb</v>
      </c>
      <c r="Q1247" t="str">
        <f>IF(financial_fraud_data[[#This Row],[Is_Fraud]]=1,"Yes","No")</f>
        <v>Yes</v>
      </c>
    </row>
    <row r="1248" spans="1:17" x14ac:dyDescent="0.2">
      <c r="A1248" t="s">
        <v>1747</v>
      </c>
      <c r="B1248" t="s">
        <v>376</v>
      </c>
      <c r="C1248" s="1">
        <v>45343.916666666664</v>
      </c>
      <c r="D1248">
        <v>6605.68</v>
      </c>
      <c r="E1248" t="s">
        <v>42</v>
      </c>
      <c r="F1248" t="s">
        <v>27</v>
      </c>
      <c r="G1248" t="s">
        <v>28</v>
      </c>
      <c r="H1248" t="s">
        <v>19</v>
      </c>
      <c r="I1248" t="s">
        <v>19</v>
      </c>
      <c r="J1248" t="s">
        <v>20</v>
      </c>
      <c r="K1248">
        <v>0</v>
      </c>
      <c r="L1248">
        <v>0</v>
      </c>
      <c r="M1248">
        <v>0.66</v>
      </c>
      <c r="N1248">
        <v>0</v>
      </c>
      <c r="O1248" t="str">
        <f>IF(financial_fraud_data[[#This Row],[Risk_Score]]&gt;8,"High",IF(financial_fraud_data[[#This Row],[Risk_Score]]&gt;5,"Med","Low"))</f>
        <v>Low</v>
      </c>
      <c r="P1248" t="str">
        <f>TEXT(financial_fraud_data[[#This Row],[Transaction_Date]],"MMM")</f>
        <v>Feb</v>
      </c>
      <c r="Q1248" t="str">
        <f>IF(financial_fraud_data[[#This Row],[Is_Fraud]]=1,"Yes","No")</f>
        <v>No</v>
      </c>
    </row>
    <row r="1249" spans="1:17" x14ac:dyDescent="0.2">
      <c r="A1249" t="s">
        <v>1748</v>
      </c>
      <c r="B1249" t="s">
        <v>75</v>
      </c>
      <c r="C1249" s="1">
        <v>45343.958333333336</v>
      </c>
      <c r="D1249">
        <v>1674.68</v>
      </c>
      <c r="E1249" t="s">
        <v>80</v>
      </c>
      <c r="F1249" t="s">
        <v>50</v>
      </c>
      <c r="G1249" t="s">
        <v>28</v>
      </c>
      <c r="H1249" t="s">
        <v>29</v>
      </c>
      <c r="I1249" t="s">
        <v>23</v>
      </c>
      <c r="J1249" t="s">
        <v>37</v>
      </c>
      <c r="K1249">
        <v>0</v>
      </c>
      <c r="L1249">
        <v>4</v>
      </c>
      <c r="M1249">
        <v>7.17</v>
      </c>
      <c r="N1249">
        <v>1</v>
      </c>
      <c r="O1249" t="str">
        <f>IF(financial_fraud_data[[#This Row],[Risk_Score]]&gt;8,"High",IF(financial_fraud_data[[#This Row],[Risk_Score]]&gt;5,"Med","Low"))</f>
        <v>Med</v>
      </c>
      <c r="P1249" t="str">
        <f>TEXT(financial_fraud_data[[#This Row],[Transaction_Date]],"MMM")</f>
        <v>Feb</v>
      </c>
      <c r="Q1249" t="str">
        <f>IF(financial_fraud_data[[#This Row],[Is_Fraud]]=1,"Yes","No")</f>
        <v>Yes</v>
      </c>
    </row>
    <row r="1250" spans="1:17" x14ac:dyDescent="0.2">
      <c r="A1250" t="s">
        <v>1749</v>
      </c>
      <c r="B1250" t="s">
        <v>205</v>
      </c>
      <c r="C1250" s="1">
        <v>45344</v>
      </c>
      <c r="D1250">
        <v>46046.35</v>
      </c>
      <c r="E1250" t="s">
        <v>16</v>
      </c>
      <c r="F1250" t="s">
        <v>47</v>
      </c>
      <c r="G1250" t="s">
        <v>56</v>
      </c>
      <c r="H1250" t="s">
        <v>29</v>
      </c>
      <c r="I1250" t="s">
        <v>29</v>
      </c>
      <c r="J1250" t="s">
        <v>20</v>
      </c>
      <c r="K1250">
        <v>0</v>
      </c>
      <c r="L1250">
        <v>4</v>
      </c>
      <c r="M1250">
        <v>10.6</v>
      </c>
      <c r="N1250">
        <v>1</v>
      </c>
      <c r="O1250" t="str">
        <f>IF(financial_fraud_data[[#This Row],[Risk_Score]]&gt;8,"High",IF(financial_fraud_data[[#This Row],[Risk_Score]]&gt;5,"Med","Low"))</f>
        <v>High</v>
      </c>
      <c r="P1250" t="str">
        <f>TEXT(financial_fraud_data[[#This Row],[Transaction_Date]],"MMM")</f>
        <v>Feb</v>
      </c>
      <c r="Q1250" t="str">
        <f>IF(financial_fraud_data[[#This Row],[Is_Fraud]]=1,"Yes","No")</f>
        <v>Yes</v>
      </c>
    </row>
    <row r="1251" spans="1:17" x14ac:dyDescent="0.2">
      <c r="A1251" t="s">
        <v>1750</v>
      </c>
      <c r="B1251" t="s">
        <v>1027</v>
      </c>
      <c r="C1251" s="1">
        <v>45344.041666666664</v>
      </c>
      <c r="D1251">
        <v>30851.68</v>
      </c>
      <c r="E1251" t="s">
        <v>80</v>
      </c>
      <c r="F1251" t="s">
        <v>47</v>
      </c>
      <c r="G1251" t="s">
        <v>35</v>
      </c>
      <c r="H1251" t="s">
        <v>19</v>
      </c>
      <c r="I1251" t="s">
        <v>36</v>
      </c>
      <c r="J1251" t="s">
        <v>51</v>
      </c>
      <c r="K1251">
        <v>0</v>
      </c>
      <c r="L1251">
        <v>1</v>
      </c>
      <c r="M1251">
        <v>5.59</v>
      </c>
      <c r="N1251">
        <v>1</v>
      </c>
      <c r="O1251" t="str">
        <f>IF(financial_fraud_data[[#This Row],[Risk_Score]]&gt;8,"High",IF(financial_fraud_data[[#This Row],[Risk_Score]]&gt;5,"Med","Low"))</f>
        <v>Med</v>
      </c>
      <c r="P1251" t="str">
        <f>TEXT(financial_fraud_data[[#This Row],[Transaction_Date]],"MMM")</f>
        <v>Feb</v>
      </c>
      <c r="Q1251" t="str">
        <f>IF(financial_fraud_data[[#This Row],[Is_Fraud]]=1,"Yes","No")</f>
        <v>Yes</v>
      </c>
    </row>
    <row r="1252" spans="1:17" x14ac:dyDescent="0.2">
      <c r="A1252" t="s">
        <v>1751</v>
      </c>
      <c r="B1252" t="s">
        <v>1345</v>
      </c>
      <c r="C1252" s="1">
        <v>45344.083333333336</v>
      </c>
      <c r="D1252">
        <v>39837.040000000001</v>
      </c>
      <c r="E1252" t="s">
        <v>80</v>
      </c>
      <c r="F1252" t="s">
        <v>27</v>
      </c>
      <c r="G1252" t="s">
        <v>65</v>
      </c>
      <c r="H1252" t="s">
        <v>29</v>
      </c>
      <c r="I1252" t="s">
        <v>19</v>
      </c>
      <c r="J1252" t="s">
        <v>37</v>
      </c>
      <c r="K1252">
        <v>1</v>
      </c>
      <c r="L1252">
        <v>2</v>
      </c>
      <c r="M1252">
        <v>9.98</v>
      </c>
      <c r="N1252">
        <v>1</v>
      </c>
      <c r="O1252" t="str">
        <f>IF(financial_fraud_data[[#This Row],[Risk_Score]]&gt;8,"High",IF(financial_fraud_data[[#This Row],[Risk_Score]]&gt;5,"Med","Low"))</f>
        <v>High</v>
      </c>
      <c r="P1252" t="str">
        <f>TEXT(financial_fraud_data[[#This Row],[Transaction_Date]],"MMM")</f>
        <v>Feb</v>
      </c>
      <c r="Q1252" t="str">
        <f>IF(financial_fraud_data[[#This Row],[Is_Fraud]]=1,"Yes","No")</f>
        <v>Yes</v>
      </c>
    </row>
    <row r="1253" spans="1:17" x14ac:dyDescent="0.2">
      <c r="A1253" t="s">
        <v>1752</v>
      </c>
      <c r="B1253" t="s">
        <v>289</v>
      </c>
      <c r="C1253" s="1">
        <v>45344.125</v>
      </c>
      <c r="D1253">
        <v>24102.04</v>
      </c>
      <c r="E1253" t="s">
        <v>42</v>
      </c>
      <c r="F1253" t="s">
        <v>27</v>
      </c>
      <c r="G1253" t="s">
        <v>35</v>
      </c>
      <c r="H1253" t="s">
        <v>19</v>
      </c>
      <c r="I1253" t="s">
        <v>24</v>
      </c>
      <c r="J1253" t="s">
        <v>51</v>
      </c>
      <c r="K1253">
        <v>0</v>
      </c>
      <c r="L1253">
        <v>2</v>
      </c>
      <c r="M1253">
        <v>6.41</v>
      </c>
      <c r="N1253">
        <v>1</v>
      </c>
      <c r="O1253" t="str">
        <f>IF(financial_fraud_data[[#This Row],[Risk_Score]]&gt;8,"High",IF(financial_fraud_data[[#This Row],[Risk_Score]]&gt;5,"Med","Low"))</f>
        <v>Med</v>
      </c>
      <c r="P1253" t="str">
        <f>TEXT(financial_fraud_data[[#This Row],[Transaction_Date]],"MMM")</f>
        <v>Feb</v>
      </c>
      <c r="Q1253" t="str">
        <f>IF(financial_fraud_data[[#This Row],[Is_Fraud]]=1,"Yes","No")</f>
        <v>Yes</v>
      </c>
    </row>
    <row r="1254" spans="1:17" x14ac:dyDescent="0.2">
      <c r="A1254" t="s">
        <v>1753</v>
      </c>
      <c r="B1254" t="s">
        <v>270</v>
      </c>
      <c r="C1254" s="1">
        <v>45344.166666666664</v>
      </c>
      <c r="D1254">
        <v>5909.54</v>
      </c>
      <c r="E1254" t="s">
        <v>16</v>
      </c>
      <c r="F1254" t="s">
        <v>17</v>
      </c>
      <c r="G1254" t="s">
        <v>18</v>
      </c>
      <c r="H1254" t="s">
        <v>19</v>
      </c>
      <c r="I1254" t="s">
        <v>23</v>
      </c>
      <c r="J1254" t="s">
        <v>51</v>
      </c>
      <c r="K1254">
        <v>0</v>
      </c>
      <c r="L1254">
        <v>1</v>
      </c>
      <c r="M1254">
        <v>3.09</v>
      </c>
      <c r="N1254">
        <v>0</v>
      </c>
      <c r="O1254" t="str">
        <f>IF(financial_fraud_data[[#This Row],[Risk_Score]]&gt;8,"High",IF(financial_fraud_data[[#This Row],[Risk_Score]]&gt;5,"Med","Low"))</f>
        <v>Low</v>
      </c>
      <c r="P1254" t="str">
        <f>TEXT(financial_fraud_data[[#This Row],[Transaction_Date]],"MMM")</f>
        <v>Feb</v>
      </c>
      <c r="Q1254" t="str">
        <f>IF(financial_fraud_data[[#This Row],[Is_Fraud]]=1,"Yes","No")</f>
        <v>No</v>
      </c>
    </row>
    <row r="1255" spans="1:17" x14ac:dyDescent="0.2">
      <c r="A1255" t="s">
        <v>1754</v>
      </c>
      <c r="B1255" t="s">
        <v>217</v>
      </c>
      <c r="C1255" s="1">
        <v>45344.208333333336</v>
      </c>
      <c r="D1255">
        <v>6303.03</v>
      </c>
      <c r="E1255" t="s">
        <v>34</v>
      </c>
      <c r="F1255" t="s">
        <v>17</v>
      </c>
      <c r="G1255" t="s">
        <v>35</v>
      </c>
      <c r="H1255" t="s">
        <v>19</v>
      </c>
      <c r="I1255" t="s">
        <v>36</v>
      </c>
      <c r="J1255" t="s">
        <v>37</v>
      </c>
      <c r="K1255">
        <v>0</v>
      </c>
      <c r="L1255">
        <v>1</v>
      </c>
      <c r="M1255">
        <v>3.13</v>
      </c>
      <c r="N1255">
        <v>0</v>
      </c>
      <c r="O1255" t="str">
        <f>IF(financial_fraud_data[[#This Row],[Risk_Score]]&gt;8,"High",IF(financial_fraud_data[[#This Row],[Risk_Score]]&gt;5,"Med","Low"))</f>
        <v>Low</v>
      </c>
      <c r="P1255" t="str">
        <f>TEXT(financial_fraud_data[[#This Row],[Transaction_Date]],"MMM")</f>
        <v>Feb</v>
      </c>
      <c r="Q1255" t="str">
        <f>IF(financial_fraud_data[[#This Row],[Is_Fraud]]=1,"Yes","No")</f>
        <v>No</v>
      </c>
    </row>
    <row r="1256" spans="1:17" x14ac:dyDescent="0.2">
      <c r="A1256" t="s">
        <v>1755</v>
      </c>
      <c r="B1256" t="s">
        <v>1183</v>
      </c>
      <c r="C1256" s="1">
        <v>45344.25</v>
      </c>
      <c r="D1256">
        <v>34293.99</v>
      </c>
      <c r="E1256" t="s">
        <v>80</v>
      </c>
      <c r="F1256" t="s">
        <v>27</v>
      </c>
      <c r="G1256" t="s">
        <v>18</v>
      </c>
      <c r="H1256" t="s">
        <v>24</v>
      </c>
      <c r="I1256" t="s">
        <v>24</v>
      </c>
      <c r="J1256" t="s">
        <v>51</v>
      </c>
      <c r="K1256">
        <v>0</v>
      </c>
      <c r="L1256">
        <v>0</v>
      </c>
      <c r="M1256">
        <v>3.43</v>
      </c>
      <c r="N1256">
        <v>0</v>
      </c>
      <c r="O1256" t="str">
        <f>IF(financial_fraud_data[[#This Row],[Risk_Score]]&gt;8,"High",IF(financial_fraud_data[[#This Row],[Risk_Score]]&gt;5,"Med","Low"))</f>
        <v>Low</v>
      </c>
      <c r="P1256" t="str">
        <f>TEXT(financial_fraud_data[[#This Row],[Transaction_Date]],"MMM")</f>
        <v>Feb</v>
      </c>
      <c r="Q1256" t="str">
        <f>IF(financial_fraud_data[[#This Row],[Is_Fraud]]=1,"Yes","No")</f>
        <v>No</v>
      </c>
    </row>
    <row r="1257" spans="1:17" x14ac:dyDescent="0.2">
      <c r="A1257" t="s">
        <v>1756</v>
      </c>
      <c r="B1257" t="s">
        <v>1757</v>
      </c>
      <c r="C1257" s="1">
        <v>45344.291666666664</v>
      </c>
      <c r="D1257">
        <v>21543.78</v>
      </c>
      <c r="E1257" t="s">
        <v>80</v>
      </c>
      <c r="F1257" t="s">
        <v>50</v>
      </c>
      <c r="G1257" t="s">
        <v>18</v>
      </c>
      <c r="H1257" t="s">
        <v>36</v>
      </c>
      <c r="I1257" t="s">
        <v>24</v>
      </c>
      <c r="J1257" t="s">
        <v>20</v>
      </c>
      <c r="K1257">
        <v>0</v>
      </c>
      <c r="L1257">
        <v>2</v>
      </c>
      <c r="M1257">
        <v>6.15</v>
      </c>
      <c r="N1257">
        <v>1</v>
      </c>
      <c r="O1257" t="str">
        <f>IF(financial_fraud_data[[#This Row],[Risk_Score]]&gt;8,"High",IF(financial_fraud_data[[#This Row],[Risk_Score]]&gt;5,"Med","Low"))</f>
        <v>Med</v>
      </c>
      <c r="P1257" t="str">
        <f>TEXT(financial_fraud_data[[#This Row],[Transaction_Date]],"MMM")</f>
        <v>Feb</v>
      </c>
      <c r="Q1257" t="str">
        <f>IF(financial_fraud_data[[#This Row],[Is_Fraud]]=1,"Yes","No")</f>
        <v>Yes</v>
      </c>
    </row>
    <row r="1258" spans="1:17" x14ac:dyDescent="0.2">
      <c r="A1258" t="s">
        <v>1758</v>
      </c>
      <c r="B1258" t="s">
        <v>1289</v>
      </c>
      <c r="C1258" s="1">
        <v>45344.333333333336</v>
      </c>
      <c r="D1258">
        <v>10066.209999999999</v>
      </c>
      <c r="E1258" t="s">
        <v>34</v>
      </c>
      <c r="F1258" t="s">
        <v>17</v>
      </c>
      <c r="G1258" t="s">
        <v>65</v>
      </c>
      <c r="H1258" t="s">
        <v>24</v>
      </c>
      <c r="I1258" t="s">
        <v>29</v>
      </c>
      <c r="J1258" t="s">
        <v>51</v>
      </c>
      <c r="K1258">
        <v>0</v>
      </c>
      <c r="L1258">
        <v>4</v>
      </c>
      <c r="M1258">
        <v>8.01</v>
      </c>
      <c r="N1258">
        <v>1</v>
      </c>
      <c r="O1258" t="str">
        <f>IF(financial_fraud_data[[#This Row],[Risk_Score]]&gt;8,"High",IF(financial_fraud_data[[#This Row],[Risk_Score]]&gt;5,"Med","Low"))</f>
        <v>High</v>
      </c>
      <c r="P1258" t="str">
        <f>TEXT(financial_fraud_data[[#This Row],[Transaction_Date]],"MMM")</f>
        <v>Feb</v>
      </c>
      <c r="Q1258" t="str">
        <f>IF(financial_fraud_data[[#This Row],[Is_Fraud]]=1,"Yes","No")</f>
        <v>Yes</v>
      </c>
    </row>
    <row r="1259" spans="1:17" x14ac:dyDescent="0.2">
      <c r="A1259" t="s">
        <v>1759</v>
      </c>
      <c r="B1259" t="s">
        <v>191</v>
      </c>
      <c r="C1259" s="1">
        <v>45344.375</v>
      </c>
      <c r="D1259">
        <v>24605.15</v>
      </c>
      <c r="E1259" t="s">
        <v>16</v>
      </c>
      <c r="F1259" t="s">
        <v>27</v>
      </c>
      <c r="G1259" t="s">
        <v>56</v>
      </c>
      <c r="H1259" t="s">
        <v>19</v>
      </c>
      <c r="I1259" t="s">
        <v>29</v>
      </c>
      <c r="J1259" t="s">
        <v>51</v>
      </c>
      <c r="K1259">
        <v>0</v>
      </c>
      <c r="L1259">
        <v>1</v>
      </c>
      <c r="M1259">
        <v>4.96</v>
      </c>
      <c r="N1259">
        <v>0</v>
      </c>
      <c r="O1259" t="str">
        <f>IF(financial_fraud_data[[#This Row],[Risk_Score]]&gt;8,"High",IF(financial_fraud_data[[#This Row],[Risk_Score]]&gt;5,"Med","Low"))</f>
        <v>Low</v>
      </c>
      <c r="P1259" t="str">
        <f>TEXT(financial_fraud_data[[#This Row],[Transaction_Date]],"MMM")</f>
        <v>Feb</v>
      </c>
      <c r="Q1259" t="str">
        <f>IF(financial_fraud_data[[#This Row],[Is_Fraud]]=1,"Yes","No")</f>
        <v>No</v>
      </c>
    </row>
    <row r="1260" spans="1:17" x14ac:dyDescent="0.2">
      <c r="A1260" t="s">
        <v>1760</v>
      </c>
      <c r="B1260" t="s">
        <v>1157</v>
      </c>
      <c r="C1260" s="1">
        <v>45344.416666666664</v>
      </c>
      <c r="D1260">
        <v>3257.24</v>
      </c>
      <c r="E1260" t="s">
        <v>80</v>
      </c>
      <c r="F1260" t="s">
        <v>17</v>
      </c>
      <c r="G1260" t="s">
        <v>65</v>
      </c>
      <c r="H1260" t="s">
        <v>36</v>
      </c>
      <c r="I1260" t="s">
        <v>19</v>
      </c>
      <c r="J1260" t="s">
        <v>51</v>
      </c>
      <c r="K1260">
        <v>1</v>
      </c>
      <c r="L1260">
        <v>0</v>
      </c>
      <c r="M1260">
        <v>3.33</v>
      </c>
      <c r="N1260">
        <v>0</v>
      </c>
      <c r="O1260" t="str">
        <f>IF(financial_fraud_data[[#This Row],[Risk_Score]]&gt;8,"High",IF(financial_fraud_data[[#This Row],[Risk_Score]]&gt;5,"Med","Low"))</f>
        <v>Low</v>
      </c>
      <c r="P1260" t="str">
        <f>TEXT(financial_fraud_data[[#This Row],[Transaction_Date]],"MMM")</f>
        <v>Feb</v>
      </c>
      <c r="Q1260" t="str">
        <f>IF(financial_fraud_data[[#This Row],[Is_Fraud]]=1,"Yes","No")</f>
        <v>No</v>
      </c>
    </row>
    <row r="1261" spans="1:17" x14ac:dyDescent="0.2">
      <c r="A1261" t="s">
        <v>1761</v>
      </c>
      <c r="B1261" t="s">
        <v>413</v>
      </c>
      <c r="C1261" s="1">
        <v>45344.458333333336</v>
      </c>
      <c r="D1261">
        <v>29119.47</v>
      </c>
      <c r="E1261" t="s">
        <v>80</v>
      </c>
      <c r="F1261" t="s">
        <v>27</v>
      </c>
      <c r="G1261" t="s">
        <v>35</v>
      </c>
      <c r="H1261" t="s">
        <v>36</v>
      </c>
      <c r="I1261" t="s">
        <v>19</v>
      </c>
      <c r="J1261" t="s">
        <v>20</v>
      </c>
      <c r="K1261">
        <v>0</v>
      </c>
      <c r="L1261">
        <v>4</v>
      </c>
      <c r="M1261">
        <v>9.91</v>
      </c>
      <c r="N1261">
        <v>1</v>
      </c>
      <c r="O1261" t="str">
        <f>IF(financial_fraud_data[[#This Row],[Risk_Score]]&gt;8,"High",IF(financial_fraud_data[[#This Row],[Risk_Score]]&gt;5,"Med","Low"))</f>
        <v>High</v>
      </c>
      <c r="P1261" t="str">
        <f>TEXT(financial_fraud_data[[#This Row],[Transaction_Date]],"MMM")</f>
        <v>Feb</v>
      </c>
      <c r="Q1261" t="str">
        <f>IF(financial_fraud_data[[#This Row],[Is_Fraud]]=1,"Yes","No")</f>
        <v>Yes</v>
      </c>
    </row>
    <row r="1262" spans="1:17" x14ac:dyDescent="0.2">
      <c r="A1262" t="s">
        <v>1762</v>
      </c>
      <c r="B1262" t="s">
        <v>317</v>
      </c>
      <c r="C1262" s="1">
        <v>45344.5</v>
      </c>
      <c r="D1262">
        <v>13486.22</v>
      </c>
      <c r="E1262" t="s">
        <v>80</v>
      </c>
      <c r="F1262" t="s">
        <v>47</v>
      </c>
      <c r="G1262" t="s">
        <v>18</v>
      </c>
      <c r="H1262" t="s">
        <v>19</v>
      </c>
      <c r="I1262" t="s">
        <v>24</v>
      </c>
      <c r="J1262" t="s">
        <v>51</v>
      </c>
      <c r="K1262">
        <v>0</v>
      </c>
      <c r="L1262">
        <v>2</v>
      </c>
      <c r="M1262">
        <v>5.35</v>
      </c>
      <c r="N1262">
        <v>1</v>
      </c>
      <c r="O1262" t="str">
        <f>IF(financial_fraud_data[[#This Row],[Risk_Score]]&gt;8,"High",IF(financial_fraud_data[[#This Row],[Risk_Score]]&gt;5,"Med","Low"))</f>
        <v>Med</v>
      </c>
      <c r="P1262" t="str">
        <f>TEXT(financial_fraud_data[[#This Row],[Transaction_Date]],"MMM")</f>
        <v>Feb</v>
      </c>
      <c r="Q1262" t="str">
        <f>IF(financial_fraud_data[[#This Row],[Is_Fraud]]=1,"Yes","No")</f>
        <v>Yes</v>
      </c>
    </row>
    <row r="1263" spans="1:17" x14ac:dyDescent="0.2">
      <c r="A1263" t="s">
        <v>1763</v>
      </c>
      <c r="B1263" t="s">
        <v>1120</v>
      </c>
      <c r="C1263" s="1">
        <v>45344.541666666664</v>
      </c>
      <c r="D1263">
        <v>39888.080000000002</v>
      </c>
      <c r="E1263" t="s">
        <v>16</v>
      </c>
      <c r="F1263" t="s">
        <v>27</v>
      </c>
      <c r="G1263" t="s">
        <v>28</v>
      </c>
      <c r="H1263" t="s">
        <v>36</v>
      </c>
      <c r="I1263" t="s">
        <v>24</v>
      </c>
      <c r="J1263" t="s">
        <v>51</v>
      </c>
      <c r="K1263">
        <v>0</v>
      </c>
      <c r="L1263">
        <v>1</v>
      </c>
      <c r="M1263">
        <v>6.49</v>
      </c>
      <c r="N1263">
        <v>1</v>
      </c>
      <c r="O1263" t="str">
        <f>IF(financial_fraud_data[[#This Row],[Risk_Score]]&gt;8,"High",IF(financial_fraud_data[[#This Row],[Risk_Score]]&gt;5,"Med","Low"))</f>
        <v>Med</v>
      </c>
      <c r="P1263" t="str">
        <f>TEXT(financial_fraud_data[[#This Row],[Transaction_Date]],"MMM")</f>
        <v>Feb</v>
      </c>
      <c r="Q1263" t="str">
        <f>IF(financial_fraud_data[[#This Row],[Is_Fraud]]=1,"Yes","No")</f>
        <v>Yes</v>
      </c>
    </row>
    <row r="1264" spans="1:17" x14ac:dyDescent="0.2">
      <c r="A1264" t="s">
        <v>1764</v>
      </c>
      <c r="B1264" t="s">
        <v>986</v>
      </c>
      <c r="C1264" s="1">
        <v>45344.583333333336</v>
      </c>
      <c r="D1264">
        <v>15552.58</v>
      </c>
      <c r="E1264" t="s">
        <v>16</v>
      </c>
      <c r="F1264" t="s">
        <v>47</v>
      </c>
      <c r="G1264" t="s">
        <v>28</v>
      </c>
      <c r="H1264" t="s">
        <v>36</v>
      </c>
      <c r="I1264" t="s">
        <v>19</v>
      </c>
      <c r="J1264" t="s">
        <v>20</v>
      </c>
      <c r="K1264">
        <v>0</v>
      </c>
      <c r="L1264">
        <v>1</v>
      </c>
      <c r="M1264">
        <v>4.0599999999999996</v>
      </c>
      <c r="N1264">
        <v>0</v>
      </c>
      <c r="O1264" t="str">
        <f>IF(financial_fraud_data[[#This Row],[Risk_Score]]&gt;8,"High",IF(financial_fraud_data[[#This Row],[Risk_Score]]&gt;5,"Med","Low"))</f>
        <v>Low</v>
      </c>
      <c r="P1264" t="str">
        <f>TEXT(financial_fraud_data[[#This Row],[Transaction_Date]],"MMM")</f>
        <v>Feb</v>
      </c>
      <c r="Q1264" t="str">
        <f>IF(financial_fraud_data[[#This Row],[Is_Fraud]]=1,"Yes","No")</f>
        <v>No</v>
      </c>
    </row>
    <row r="1265" spans="1:17" x14ac:dyDescent="0.2">
      <c r="A1265" t="s">
        <v>1765</v>
      </c>
      <c r="B1265" t="s">
        <v>1766</v>
      </c>
      <c r="C1265" s="1">
        <v>45344.625</v>
      </c>
      <c r="D1265">
        <v>22788.25</v>
      </c>
      <c r="E1265" t="s">
        <v>34</v>
      </c>
      <c r="F1265" t="s">
        <v>17</v>
      </c>
      <c r="G1265" t="s">
        <v>18</v>
      </c>
      <c r="H1265" t="s">
        <v>24</v>
      </c>
      <c r="I1265" t="s">
        <v>19</v>
      </c>
      <c r="J1265" t="s">
        <v>37</v>
      </c>
      <c r="K1265">
        <v>1</v>
      </c>
      <c r="L1265">
        <v>0</v>
      </c>
      <c r="M1265">
        <v>5.28</v>
      </c>
      <c r="N1265">
        <v>1</v>
      </c>
      <c r="O1265" t="str">
        <f>IF(financial_fraud_data[[#This Row],[Risk_Score]]&gt;8,"High",IF(financial_fraud_data[[#This Row],[Risk_Score]]&gt;5,"Med","Low"))</f>
        <v>Med</v>
      </c>
      <c r="P1265" t="str">
        <f>TEXT(financial_fraud_data[[#This Row],[Transaction_Date]],"MMM")</f>
        <v>Feb</v>
      </c>
      <c r="Q1265" t="str">
        <f>IF(financial_fraud_data[[#This Row],[Is_Fraud]]=1,"Yes","No")</f>
        <v>Yes</v>
      </c>
    </row>
    <row r="1266" spans="1:17" x14ac:dyDescent="0.2">
      <c r="A1266" t="s">
        <v>1767</v>
      </c>
      <c r="B1266" t="s">
        <v>1688</v>
      </c>
      <c r="C1266" s="1">
        <v>45344.666666666664</v>
      </c>
      <c r="D1266">
        <v>630.45000000000005</v>
      </c>
      <c r="E1266" t="s">
        <v>16</v>
      </c>
      <c r="F1266" t="s">
        <v>27</v>
      </c>
      <c r="G1266" t="s">
        <v>65</v>
      </c>
      <c r="H1266" t="s">
        <v>36</v>
      </c>
      <c r="I1266" t="s">
        <v>24</v>
      </c>
      <c r="J1266" t="s">
        <v>37</v>
      </c>
      <c r="K1266">
        <v>0</v>
      </c>
      <c r="L1266">
        <v>0</v>
      </c>
      <c r="M1266">
        <v>1.06</v>
      </c>
      <c r="N1266">
        <v>0</v>
      </c>
      <c r="O1266" t="str">
        <f>IF(financial_fraud_data[[#This Row],[Risk_Score]]&gt;8,"High",IF(financial_fraud_data[[#This Row],[Risk_Score]]&gt;5,"Med","Low"))</f>
        <v>Low</v>
      </c>
      <c r="P1266" t="str">
        <f>TEXT(financial_fraud_data[[#This Row],[Transaction_Date]],"MMM")</f>
        <v>Feb</v>
      </c>
      <c r="Q1266" t="str">
        <f>IF(financial_fraud_data[[#This Row],[Is_Fraud]]=1,"Yes","No")</f>
        <v>No</v>
      </c>
    </row>
    <row r="1267" spans="1:17" x14ac:dyDescent="0.2">
      <c r="A1267" t="s">
        <v>1768</v>
      </c>
      <c r="B1267" t="s">
        <v>1194</v>
      </c>
      <c r="C1267" s="1">
        <v>45344.708333333336</v>
      </c>
      <c r="D1267">
        <v>3668.72</v>
      </c>
      <c r="E1267" t="s">
        <v>16</v>
      </c>
      <c r="F1267" t="s">
        <v>17</v>
      </c>
      <c r="G1267" t="s">
        <v>56</v>
      </c>
      <c r="H1267" t="s">
        <v>19</v>
      </c>
      <c r="I1267" t="s">
        <v>36</v>
      </c>
      <c r="J1267" t="s">
        <v>37</v>
      </c>
      <c r="K1267">
        <v>0</v>
      </c>
      <c r="L1267">
        <v>2</v>
      </c>
      <c r="M1267">
        <v>4.37</v>
      </c>
      <c r="N1267">
        <v>0</v>
      </c>
      <c r="O1267" t="str">
        <f>IF(financial_fraud_data[[#This Row],[Risk_Score]]&gt;8,"High",IF(financial_fraud_data[[#This Row],[Risk_Score]]&gt;5,"Med","Low"))</f>
        <v>Low</v>
      </c>
      <c r="P1267" t="str">
        <f>TEXT(financial_fraud_data[[#This Row],[Transaction_Date]],"MMM")</f>
        <v>Feb</v>
      </c>
      <c r="Q1267" t="str">
        <f>IF(financial_fraud_data[[#This Row],[Is_Fraud]]=1,"Yes","No")</f>
        <v>No</v>
      </c>
    </row>
    <row r="1268" spans="1:17" x14ac:dyDescent="0.2">
      <c r="A1268" t="s">
        <v>1769</v>
      </c>
      <c r="B1268" t="s">
        <v>1183</v>
      </c>
      <c r="C1268" s="1">
        <v>45344.75</v>
      </c>
      <c r="D1268">
        <v>19655.05</v>
      </c>
      <c r="E1268" t="s">
        <v>42</v>
      </c>
      <c r="F1268" t="s">
        <v>47</v>
      </c>
      <c r="G1268" t="s">
        <v>65</v>
      </c>
      <c r="H1268" t="s">
        <v>23</v>
      </c>
      <c r="I1268" t="s">
        <v>24</v>
      </c>
      <c r="J1268" t="s">
        <v>51</v>
      </c>
      <c r="K1268">
        <v>0</v>
      </c>
      <c r="L1268">
        <v>1</v>
      </c>
      <c r="M1268">
        <v>4.47</v>
      </c>
      <c r="N1268">
        <v>0</v>
      </c>
      <c r="O1268" t="str">
        <f>IF(financial_fraud_data[[#This Row],[Risk_Score]]&gt;8,"High",IF(financial_fraud_data[[#This Row],[Risk_Score]]&gt;5,"Med","Low"))</f>
        <v>Low</v>
      </c>
      <c r="P1268" t="str">
        <f>TEXT(financial_fraud_data[[#This Row],[Transaction_Date]],"MMM")</f>
        <v>Feb</v>
      </c>
      <c r="Q1268" t="str">
        <f>IF(financial_fraud_data[[#This Row],[Is_Fraud]]=1,"Yes","No")</f>
        <v>No</v>
      </c>
    </row>
    <row r="1269" spans="1:17" x14ac:dyDescent="0.2">
      <c r="A1269" t="s">
        <v>1770</v>
      </c>
      <c r="B1269" t="s">
        <v>1641</v>
      </c>
      <c r="C1269" s="1">
        <v>45344.791666666664</v>
      </c>
      <c r="D1269">
        <v>24022.94</v>
      </c>
      <c r="E1269" t="s">
        <v>34</v>
      </c>
      <c r="F1269" t="s">
        <v>27</v>
      </c>
      <c r="G1269" t="s">
        <v>18</v>
      </c>
      <c r="H1269" t="s">
        <v>23</v>
      </c>
      <c r="I1269" t="s">
        <v>36</v>
      </c>
      <c r="J1269" t="s">
        <v>37</v>
      </c>
      <c r="K1269">
        <v>0</v>
      </c>
      <c r="L1269">
        <v>0</v>
      </c>
      <c r="M1269">
        <v>3.4</v>
      </c>
      <c r="N1269">
        <v>0</v>
      </c>
      <c r="O1269" t="str">
        <f>IF(financial_fraud_data[[#This Row],[Risk_Score]]&gt;8,"High",IF(financial_fraud_data[[#This Row],[Risk_Score]]&gt;5,"Med","Low"))</f>
        <v>Low</v>
      </c>
      <c r="P1269" t="str">
        <f>TEXT(financial_fraud_data[[#This Row],[Transaction_Date]],"MMM")</f>
        <v>Feb</v>
      </c>
      <c r="Q1269" t="str">
        <f>IF(financial_fraud_data[[#This Row],[Is_Fraud]]=1,"Yes","No")</f>
        <v>No</v>
      </c>
    </row>
    <row r="1270" spans="1:17" x14ac:dyDescent="0.2">
      <c r="A1270" t="s">
        <v>1771</v>
      </c>
      <c r="B1270" t="s">
        <v>1772</v>
      </c>
      <c r="C1270" s="1">
        <v>45344.833333333336</v>
      </c>
      <c r="D1270">
        <v>30021.03</v>
      </c>
      <c r="E1270" t="s">
        <v>80</v>
      </c>
      <c r="F1270" t="s">
        <v>17</v>
      </c>
      <c r="G1270" t="s">
        <v>18</v>
      </c>
      <c r="H1270" t="s">
        <v>23</v>
      </c>
      <c r="I1270" t="s">
        <v>36</v>
      </c>
      <c r="J1270" t="s">
        <v>20</v>
      </c>
      <c r="K1270">
        <v>0</v>
      </c>
      <c r="L1270">
        <v>1</v>
      </c>
      <c r="M1270">
        <v>5.5</v>
      </c>
      <c r="N1270">
        <v>1</v>
      </c>
      <c r="O1270" t="str">
        <f>IF(financial_fraud_data[[#This Row],[Risk_Score]]&gt;8,"High",IF(financial_fraud_data[[#This Row],[Risk_Score]]&gt;5,"Med","Low"))</f>
        <v>Med</v>
      </c>
      <c r="P1270" t="str">
        <f>TEXT(financial_fraud_data[[#This Row],[Transaction_Date]],"MMM")</f>
        <v>Feb</v>
      </c>
      <c r="Q1270" t="str">
        <f>IF(financial_fraud_data[[#This Row],[Is_Fraud]]=1,"Yes","No")</f>
        <v>Yes</v>
      </c>
    </row>
    <row r="1271" spans="1:17" x14ac:dyDescent="0.2">
      <c r="A1271" t="s">
        <v>1773</v>
      </c>
      <c r="B1271" t="s">
        <v>1641</v>
      </c>
      <c r="C1271" s="1">
        <v>45344.875</v>
      </c>
      <c r="D1271">
        <v>14618.55</v>
      </c>
      <c r="E1271" t="s">
        <v>16</v>
      </c>
      <c r="F1271" t="s">
        <v>47</v>
      </c>
      <c r="G1271" t="s">
        <v>56</v>
      </c>
      <c r="H1271" t="s">
        <v>19</v>
      </c>
      <c r="I1271" t="s">
        <v>24</v>
      </c>
      <c r="J1271" t="s">
        <v>51</v>
      </c>
      <c r="K1271">
        <v>0</v>
      </c>
      <c r="L1271">
        <v>2</v>
      </c>
      <c r="M1271">
        <v>5.46</v>
      </c>
      <c r="N1271">
        <v>1</v>
      </c>
      <c r="O1271" t="str">
        <f>IF(financial_fraud_data[[#This Row],[Risk_Score]]&gt;8,"High",IF(financial_fraud_data[[#This Row],[Risk_Score]]&gt;5,"Med","Low"))</f>
        <v>Med</v>
      </c>
      <c r="P1271" t="str">
        <f>TEXT(financial_fraud_data[[#This Row],[Transaction_Date]],"MMM")</f>
        <v>Feb</v>
      </c>
      <c r="Q1271" t="str">
        <f>IF(financial_fraud_data[[#This Row],[Is_Fraud]]=1,"Yes","No")</f>
        <v>Yes</v>
      </c>
    </row>
    <row r="1272" spans="1:17" x14ac:dyDescent="0.2">
      <c r="A1272" t="s">
        <v>1774</v>
      </c>
      <c r="B1272" t="s">
        <v>291</v>
      </c>
      <c r="C1272" s="1">
        <v>45344.916666666664</v>
      </c>
      <c r="D1272">
        <v>34764.35</v>
      </c>
      <c r="E1272" t="s">
        <v>80</v>
      </c>
      <c r="F1272" t="s">
        <v>17</v>
      </c>
      <c r="G1272" t="s">
        <v>35</v>
      </c>
      <c r="H1272" t="s">
        <v>23</v>
      </c>
      <c r="I1272" t="s">
        <v>23</v>
      </c>
      <c r="J1272" t="s">
        <v>51</v>
      </c>
      <c r="K1272">
        <v>0</v>
      </c>
      <c r="L1272">
        <v>1</v>
      </c>
      <c r="M1272">
        <v>4.9800000000000004</v>
      </c>
      <c r="N1272">
        <v>0</v>
      </c>
      <c r="O1272" t="str">
        <f>IF(financial_fraud_data[[#This Row],[Risk_Score]]&gt;8,"High",IF(financial_fraud_data[[#This Row],[Risk_Score]]&gt;5,"Med","Low"))</f>
        <v>Low</v>
      </c>
      <c r="P1272" t="str">
        <f>TEXT(financial_fraud_data[[#This Row],[Transaction_Date]],"MMM")</f>
        <v>Feb</v>
      </c>
      <c r="Q1272" t="str">
        <f>IF(financial_fraud_data[[#This Row],[Is_Fraud]]=1,"Yes","No")</f>
        <v>No</v>
      </c>
    </row>
    <row r="1273" spans="1:17" x14ac:dyDescent="0.2">
      <c r="A1273" t="s">
        <v>1775</v>
      </c>
      <c r="B1273" t="s">
        <v>504</v>
      </c>
      <c r="C1273" s="1">
        <v>45344.958333333336</v>
      </c>
      <c r="D1273">
        <v>43013.11</v>
      </c>
      <c r="E1273" t="s">
        <v>80</v>
      </c>
      <c r="F1273" t="s">
        <v>50</v>
      </c>
      <c r="G1273" t="s">
        <v>35</v>
      </c>
      <c r="H1273" t="s">
        <v>24</v>
      </c>
      <c r="I1273" t="s">
        <v>19</v>
      </c>
      <c r="J1273" t="s">
        <v>51</v>
      </c>
      <c r="K1273">
        <v>1</v>
      </c>
      <c r="L1273">
        <v>4</v>
      </c>
      <c r="M1273">
        <v>13.3</v>
      </c>
      <c r="N1273">
        <v>1</v>
      </c>
      <c r="O1273" t="str">
        <f>IF(financial_fraud_data[[#This Row],[Risk_Score]]&gt;8,"High",IF(financial_fraud_data[[#This Row],[Risk_Score]]&gt;5,"Med","Low"))</f>
        <v>High</v>
      </c>
      <c r="P1273" t="str">
        <f>TEXT(financial_fraud_data[[#This Row],[Transaction_Date]],"MMM")</f>
        <v>Feb</v>
      </c>
      <c r="Q1273" t="str">
        <f>IF(financial_fraud_data[[#This Row],[Is_Fraud]]=1,"Yes","No")</f>
        <v>Yes</v>
      </c>
    </row>
    <row r="1274" spans="1:17" x14ac:dyDescent="0.2">
      <c r="A1274" t="s">
        <v>1776</v>
      </c>
      <c r="B1274" t="s">
        <v>464</v>
      </c>
      <c r="C1274" s="1">
        <v>45345</v>
      </c>
      <c r="D1274">
        <v>39003.56</v>
      </c>
      <c r="E1274" t="s">
        <v>42</v>
      </c>
      <c r="F1274" t="s">
        <v>47</v>
      </c>
      <c r="G1274" t="s">
        <v>56</v>
      </c>
      <c r="H1274" t="s">
        <v>19</v>
      </c>
      <c r="I1274" t="s">
        <v>29</v>
      </c>
      <c r="J1274" t="s">
        <v>37</v>
      </c>
      <c r="K1274">
        <v>0</v>
      </c>
      <c r="L1274">
        <v>1</v>
      </c>
      <c r="M1274">
        <v>6.4</v>
      </c>
      <c r="N1274">
        <v>1</v>
      </c>
      <c r="O1274" t="str">
        <f>IF(financial_fraud_data[[#This Row],[Risk_Score]]&gt;8,"High",IF(financial_fraud_data[[#This Row],[Risk_Score]]&gt;5,"Med","Low"))</f>
        <v>Med</v>
      </c>
      <c r="P1274" t="str">
        <f>TEXT(financial_fraud_data[[#This Row],[Transaction_Date]],"MMM")</f>
        <v>Feb</v>
      </c>
      <c r="Q1274" t="str">
        <f>IF(financial_fraud_data[[#This Row],[Is_Fraud]]=1,"Yes","No")</f>
        <v>Yes</v>
      </c>
    </row>
    <row r="1275" spans="1:17" x14ac:dyDescent="0.2">
      <c r="A1275" t="s">
        <v>1777</v>
      </c>
      <c r="B1275" t="s">
        <v>339</v>
      </c>
      <c r="C1275" s="1">
        <v>45345.041666666664</v>
      </c>
      <c r="D1275">
        <v>2028.96</v>
      </c>
      <c r="E1275" t="s">
        <v>16</v>
      </c>
      <c r="F1275" t="s">
        <v>47</v>
      </c>
      <c r="G1275" t="s">
        <v>35</v>
      </c>
      <c r="H1275" t="s">
        <v>19</v>
      </c>
      <c r="I1275" t="s">
        <v>24</v>
      </c>
      <c r="J1275" t="s">
        <v>37</v>
      </c>
      <c r="K1275">
        <v>1</v>
      </c>
      <c r="L1275">
        <v>3</v>
      </c>
      <c r="M1275">
        <v>7.7</v>
      </c>
      <c r="N1275">
        <v>1</v>
      </c>
      <c r="O1275" t="str">
        <f>IF(financial_fraud_data[[#This Row],[Risk_Score]]&gt;8,"High",IF(financial_fraud_data[[#This Row],[Risk_Score]]&gt;5,"Med","Low"))</f>
        <v>Med</v>
      </c>
      <c r="P1275" t="str">
        <f>TEXT(financial_fraud_data[[#This Row],[Transaction_Date]],"MMM")</f>
        <v>Feb</v>
      </c>
      <c r="Q1275" t="str">
        <f>IF(financial_fraud_data[[#This Row],[Is_Fraud]]=1,"Yes","No")</f>
        <v>Yes</v>
      </c>
    </row>
    <row r="1276" spans="1:17" x14ac:dyDescent="0.2">
      <c r="A1276" t="s">
        <v>1778</v>
      </c>
      <c r="B1276" t="s">
        <v>853</v>
      </c>
      <c r="C1276" s="1">
        <v>45345.083333333336</v>
      </c>
      <c r="D1276">
        <v>24051.32</v>
      </c>
      <c r="E1276" t="s">
        <v>34</v>
      </c>
      <c r="F1276" t="s">
        <v>47</v>
      </c>
      <c r="G1276" t="s">
        <v>28</v>
      </c>
      <c r="H1276" t="s">
        <v>19</v>
      </c>
      <c r="I1276" t="s">
        <v>36</v>
      </c>
      <c r="J1276" t="s">
        <v>37</v>
      </c>
      <c r="K1276">
        <v>0</v>
      </c>
      <c r="L1276">
        <v>3</v>
      </c>
      <c r="M1276">
        <v>7.91</v>
      </c>
      <c r="N1276">
        <v>1</v>
      </c>
      <c r="O1276" t="str">
        <f>IF(financial_fraud_data[[#This Row],[Risk_Score]]&gt;8,"High",IF(financial_fraud_data[[#This Row],[Risk_Score]]&gt;5,"Med","Low"))</f>
        <v>Med</v>
      </c>
      <c r="P1276" t="str">
        <f>TEXT(financial_fraud_data[[#This Row],[Transaction_Date]],"MMM")</f>
        <v>Feb</v>
      </c>
      <c r="Q1276" t="str">
        <f>IF(financial_fraud_data[[#This Row],[Is_Fraud]]=1,"Yes","No")</f>
        <v>Yes</v>
      </c>
    </row>
    <row r="1277" spans="1:17" x14ac:dyDescent="0.2">
      <c r="A1277" t="s">
        <v>1779</v>
      </c>
      <c r="B1277" t="s">
        <v>599</v>
      </c>
      <c r="C1277" s="1">
        <v>45345.125</v>
      </c>
      <c r="D1277">
        <v>5291.26</v>
      </c>
      <c r="E1277" t="s">
        <v>16</v>
      </c>
      <c r="F1277" t="s">
        <v>27</v>
      </c>
      <c r="G1277" t="s">
        <v>35</v>
      </c>
      <c r="H1277" t="s">
        <v>36</v>
      </c>
      <c r="I1277" t="s">
        <v>24</v>
      </c>
      <c r="J1277" t="s">
        <v>51</v>
      </c>
      <c r="K1277">
        <v>0</v>
      </c>
      <c r="L1277">
        <v>2</v>
      </c>
      <c r="M1277">
        <v>4.53</v>
      </c>
      <c r="N1277">
        <v>0</v>
      </c>
      <c r="O1277" t="str">
        <f>IF(financial_fraud_data[[#This Row],[Risk_Score]]&gt;8,"High",IF(financial_fraud_data[[#This Row],[Risk_Score]]&gt;5,"Med","Low"))</f>
        <v>Low</v>
      </c>
      <c r="P1277" t="str">
        <f>TEXT(financial_fraud_data[[#This Row],[Transaction_Date]],"MMM")</f>
        <v>Feb</v>
      </c>
      <c r="Q1277" t="str">
        <f>IF(financial_fraud_data[[#This Row],[Is_Fraud]]=1,"Yes","No")</f>
        <v>No</v>
      </c>
    </row>
    <row r="1278" spans="1:17" x14ac:dyDescent="0.2">
      <c r="A1278" t="s">
        <v>1780</v>
      </c>
      <c r="B1278" t="s">
        <v>261</v>
      </c>
      <c r="C1278" s="1">
        <v>45345.166666666664</v>
      </c>
      <c r="D1278">
        <v>12140.15</v>
      </c>
      <c r="E1278" t="s">
        <v>80</v>
      </c>
      <c r="F1278" t="s">
        <v>27</v>
      </c>
      <c r="G1278" t="s">
        <v>35</v>
      </c>
      <c r="H1278" t="s">
        <v>36</v>
      </c>
      <c r="I1278" t="s">
        <v>19</v>
      </c>
      <c r="J1278" t="s">
        <v>20</v>
      </c>
      <c r="K1278">
        <v>0</v>
      </c>
      <c r="L1278">
        <v>2</v>
      </c>
      <c r="M1278">
        <v>5.21</v>
      </c>
      <c r="N1278">
        <v>1</v>
      </c>
      <c r="O1278" t="str">
        <f>IF(financial_fraud_data[[#This Row],[Risk_Score]]&gt;8,"High",IF(financial_fraud_data[[#This Row],[Risk_Score]]&gt;5,"Med","Low"))</f>
        <v>Med</v>
      </c>
      <c r="P1278" t="str">
        <f>TEXT(financial_fraud_data[[#This Row],[Transaction_Date]],"MMM")</f>
        <v>Feb</v>
      </c>
      <c r="Q1278" t="str">
        <f>IF(financial_fraud_data[[#This Row],[Is_Fraud]]=1,"Yes","No")</f>
        <v>Yes</v>
      </c>
    </row>
    <row r="1279" spans="1:17" x14ac:dyDescent="0.2">
      <c r="A1279" t="s">
        <v>1781</v>
      </c>
      <c r="B1279" t="s">
        <v>1625</v>
      </c>
      <c r="C1279" s="1">
        <v>45345.208333333336</v>
      </c>
      <c r="D1279">
        <v>49333.8</v>
      </c>
      <c r="E1279" t="s">
        <v>34</v>
      </c>
      <c r="F1279" t="s">
        <v>27</v>
      </c>
      <c r="G1279" t="s">
        <v>35</v>
      </c>
      <c r="H1279" t="s">
        <v>36</v>
      </c>
      <c r="I1279" t="s">
        <v>36</v>
      </c>
      <c r="J1279" t="s">
        <v>51</v>
      </c>
      <c r="K1279">
        <v>0</v>
      </c>
      <c r="L1279">
        <v>2</v>
      </c>
      <c r="M1279">
        <v>7.93</v>
      </c>
      <c r="N1279">
        <v>1</v>
      </c>
      <c r="O1279" t="str">
        <f>IF(financial_fraud_data[[#This Row],[Risk_Score]]&gt;8,"High",IF(financial_fraud_data[[#This Row],[Risk_Score]]&gt;5,"Med","Low"))</f>
        <v>Med</v>
      </c>
      <c r="P1279" t="str">
        <f>TEXT(financial_fraud_data[[#This Row],[Transaction_Date]],"MMM")</f>
        <v>Feb</v>
      </c>
      <c r="Q1279" t="str">
        <f>IF(financial_fraud_data[[#This Row],[Is_Fraud]]=1,"Yes","No")</f>
        <v>Yes</v>
      </c>
    </row>
    <row r="1280" spans="1:17" x14ac:dyDescent="0.2">
      <c r="A1280" t="s">
        <v>1782</v>
      </c>
      <c r="B1280" t="s">
        <v>361</v>
      </c>
      <c r="C1280" s="1">
        <v>45345.25</v>
      </c>
      <c r="D1280">
        <v>7167.65</v>
      </c>
      <c r="E1280" t="s">
        <v>16</v>
      </c>
      <c r="F1280" t="s">
        <v>50</v>
      </c>
      <c r="G1280" t="s">
        <v>28</v>
      </c>
      <c r="H1280" t="s">
        <v>29</v>
      </c>
      <c r="I1280" t="s">
        <v>29</v>
      </c>
      <c r="J1280" t="s">
        <v>20</v>
      </c>
      <c r="K1280">
        <v>1</v>
      </c>
      <c r="L1280">
        <v>4</v>
      </c>
      <c r="M1280">
        <v>8.7200000000000006</v>
      </c>
      <c r="N1280">
        <v>1</v>
      </c>
      <c r="O1280" t="str">
        <f>IF(financial_fraud_data[[#This Row],[Risk_Score]]&gt;8,"High",IF(financial_fraud_data[[#This Row],[Risk_Score]]&gt;5,"Med","Low"))</f>
        <v>High</v>
      </c>
      <c r="P1280" t="str">
        <f>TEXT(financial_fraud_data[[#This Row],[Transaction_Date]],"MMM")</f>
        <v>Feb</v>
      </c>
      <c r="Q1280" t="str">
        <f>IF(financial_fraud_data[[#This Row],[Is_Fraud]]=1,"Yes","No")</f>
        <v>Yes</v>
      </c>
    </row>
    <row r="1281" spans="1:17" x14ac:dyDescent="0.2">
      <c r="A1281" t="s">
        <v>1783</v>
      </c>
      <c r="B1281" t="s">
        <v>715</v>
      </c>
      <c r="C1281" s="1">
        <v>45345.291666666664</v>
      </c>
      <c r="D1281">
        <v>24969.46</v>
      </c>
      <c r="E1281" t="s">
        <v>80</v>
      </c>
      <c r="F1281" t="s">
        <v>50</v>
      </c>
      <c r="G1281" t="s">
        <v>35</v>
      </c>
      <c r="H1281" t="s">
        <v>24</v>
      </c>
      <c r="I1281" t="s">
        <v>29</v>
      </c>
      <c r="J1281" t="s">
        <v>51</v>
      </c>
      <c r="K1281">
        <v>0</v>
      </c>
      <c r="L1281">
        <v>4</v>
      </c>
      <c r="M1281">
        <v>9.5</v>
      </c>
      <c r="N1281">
        <v>1</v>
      </c>
      <c r="O1281" t="str">
        <f>IF(financial_fraud_data[[#This Row],[Risk_Score]]&gt;8,"High",IF(financial_fraud_data[[#This Row],[Risk_Score]]&gt;5,"Med","Low"))</f>
        <v>High</v>
      </c>
      <c r="P1281" t="str">
        <f>TEXT(financial_fraud_data[[#This Row],[Transaction_Date]],"MMM")</f>
        <v>Feb</v>
      </c>
      <c r="Q1281" t="str">
        <f>IF(financial_fraud_data[[#This Row],[Is_Fraud]]=1,"Yes","No")</f>
        <v>Yes</v>
      </c>
    </row>
    <row r="1282" spans="1:17" x14ac:dyDescent="0.2">
      <c r="A1282" t="s">
        <v>1784</v>
      </c>
      <c r="B1282" t="s">
        <v>885</v>
      </c>
      <c r="C1282" s="1">
        <v>45345.333333333336</v>
      </c>
      <c r="D1282">
        <v>30926.880000000001</v>
      </c>
      <c r="E1282" t="s">
        <v>80</v>
      </c>
      <c r="F1282" t="s">
        <v>47</v>
      </c>
      <c r="G1282" t="s">
        <v>28</v>
      </c>
      <c r="H1282" t="s">
        <v>19</v>
      </c>
      <c r="I1282" t="s">
        <v>29</v>
      </c>
      <c r="J1282" t="s">
        <v>20</v>
      </c>
      <c r="K1282">
        <v>0</v>
      </c>
      <c r="L1282">
        <v>1</v>
      </c>
      <c r="M1282">
        <v>5.59</v>
      </c>
      <c r="N1282">
        <v>1</v>
      </c>
      <c r="O1282" t="str">
        <f>IF(financial_fraud_data[[#This Row],[Risk_Score]]&gt;8,"High",IF(financial_fraud_data[[#This Row],[Risk_Score]]&gt;5,"Med","Low"))</f>
        <v>Med</v>
      </c>
      <c r="P1282" t="str">
        <f>TEXT(financial_fraud_data[[#This Row],[Transaction_Date]],"MMM")</f>
        <v>Feb</v>
      </c>
      <c r="Q1282" t="str">
        <f>IF(financial_fraud_data[[#This Row],[Is_Fraud]]=1,"Yes","No")</f>
        <v>Yes</v>
      </c>
    </row>
    <row r="1283" spans="1:17" x14ac:dyDescent="0.2">
      <c r="A1283" t="s">
        <v>1785</v>
      </c>
      <c r="B1283" t="s">
        <v>749</v>
      </c>
      <c r="C1283" s="1">
        <v>45345.375</v>
      </c>
      <c r="D1283">
        <v>35138.129999999997</v>
      </c>
      <c r="E1283" t="s">
        <v>42</v>
      </c>
      <c r="F1283" t="s">
        <v>50</v>
      </c>
      <c r="G1283" t="s">
        <v>56</v>
      </c>
      <c r="H1283" t="s">
        <v>19</v>
      </c>
      <c r="I1283" t="s">
        <v>23</v>
      </c>
      <c r="J1283" t="s">
        <v>51</v>
      </c>
      <c r="K1283">
        <v>0</v>
      </c>
      <c r="L1283">
        <v>0</v>
      </c>
      <c r="M1283">
        <v>4.51</v>
      </c>
      <c r="N1283">
        <v>0</v>
      </c>
      <c r="O1283" t="str">
        <f>IF(financial_fraud_data[[#This Row],[Risk_Score]]&gt;8,"High",IF(financial_fraud_data[[#This Row],[Risk_Score]]&gt;5,"Med","Low"))</f>
        <v>Low</v>
      </c>
      <c r="P1283" t="str">
        <f>TEXT(financial_fraud_data[[#This Row],[Transaction_Date]],"MMM")</f>
        <v>Feb</v>
      </c>
      <c r="Q1283" t="str">
        <f>IF(financial_fraud_data[[#This Row],[Is_Fraud]]=1,"Yes","No")</f>
        <v>No</v>
      </c>
    </row>
    <row r="1284" spans="1:17" x14ac:dyDescent="0.2">
      <c r="A1284" t="s">
        <v>1786</v>
      </c>
      <c r="B1284" t="s">
        <v>86</v>
      </c>
      <c r="C1284" s="1">
        <v>45345.416666666664</v>
      </c>
      <c r="D1284">
        <v>28004.45</v>
      </c>
      <c r="E1284" t="s">
        <v>42</v>
      </c>
      <c r="F1284" t="s">
        <v>17</v>
      </c>
      <c r="G1284" t="s">
        <v>65</v>
      </c>
      <c r="H1284" t="s">
        <v>36</v>
      </c>
      <c r="I1284" t="s">
        <v>36</v>
      </c>
      <c r="J1284" t="s">
        <v>51</v>
      </c>
      <c r="K1284">
        <v>0</v>
      </c>
      <c r="L1284">
        <v>3</v>
      </c>
      <c r="M1284">
        <v>7.3</v>
      </c>
      <c r="N1284">
        <v>1</v>
      </c>
      <c r="O1284" t="str">
        <f>IF(financial_fraud_data[[#This Row],[Risk_Score]]&gt;8,"High",IF(financial_fraud_data[[#This Row],[Risk_Score]]&gt;5,"Med","Low"))</f>
        <v>Med</v>
      </c>
      <c r="P1284" t="str">
        <f>TEXT(financial_fraud_data[[#This Row],[Transaction_Date]],"MMM")</f>
        <v>Feb</v>
      </c>
      <c r="Q1284" t="str">
        <f>IF(financial_fraud_data[[#This Row],[Is_Fraud]]=1,"Yes","No")</f>
        <v>Yes</v>
      </c>
    </row>
    <row r="1285" spans="1:17" x14ac:dyDescent="0.2">
      <c r="A1285" t="s">
        <v>1787</v>
      </c>
      <c r="B1285" t="s">
        <v>1017</v>
      </c>
      <c r="C1285" s="1">
        <v>45345.458333333336</v>
      </c>
      <c r="D1285">
        <v>538.04999999999995</v>
      </c>
      <c r="E1285" t="s">
        <v>42</v>
      </c>
      <c r="F1285" t="s">
        <v>47</v>
      </c>
      <c r="G1285" t="s">
        <v>56</v>
      </c>
      <c r="H1285" t="s">
        <v>19</v>
      </c>
      <c r="I1285" t="s">
        <v>36</v>
      </c>
      <c r="J1285" t="s">
        <v>20</v>
      </c>
      <c r="K1285">
        <v>1</v>
      </c>
      <c r="L1285">
        <v>3</v>
      </c>
      <c r="M1285">
        <v>7.55</v>
      </c>
      <c r="N1285">
        <v>1</v>
      </c>
      <c r="O1285" t="str">
        <f>IF(financial_fraud_data[[#This Row],[Risk_Score]]&gt;8,"High",IF(financial_fraud_data[[#This Row],[Risk_Score]]&gt;5,"Med","Low"))</f>
        <v>Med</v>
      </c>
      <c r="P1285" t="str">
        <f>TEXT(financial_fraud_data[[#This Row],[Transaction_Date]],"MMM")</f>
        <v>Feb</v>
      </c>
      <c r="Q1285" t="str">
        <f>IF(financial_fraud_data[[#This Row],[Is_Fraud]]=1,"Yes","No")</f>
        <v>Yes</v>
      </c>
    </row>
    <row r="1286" spans="1:17" x14ac:dyDescent="0.2">
      <c r="A1286" t="s">
        <v>1788</v>
      </c>
      <c r="B1286" t="s">
        <v>1544</v>
      </c>
      <c r="C1286" s="1">
        <v>45345.5</v>
      </c>
      <c r="D1286">
        <v>16356.74</v>
      </c>
      <c r="E1286" t="s">
        <v>80</v>
      </c>
      <c r="F1286" t="s">
        <v>47</v>
      </c>
      <c r="G1286" t="s">
        <v>65</v>
      </c>
      <c r="H1286" t="s">
        <v>19</v>
      </c>
      <c r="I1286" t="s">
        <v>23</v>
      </c>
      <c r="J1286" t="s">
        <v>20</v>
      </c>
      <c r="K1286">
        <v>0</v>
      </c>
      <c r="L1286">
        <v>3</v>
      </c>
      <c r="M1286">
        <v>7.14</v>
      </c>
      <c r="N1286">
        <v>1</v>
      </c>
      <c r="O1286" t="str">
        <f>IF(financial_fraud_data[[#This Row],[Risk_Score]]&gt;8,"High",IF(financial_fraud_data[[#This Row],[Risk_Score]]&gt;5,"Med","Low"))</f>
        <v>Med</v>
      </c>
      <c r="P1286" t="str">
        <f>TEXT(financial_fraud_data[[#This Row],[Transaction_Date]],"MMM")</f>
        <v>Feb</v>
      </c>
      <c r="Q1286" t="str">
        <f>IF(financial_fraud_data[[#This Row],[Is_Fraud]]=1,"Yes","No")</f>
        <v>Yes</v>
      </c>
    </row>
    <row r="1287" spans="1:17" x14ac:dyDescent="0.2">
      <c r="A1287" t="s">
        <v>1789</v>
      </c>
      <c r="B1287" t="s">
        <v>562</v>
      </c>
      <c r="C1287" s="1">
        <v>45345.541666666664</v>
      </c>
      <c r="D1287">
        <v>25909.7</v>
      </c>
      <c r="E1287" t="s">
        <v>16</v>
      </c>
      <c r="F1287" t="s">
        <v>17</v>
      </c>
      <c r="G1287" t="s">
        <v>56</v>
      </c>
      <c r="H1287" t="s">
        <v>23</v>
      </c>
      <c r="I1287" t="s">
        <v>36</v>
      </c>
      <c r="J1287" t="s">
        <v>20</v>
      </c>
      <c r="K1287">
        <v>0</v>
      </c>
      <c r="L1287">
        <v>1</v>
      </c>
      <c r="M1287">
        <v>5.09</v>
      </c>
      <c r="N1287">
        <v>1</v>
      </c>
      <c r="O1287" t="str">
        <f>IF(financial_fraud_data[[#This Row],[Risk_Score]]&gt;8,"High",IF(financial_fraud_data[[#This Row],[Risk_Score]]&gt;5,"Med","Low"))</f>
        <v>Med</v>
      </c>
      <c r="P1287" t="str">
        <f>TEXT(financial_fraud_data[[#This Row],[Transaction_Date]],"MMM")</f>
        <v>Feb</v>
      </c>
      <c r="Q1287" t="str">
        <f>IF(financial_fraud_data[[#This Row],[Is_Fraud]]=1,"Yes","No")</f>
        <v>Yes</v>
      </c>
    </row>
    <row r="1288" spans="1:17" x14ac:dyDescent="0.2">
      <c r="A1288" t="s">
        <v>1790</v>
      </c>
      <c r="B1288" t="s">
        <v>926</v>
      </c>
      <c r="C1288" s="1">
        <v>45345.583333333336</v>
      </c>
      <c r="D1288">
        <v>4438.93</v>
      </c>
      <c r="E1288" t="s">
        <v>42</v>
      </c>
      <c r="F1288" t="s">
        <v>47</v>
      </c>
      <c r="G1288" t="s">
        <v>65</v>
      </c>
      <c r="H1288" t="s">
        <v>19</v>
      </c>
      <c r="I1288" t="s">
        <v>23</v>
      </c>
      <c r="J1288" t="s">
        <v>20</v>
      </c>
      <c r="K1288">
        <v>0</v>
      </c>
      <c r="L1288">
        <v>1</v>
      </c>
      <c r="M1288">
        <v>2.94</v>
      </c>
      <c r="N1288">
        <v>0</v>
      </c>
      <c r="O1288" t="str">
        <f>IF(financial_fraud_data[[#This Row],[Risk_Score]]&gt;8,"High",IF(financial_fraud_data[[#This Row],[Risk_Score]]&gt;5,"Med","Low"))</f>
        <v>Low</v>
      </c>
      <c r="P1288" t="str">
        <f>TEXT(financial_fraud_data[[#This Row],[Transaction_Date]],"MMM")</f>
        <v>Feb</v>
      </c>
      <c r="Q1288" t="str">
        <f>IF(financial_fraud_data[[#This Row],[Is_Fraud]]=1,"Yes","No")</f>
        <v>No</v>
      </c>
    </row>
    <row r="1289" spans="1:17" x14ac:dyDescent="0.2">
      <c r="A1289" t="s">
        <v>1791</v>
      </c>
      <c r="B1289" t="s">
        <v>472</v>
      </c>
      <c r="C1289" s="1">
        <v>45345.625</v>
      </c>
      <c r="D1289">
        <v>17563.82</v>
      </c>
      <c r="E1289" t="s">
        <v>16</v>
      </c>
      <c r="F1289" t="s">
        <v>50</v>
      </c>
      <c r="G1289" t="s">
        <v>65</v>
      </c>
      <c r="H1289" t="s">
        <v>29</v>
      </c>
      <c r="I1289" t="s">
        <v>24</v>
      </c>
      <c r="J1289" t="s">
        <v>20</v>
      </c>
      <c r="K1289">
        <v>0</v>
      </c>
      <c r="L1289">
        <v>2</v>
      </c>
      <c r="M1289">
        <v>5.76</v>
      </c>
      <c r="N1289">
        <v>1</v>
      </c>
      <c r="O1289" t="str">
        <f>IF(financial_fraud_data[[#This Row],[Risk_Score]]&gt;8,"High",IF(financial_fraud_data[[#This Row],[Risk_Score]]&gt;5,"Med","Low"))</f>
        <v>Med</v>
      </c>
      <c r="P1289" t="str">
        <f>TEXT(financial_fraud_data[[#This Row],[Transaction_Date]],"MMM")</f>
        <v>Feb</v>
      </c>
      <c r="Q1289" t="str">
        <f>IF(financial_fraud_data[[#This Row],[Is_Fraud]]=1,"Yes","No")</f>
        <v>Yes</v>
      </c>
    </row>
    <row r="1290" spans="1:17" x14ac:dyDescent="0.2">
      <c r="A1290" t="s">
        <v>1792</v>
      </c>
      <c r="B1290" t="s">
        <v>125</v>
      </c>
      <c r="C1290" s="1">
        <v>45345.666666666664</v>
      </c>
      <c r="D1290">
        <v>1708.5</v>
      </c>
      <c r="E1290" t="s">
        <v>42</v>
      </c>
      <c r="F1290" t="s">
        <v>27</v>
      </c>
      <c r="G1290" t="s">
        <v>18</v>
      </c>
      <c r="H1290" t="s">
        <v>36</v>
      </c>
      <c r="I1290" t="s">
        <v>19</v>
      </c>
      <c r="J1290" t="s">
        <v>20</v>
      </c>
      <c r="K1290">
        <v>0</v>
      </c>
      <c r="L1290">
        <v>0</v>
      </c>
      <c r="M1290">
        <v>1.17</v>
      </c>
      <c r="N1290">
        <v>0</v>
      </c>
      <c r="O1290" t="str">
        <f>IF(financial_fraud_data[[#This Row],[Risk_Score]]&gt;8,"High",IF(financial_fraud_data[[#This Row],[Risk_Score]]&gt;5,"Med","Low"))</f>
        <v>Low</v>
      </c>
      <c r="P1290" t="str">
        <f>TEXT(financial_fraud_data[[#This Row],[Transaction_Date]],"MMM")</f>
        <v>Feb</v>
      </c>
      <c r="Q1290" t="str">
        <f>IF(financial_fraud_data[[#This Row],[Is_Fraud]]=1,"Yes","No")</f>
        <v>No</v>
      </c>
    </row>
    <row r="1291" spans="1:17" x14ac:dyDescent="0.2">
      <c r="A1291" t="s">
        <v>1793</v>
      </c>
      <c r="B1291" t="s">
        <v>335</v>
      </c>
      <c r="C1291" s="1">
        <v>45345.708333333336</v>
      </c>
      <c r="D1291">
        <v>3975</v>
      </c>
      <c r="E1291" t="s">
        <v>34</v>
      </c>
      <c r="F1291" t="s">
        <v>17</v>
      </c>
      <c r="G1291" t="s">
        <v>65</v>
      </c>
      <c r="H1291" t="s">
        <v>24</v>
      </c>
      <c r="I1291" t="s">
        <v>29</v>
      </c>
      <c r="J1291" t="s">
        <v>20</v>
      </c>
      <c r="K1291">
        <v>0</v>
      </c>
      <c r="L1291">
        <v>2</v>
      </c>
      <c r="M1291">
        <v>4.4000000000000004</v>
      </c>
      <c r="N1291">
        <v>0</v>
      </c>
      <c r="O1291" t="str">
        <f>IF(financial_fraud_data[[#This Row],[Risk_Score]]&gt;8,"High",IF(financial_fraud_data[[#This Row],[Risk_Score]]&gt;5,"Med","Low"))</f>
        <v>Low</v>
      </c>
      <c r="P1291" t="str">
        <f>TEXT(financial_fraud_data[[#This Row],[Transaction_Date]],"MMM")</f>
        <v>Feb</v>
      </c>
      <c r="Q1291" t="str">
        <f>IF(financial_fraud_data[[#This Row],[Is_Fraud]]=1,"Yes","No")</f>
        <v>No</v>
      </c>
    </row>
    <row r="1292" spans="1:17" x14ac:dyDescent="0.2">
      <c r="A1292" t="s">
        <v>1794</v>
      </c>
      <c r="B1292" t="s">
        <v>457</v>
      </c>
      <c r="C1292" s="1">
        <v>45345.75</v>
      </c>
      <c r="D1292">
        <v>19876.32</v>
      </c>
      <c r="E1292" t="s">
        <v>34</v>
      </c>
      <c r="F1292" t="s">
        <v>50</v>
      </c>
      <c r="G1292" t="s">
        <v>65</v>
      </c>
      <c r="H1292" t="s">
        <v>24</v>
      </c>
      <c r="I1292" t="s">
        <v>23</v>
      </c>
      <c r="J1292" t="s">
        <v>20</v>
      </c>
      <c r="K1292">
        <v>0</v>
      </c>
      <c r="L1292">
        <v>1</v>
      </c>
      <c r="M1292">
        <v>4.49</v>
      </c>
      <c r="N1292">
        <v>0</v>
      </c>
      <c r="O1292" t="str">
        <f>IF(financial_fraud_data[[#This Row],[Risk_Score]]&gt;8,"High",IF(financial_fraud_data[[#This Row],[Risk_Score]]&gt;5,"Med","Low"))</f>
        <v>Low</v>
      </c>
      <c r="P1292" t="str">
        <f>TEXT(financial_fraud_data[[#This Row],[Transaction_Date]],"MMM")</f>
        <v>Feb</v>
      </c>
      <c r="Q1292" t="str">
        <f>IF(financial_fraud_data[[#This Row],[Is_Fraud]]=1,"Yes","No")</f>
        <v>No</v>
      </c>
    </row>
    <row r="1293" spans="1:17" x14ac:dyDescent="0.2">
      <c r="A1293" t="s">
        <v>1795</v>
      </c>
      <c r="B1293" t="s">
        <v>1120</v>
      </c>
      <c r="C1293" s="1">
        <v>45345.791666666664</v>
      </c>
      <c r="D1293">
        <v>6679.15</v>
      </c>
      <c r="E1293" t="s">
        <v>42</v>
      </c>
      <c r="F1293" t="s">
        <v>17</v>
      </c>
      <c r="G1293" t="s">
        <v>18</v>
      </c>
      <c r="H1293" t="s">
        <v>23</v>
      </c>
      <c r="I1293" t="s">
        <v>23</v>
      </c>
      <c r="J1293" t="s">
        <v>51</v>
      </c>
      <c r="K1293">
        <v>0</v>
      </c>
      <c r="L1293">
        <v>4</v>
      </c>
      <c r="M1293">
        <v>6.67</v>
      </c>
      <c r="N1293">
        <v>1</v>
      </c>
      <c r="O1293" t="str">
        <f>IF(financial_fraud_data[[#This Row],[Risk_Score]]&gt;8,"High",IF(financial_fraud_data[[#This Row],[Risk_Score]]&gt;5,"Med","Low"))</f>
        <v>Med</v>
      </c>
      <c r="P1293" t="str">
        <f>TEXT(financial_fraud_data[[#This Row],[Transaction_Date]],"MMM")</f>
        <v>Feb</v>
      </c>
      <c r="Q1293" t="str">
        <f>IF(financial_fraud_data[[#This Row],[Is_Fraud]]=1,"Yes","No")</f>
        <v>Yes</v>
      </c>
    </row>
    <row r="1294" spans="1:17" x14ac:dyDescent="0.2">
      <c r="A1294" t="s">
        <v>1796</v>
      </c>
      <c r="B1294" t="s">
        <v>237</v>
      </c>
      <c r="C1294" s="1">
        <v>45345.833333333336</v>
      </c>
      <c r="D1294">
        <v>28398.67</v>
      </c>
      <c r="E1294" t="s">
        <v>80</v>
      </c>
      <c r="F1294" t="s">
        <v>17</v>
      </c>
      <c r="G1294" t="s">
        <v>35</v>
      </c>
      <c r="H1294" t="s">
        <v>24</v>
      </c>
      <c r="I1294" t="s">
        <v>23</v>
      </c>
      <c r="J1294" t="s">
        <v>20</v>
      </c>
      <c r="K1294">
        <v>0</v>
      </c>
      <c r="L1294">
        <v>2</v>
      </c>
      <c r="M1294">
        <v>6.84</v>
      </c>
      <c r="N1294">
        <v>1</v>
      </c>
      <c r="O1294" t="str">
        <f>IF(financial_fraud_data[[#This Row],[Risk_Score]]&gt;8,"High",IF(financial_fraud_data[[#This Row],[Risk_Score]]&gt;5,"Med","Low"))</f>
        <v>Med</v>
      </c>
      <c r="P1294" t="str">
        <f>TEXT(financial_fraud_data[[#This Row],[Transaction_Date]],"MMM")</f>
        <v>Feb</v>
      </c>
      <c r="Q1294" t="str">
        <f>IF(financial_fraud_data[[#This Row],[Is_Fraud]]=1,"Yes","No")</f>
        <v>Yes</v>
      </c>
    </row>
    <row r="1295" spans="1:17" x14ac:dyDescent="0.2">
      <c r="A1295" t="s">
        <v>1797</v>
      </c>
      <c r="B1295" t="s">
        <v>315</v>
      </c>
      <c r="C1295" s="1">
        <v>45345.875</v>
      </c>
      <c r="D1295">
        <v>34488.78</v>
      </c>
      <c r="E1295" t="s">
        <v>42</v>
      </c>
      <c r="F1295" t="s">
        <v>47</v>
      </c>
      <c r="G1295" t="s">
        <v>35</v>
      </c>
      <c r="H1295" t="s">
        <v>24</v>
      </c>
      <c r="I1295" t="s">
        <v>24</v>
      </c>
      <c r="J1295" t="s">
        <v>20</v>
      </c>
      <c r="K1295">
        <v>0</v>
      </c>
      <c r="L1295">
        <v>1</v>
      </c>
      <c r="M1295">
        <v>4.95</v>
      </c>
      <c r="N1295">
        <v>0</v>
      </c>
      <c r="O1295" t="str">
        <f>IF(financial_fraud_data[[#This Row],[Risk_Score]]&gt;8,"High",IF(financial_fraud_data[[#This Row],[Risk_Score]]&gt;5,"Med","Low"))</f>
        <v>Low</v>
      </c>
      <c r="P1295" t="str">
        <f>TEXT(financial_fraud_data[[#This Row],[Transaction_Date]],"MMM")</f>
        <v>Feb</v>
      </c>
      <c r="Q1295" t="str">
        <f>IF(financial_fraud_data[[#This Row],[Is_Fraud]]=1,"Yes","No")</f>
        <v>No</v>
      </c>
    </row>
    <row r="1296" spans="1:17" x14ac:dyDescent="0.2">
      <c r="A1296" t="s">
        <v>1798</v>
      </c>
      <c r="B1296" t="s">
        <v>661</v>
      </c>
      <c r="C1296" s="1">
        <v>45345.916666666664</v>
      </c>
      <c r="D1296">
        <v>40039.31</v>
      </c>
      <c r="E1296" t="s">
        <v>42</v>
      </c>
      <c r="F1296" t="s">
        <v>47</v>
      </c>
      <c r="G1296" t="s">
        <v>18</v>
      </c>
      <c r="H1296" t="s">
        <v>36</v>
      </c>
      <c r="I1296" t="s">
        <v>23</v>
      </c>
      <c r="J1296" t="s">
        <v>51</v>
      </c>
      <c r="K1296">
        <v>0</v>
      </c>
      <c r="L1296">
        <v>1</v>
      </c>
      <c r="M1296">
        <v>6.5</v>
      </c>
      <c r="N1296">
        <v>1</v>
      </c>
      <c r="O1296" t="str">
        <f>IF(financial_fraud_data[[#This Row],[Risk_Score]]&gt;8,"High",IF(financial_fraud_data[[#This Row],[Risk_Score]]&gt;5,"Med","Low"))</f>
        <v>Med</v>
      </c>
      <c r="P1296" t="str">
        <f>TEXT(financial_fraud_data[[#This Row],[Transaction_Date]],"MMM")</f>
        <v>Feb</v>
      </c>
      <c r="Q1296" t="str">
        <f>IF(financial_fraud_data[[#This Row],[Is_Fraud]]=1,"Yes","No")</f>
        <v>Yes</v>
      </c>
    </row>
    <row r="1297" spans="1:17" x14ac:dyDescent="0.2">
      <c r="A1297" t="s">
        <v>1799</v>
      </c>
      <c r="B1297" t="s">
        <v>439</v>
      </c>
      <c r="C1297" s="1">
        <v>45345.958333333336</v>
      </c>
      <c r="D1297">
        <v>10047.5</v>
      </c>
      <c r="E1297" t="s">
        <v>80</v>
      </c>
      <c r="F1297" t="s">
        <v>50</v>
      </c>
      <c r="G1297" t="s">
        <v>28</v>
      </c>
      <c r="H1297" t="s">
        <v>36</v>
      </c>
      <c r="I1297" t="s">
        <v>19</v>
      </c>
      <c r="J1297" t="s">
        <v>51</v>
      </c>
      <c r="K1297">
        <v>0</v>
      </c>
      <c r="L1297">
        <v>4</v>
      </c>
      <c r="M1297">
        <v>8</v>
      </c>
      <c r="N1297">
        <v>1</v>
      </c>
      <c r="O1297" t="str">
        <f>IF(financial_fraud_data[[#This Row],[Risk_Score]]&gt;8,"High",IF(financial_fraud_data[[#This Row],[Risk_Score]]&gt;5,"Med","Low"))</f>
        <v>Med</v>
      </c>
      <c r="P1297" t="str">
        <f>TEXT(financial_fraud_data[[#This Row],[Transaction_Date]],"MMM")</f>
        <v>Feb</v>
      </c>
      <c r="Q1297" t="str">
        <f>IF(financial_fraud_data[[#This Row],[Is_Fraud]]=1,"Yes","No")</f>
        <v>Yes</v>
      </c>
    </row>
    <row r="1298" spans="1:17" x14ac:dyDescent="0.2">
      <c r="A1298" t="s">
        <v>1800</v>
      </c>
      <c r="B1298" t="s">
        <v>686</v>
      </c>
      <c r="C1298" s="1">
        <v>45346</v>
      </c>
      <c r="D1298">
        <v>8415.75</v>
      </c>
      <c r="E1298" t="s">
        <v>34</v>
      </c>
      <c r="F1298" t="s">
        <v>17</v>
      </c>
      <c r="G1298" t="s">
        <v>65</v>
      </c>
      <c r="H1298" t="s">
        <v>29</v>
      </c>
      <c r="I1298" t="s">
        <v>19</v>
      </c>
      <c r="J1298" t="s">
        <v>37</v>
      </c>
      <c r="K1298">
        <v>1</v>
      </c>
      <c r="L1298">
        <v>4</v>
      </c>
      <c r="M1298">
        <v>9.84</v>
      </c>
      <c r="N1298">
        <v>1</v>
      </c>
      <c r="O1298" t="str">
        <f>IF(financial_fraud_data[[#This Row],[Risk_Score]]&gt;8,"High",IF(financial_fraud_data[[#This Row],[Risk_Score]]&gt;5,"Med","Low"))</f>
        <v>High</v>
      </c>
      <c r="P1298" t="str">
        <f>TEXT(financial_fraud_data[[#This Row],[Transaction_Date]],"MMM")</f>
        <v>Feb</v>
      </c>
      <c r="Q1298" t="str">
        <f>IF(financial_fraud_data[[#This Row],[Is_Fraud]]=1,"Yes","No")</f>
        <v>Yes</v>
      </c>
    </row>
    <row r="1299" spans="1:17" x14ac:dyDescent="0.2">
      <c r="A1299" t="s">
        <v>1801</v>
      </c>
      <c r="B1299" t="s">
        <v>1077</v>
      </c>
      <c r="C1299" s="1">
        <v>45346.041666666664</v>
      </c>
      <c r="D1299">
        <v>5273.16</v>
      </c>
      <c r="E1299" t="s">
        <v>16</v>
      </c>
      <c r="F1299" t="s">
        <v>47</v>
      </c>
      <c r="G1299" t="s">
        <v>65</v>
      </c>
      <c r="H1299" t="s">
        <v>23</v>
      </c>
      <c r="I1299" t="s">
        <v>29</v>
      </c>
      <c r="J1299" t="s">
        <v>37</v>
      </c>
      <c r="K1299">
        <v>0</v>
      </c>
      <c r="L1299">
        <v>4</v>
      </c>
      <c r="M1299">
        <v>7.53</v>
      </c>
      <c r="N1299">
        <v>1</v>
      </c>
      <c r="O1299" t="str">
        <f>IF(financial_fraud_data[[#This Row],[Risk_Score]]&gt;8,"High",IF(financial_fraud_data[[#This Row],[Risk_Score]]&gt;5,"Med","Low"))</f>
        <v>Med</v>
      </c>
      <c r="P1299" t="str">
        <f>TEXT(financial_fraud_data[[#This Row],[Transaction_Date]],"MMM")</f>
        <v>Feb</v>
      </c>
      <c r="Q1299" t="str">
        <f>IF(financial_fraud_data[[#This Row],[Is_Fraud]]=1,"Yes","No")</f>
        <v>Yes</v>
      </c>
    </row>
    <row r="1300" spans="1:17" x14ac:dyDescent="0.2">
      <c r="A1300" t="s">
        <v>1802</v>
      </c>
      <c r="B1300" t="s">
        <v>1055</v>
      </c>
      <c r="C1300" s="1">
        <v>45346.083333333336</v>
      </c>
      <c r="D1300">
        <v>31839.69</v>
      </c>
      <c r="E1300" t="s">
        <v>42</v>
      </c>
      <c r="F1300" t="s">
        <v>47</v>
      </c>
      <c r="G1300" t="s">
        <v>18</v>
      </c>
      <c r="H1300" t="s">
        <v>24</v>
      </c>
      <c r="I1300" t="s">
        <v>24</v>
      </c>
      <c r="J1300" t="s">
        <v>20</v>
      </c>
      <c r="K1300">
        <v>1</v>
      </c>
      <c r="L1300">
        <v>0</v>
      </c>
      <c r="M1300">
        <v>5.18</v>
      </c>
      <c r="N1300">
        <v>1</v>
      </c>
      <c r="O1300" t="str">
        <f>IF(financial_fraud_data[[#This Row],[Risk_Score]]&gt;8,"High",IF(financial_fraud_data[[#This Row],[Risk_Score]]&gt;5,"Med","Low"))</f>
        <v>Med</v>
      </c>
      <c r="P1300" t="str">
        <f>TEXT(financial_fraud_data[[#This Row],[Transaction_Date]],"MMM")</f>
        <v>Feb</v>
      </c>
      <c r="Q1300" t="str">
        <f>IF(financial_fraud_data[[#This Row],[Is_Fraud]]=1,"Yes","No")</f>
        <v>Yes</v>
      </c>
    </row>
    <row r="1301" spans="1:17" x14ac:dyDescent="0.2">
      <c r="A1301" t="s">
        <v>1803</v>
      </c>
      <c r="B1301" t="s">
        <v>291</v>
      </c>
      <c r="C1301" s="1">
        <v>45346.125</v>
      </c>
      <c r="D1301">
        <v>35338.46</v>
      </c>
      <c r="E1301" t="s">
        <v>80</v>
      </c>
      <c r="F1301" t="s">
        <v>17</v>
      </c>
      <c r="G1301" t="s">
        <v>18</v>
      </c>
      <c r="H1301" t="s">
        <v>29</v>
      </c>
      <c r="I1301" t="s">
        <v>19</v>
      </c>
      <c r="J1301" t="s">
        <v>20</v>
      </c>
      <c r="K1301">
        <v>0</v>
      </c>
      <c r="L1301">
        <v>1</v>
      </c>
      <c r="M1301">
        <v>6.03</v>
      </c>
      <c r="N1301">
        <v>1</v>
      </c>
      <c r="O1301" t="str">
        <f>IF(financial_fraud_data[[#This Row],[Risk_Score]]&gt;8,"High",IF(financial_fraud_data[[#This Row],[Risk_Score]]&gt;5,"Med","Low"))</f>
        <v>Med</v>
      </c>
      <c r="P1301" t="str">
        <f>TEXT(financial_fraud_data[[#This Row],[Transaction_Date]],"MMM")</f>
        <v>Feb</v>
      </c>
      <c r="Q1301" t="str">
        <f>IF(financial_fraud_data[[#This Row],[Is_Fraud]]=1,"Yes","No")</f>
        <v>Yes</v>
      </c>
    </row>
    <row r="1302" spans="1:17" x14ac:dyDescent="0.2">
      <c r="A1302" t="s">
        <v>1804</v>
      </c>
      <c r="B1302" t="s">
        <v>898</v>
      </c>
      <c r="C1302" s="1">
        <v>45346.166666666664</v>
      </c>
      <c r="D1302">
        <v>1627.73</v>
      </c>
      <c r="E1302" t="s">
        <v>42</v>
      </c>
      <c r="F1302" t="s">
        <v>50</v>
      </c>
      <c r="G1302" t="s">
        <v>28</v>
      </c>
      <c r="H1302" t="s">
        <v>23</v>
      </c>
      <c r="I1302" t="s">
        <v>36</v>
      </c>
      <c r="J1302" t="s">
        <v>37</v>
      </c>
      <c r="K1302">
        <v>0</v>
      </c>
      <c r="L1302">
        <v>4</v>
      </c>
      <c r="M1302">
        <v>7.16</v>
      </c>
      <c r="N1302">
        <v>1</v>
      </c>
      <c r="O1302" t="str">
        <f>IF(financial_fraud_data[[#This Row],[Risk_Score]]&gt;8,"High",IF(financial_fraud_data[[#This Row],[Risk_Score]]&gt;5,"Med","Low"))</f>
        <v>Med</v>
      </c>
      <c r="P1302" t="str">
        <f>TEXT(financial_fraud_data[[#This Row],[Transaction_Date]],"MMM")</f>
        <v>Feb</v>
      </c>
      <c r="Q1302" t="str">
        <f>IF(financial_fraud_data[[#This Row],[Is_Fraud]]=1,"Yes","No")</f>
        <v>Yes</v>
      </c>
    </row>
    <row r="1303" spans="1:17" x14ac:dyDescent="0.2">
      <c r="A1303" t="s">
        <v>1805</v>
      </c>
      <c r="B1303" t="s">
        <v>203</v>
      </c>
      <c r="C1303" s="1">
        <v>45346.208333333336</v>
      </c>
      <c r="D1303">
        <v>46813.8</v>
      </c>
      <c r="E1303" t="s">
        <v>80</v>
      </c>
      <c r="F1303" t="s">
        <v>50</v>
      </c>
      <c r="G1303" t="s">
        <v>35</v>
      </c>
      <c r="H1303" t="s">
        <v>24</v>
      </c>
      <c r="I1303" t="s">
        <v>36</v>
      </c>
      <c r="J1303" t="s">
        <v>37</v>
      </c>
      <c r="K1303">
        <v>0</v>
      </c>
      <c r="L1303">
        <v>0</v>
      </c>
      <c r="M1303">
        <v>5.68</v>
      </c>
      <c r="N1303">
        <v>1</v>
      </c>
      <c r="O1303" t="str">
        <f>IF(financial_fraud_data[[#This Row],[Risk_Score]]&gt;8,"High",IF(financial_fraud_data[[#This Row],[Risk_Score]]&gt;5,"Med","Low"))</f>
        <v>Med</v>
      </c>
      <c r="P1303" t="str">
        <f>TEXT(financial_fraud_data[[#This Row],[Transaction_Date]],"MMM")</f>
        <v>Feb</v>
      </c>
      <c r="Q1303" t="str">
        <f>IF(financial_fraud_data[[#This Row],[Is_Fraud]]=1,"Yes","No")</f>
        <v>Yes</v>
      </c>
    </row>
    <row r="1304" spans="1:17" x14ac:dyDescent="0.2">
      <c r="A1304" t="s">
        <v>1806</v>
      </c>
      <c r="B1304" t="s">
        <v>55</v>
      </c>
      <c r="C1304" s="1">
        <v>45346.25</v>
      </c>
      <c r="D1304">
        <v>2645.97</v>
      </c>
      <c r="E1304" t="s">
        <v>16</v>
      </c>
      <c r="F1304" t="s">
        <v>17</v>
      </c>
      <c r="G1304" t="s">
        <v>56</v>
      </c>
      <c r="H1304" t="s">
        <v>24</v>
      </c>
      <c r="I1304" t="s">
        <v>36</v>
      </c>
      <c r="J1304" t="s">
        <v>20</v>
      </c>
      <c r="K1304">
        <v>0</v>
      </c>
      <c r="L1304">
        <v>3</v>
      </c>
      <c r="M1304">
        <v>5.76</v>
      </c>
      <c r="N1304">
        <v>1</v>
      </c>
      <c r="O1304" t="str">
        <f>IF(financial_fraud_data[[#This Row],[Risk_Score]]&gt;8,"High",IF(financial_fraud_data[[#This Row],[Risk_Score]]&gt;5,"Med","Low"))</f>
        <v>Med</v>
      </c>
      <c r="P1304" t="str">
        <f>TEXT(financial_fraud_data[[#This Row],[Transaction_Date]],"MMM")</f>
        <v>Feb</v>
      </c>
      <c r="Q1304" t="str">
        <f>IF(financial_fraud_data[[#This Row],[Is_Fraud]]=1,"Yes","No")</f>
        <v>Yes</v>
      </c>
    </row>
    <row r="1305" spans="1:17" x14ac:dyDescent="0.2">
      <c r="A1305" t="s">
        <v>1807</v>
      </c>
      <c r="B1305" t="s">
        <v>742</v>
      </c>
      <c r="C1305" s="1">
        <v>45346.291666666664</v>
      </c>
      <c r="D1305">
        <v>27087.75</v>
      </c>
      <c r="E1305" t="s">
        <v>16</v>
      </c>
      <c r="F1305" t="s">
        <v>50</v>
      </c>
      <c r="G1305" t="s">
        <v>35</v>
      </c>
      <c r="H1305" t="s">
        <v>36</v>
      </c>
      <c r="I1305" t="s">
        <v>23</v>
      </c>
      <c r="J1305" t="s">
        <v>37</v>
      </c>
      <c r="K1305">
        <v>0</v>
      </c>
      <c r="L1305">
        <v>3</v>
      </c>
      <c r="M1305">
        <v>8.2100000000000009</v>
      </c>
      <c r="N1305">
        <v>1</v>
      </c>
      <c r="O1305" t="str">
        <f>IF(financial_fraud_data[[#This Row],[Risk_Score]]&gt;8,"High",IF(financial_fraud_data[[#This Row],[Risk_Score]]&gt;5,"Med","Low"))</f>
        <v>High</v>
      </c>
      <c r="P1305" t="str">
        <f>TEXT(financial_fraud_data[[#This Row],[Transaction_Date]],"MMM")</f>
        <v>Feb</v>
      </c>
      <c r="Q1305" t="str">
        <f>IF(financial_fraud_data[[#This Row],[Is_Fraud]]=1,"Yes","No")</f>
        <v>Yes</v>
      </c>
    </row>
    <row r="1306" spans="1:17" x14ac:dyDescent="0.2">
      <c r="A1306" t="s">
        <v>1808</v>
      </c>
      <c r="B1306" t="s">
        <v>310</v>
      </c>
      <c r="C1306" s="1">
        <v>45346.333333333336</v>
      </c>
      <c r="D1306">
        <v>35467.57</v>
      </c>
      <c r="E1306" t="s">
        <v>34</v>
      </c>
      <c r="F1306" t="s">
        <v>47</v>
      </c>
      <c r="G1306" t="s">
        <v>65</v>
      </c>
      <c r="H1306" t="s">
        <v>19</v>
      </c>
      <c r="I1306" t="s">
        <v>23</v>
      </c>
      <c r="J1306" t="s">
        <v>20</v>
      </c>
      <c r="K1306">
        <v>1</v>
      </c>
      <c r="L1306">
        <v>3</v>
      </c>
      <c r="M1306">
        <v>11.05</v>
      </c>
      <c r="N1306">
        <v>1</v>
      </c>
      <c r="O1306" t="str">
        <f>IF(financial_fraud_data[[#This Row],[Risk_Score]]&gt;8,"High",IF(financial_fraud_data[[#This Row],[Risk_Score]]&gt;5,"Med","Low"))</f>
        <v>High</v>
      </c>
      <c r="P1306" t="str">
        <f>TEXT(financial_fraud_data[[#This Row],[Transaction_Date]],"MMM")</f>
        <v>Feb</v>
      </c>
      <c r="Q1306" t="str">
        <f>IF(financial_fraud_data[[#This Row],[Is_Fraud]]=1,"Yes","No")</f>
        <v>Yes</v>
      </c>
    </row>
    <row r="1307" spans="1:17" x14ac:dyDescent="0.2">
      <c r="A1307" t="s">
        <v>1809</v>
      </c>
      <c r="B1307" t="s">
        <v>245</v>
      </c>
      <c r="C1307" s="1">
        <v>45346.375</v>
      </c>
      <c r="D1307">
        <v>43554.91</v>
      </c>
      <c r="E1307" t="s">
        <v>80</v>
      </c>
      <c r="F1307" t="s">
        <v>17</v>
      </c>
      <c r="G1307" t="s">
        <v>18</v>
      </c>
      <c r="H1307" t="s">
        <v>23</v>
      </c>
      <c r="I1307" t="s">
        <v>36</v>
      </c>
      <c r="J1307" t="s">
        <v>51</v>
      </c>
      <c r="K1307">
        <v>0</v>
      </c>
      <c r="L1307">
        <v>1</v>
      </c>
      <c r="M1307">
        <v>6.86</v>
      </c>
      <c r="N1307">
        <v>1</v>
      </c>
      <c r="O1307" t="str">
        <f>IF(financial_fraud_data[[#This Row],[Risk_Score]]&gt;8,"High",IF(financial_fraud_data[[#This Row],[Risk_Score]]&gt;5,"Med","Low"))</f>
        <v>Med</v>
      </c>
      <c r="P1307" t="str">
        <f>TEXT(financial_fraud_data[[#This Row],[Transaction_Date]],"MMM")</f>
        <v>Feb</v>
      </c>
      <c r="Q1307" t="str">
        <f>IF(financial_fraud_data[[#This Row],[Is_Fraud]]=1,"Yes","No")</f>
        <v>Yes</v>
      </c>
    </row>
    <row r="1308" spans="1:17" x14ac:dyDescent="0.2">
      <c r="A1308" t="s">
        <v>1810</v>
      </c>
      <c r="B1308" t="s">
        <v>184</v>
      </c>
      <c r="C1308" s="1">
        <v>45346.416666666664</v>
      </c>
      <c r="D1308">
        <v>35718.639999999999</v>
      </c>
      <c r="E1308" t="s">
        <v>80</v>
      </c>
      <c r="F1308" t="s">
        <v>47</v>
      </c>
      <c r="G1308" t="s">
        <v>28</v>
      </c>
      <c r="H1308" t="s">
        <v>24</v>
      </c>
      <c r="I1308" t="s">
        <v>29</v>
      </c>
      <c r="J1308" t="s">
        <v>51</v>
      </c>
      <c r="K1308">
        <v>0</v>
      </c>
      <c r="L1308">
        <v>0</v>
      </c>
      <c r="M1308">
        <v>4.57</v>
      </c>
      <c r="N1308">
        <v>0</v>
      </c>
      <c r="O1308" t="str">
        <f>IF(financial_fraud_data[[#This Row],[Risk_Score]]&gt;8,"High",IF(financial_fraud_data[[#This Row],[Risk_Score]]&gt;5,"Med","Low"))</f>
        <v>Low</v>
      </c>
      <c r="P1308" t="str">
        <f>TEXT(financial_fraud_data[[#This Row],[Transaction_Date]],"MMM")</f>
        <v>Feb</v>
      </c>
      <c r="Q1308" t="str">
        <f>IF(financial_fraud_data[[#This Row],[Is_Fraud]]=1,"Yes","No")</f>
        <v>No</v>
      </c>
    </row>
    <row r="1309" spans="1:17" x14ac:dyDescent="0.2">
      <c r="A1309" t="s">
        <v>1811</v>
      </c>
      <c r="B1309" t="s">
        <v>558</v>
      </c>
      <c r="C1309" s="1">
        <v>45346.458333333336</v>
      </c>
      <c r="D1309">
        <v>40096.32</v>
      </c>
      <c r="E1309" t="s">
        <v>34</v>
      </c>
      <c r="F1309" t="s">
        <v>27</v>
      </c>
      <c r="G1309" t="s">
        <v>35</v>
      </c>
      <c r="H1309" t="s">
        <v>23</v>
      </c>
      <c r="I1309" t="s">
        <v>29</v>
      </c>
      <c r="J1309" t="s">
        <v>37</v>
      </c>
      <c r="K1309">
        <v>0</v>
      </c>
      <c r="L1309">
        <v>0</v>
      </c>
      <c r="M1309">
        <v>5.01</v>
      </c>
      <c r="N1309">
        <v>1</v>
      </c>
      <c r="O1309" t="str">
        <f>IF(financial_fraud_data[[#This Row],[Risk_Score]]&gt;8,"High",IF(financial_fraud_data[[#This Row],[Risk_Score]]&gt;5,"Med","Low"))</f>
        <v>Med</v>
      </c>
      <c r="P1309" t="str">
        <f>TEXT(financial_fraud_data[[#This Row],[Transaction_Date]],"MMM")</f>
        <v>Feb</v>
      </c>
      <c r="Q1309" t="str">
        <f>IF(financial_fraud_data[[#This Row],[Is_Fraud]]=1,"Yes","No")</f>
        <v>Yes</v>
      </c>
    </row>
    <row r="1310" spans="1:17" x14ac:dyDescent="0.2">
      <c r="A1310" t="s">
        <v>1812</v>
      </c>
      <c r="B1310" t="s">
        <v>361</v>
      </c>
      <c r="C1310" s="1">
        <v>45346.5</v>
      </c>
      <c r="D1310">
        <v>17005.54</v>
      </c>
      <c r="E1310" t="s">
        <v>34</v>
      </c>
      <c r="F1310" t="s">
        <v>27</v>
      </c>
      <c r="G1310" t="s">
        <v>28</v>
      </c>
      <c r="H1310" t="s">
        <v>29</v>
      </c>
      <c r="I1310" t="s">
        <v>23</v>
      </c>
      <c r="J1310" t="s">
        <v>51</v>
      </c>
      <c r="K1310">
        <v>0</v>
      </c>
      <c r="L1310">
        <v>3</v>
      </c>
      <c r="M1310">
        <v>7.2</v>
      </c>
      <c r="N1310">
        <v>1</v>
      </c>
      <c r="O1310" t="str">
        <f>IF(financial_fraud_data[[#This Row],[Risk_Score]]&gt;8,"High",IF(financial_fraud_data[[#This Row],[Risk_Score]]&gt;5,"Med","Low"))</f>
        <v>Med</v>
      </c>
      <c r="P1310" t="str">
        <f>TEXT(financial_fraud_data[[#This Row],[Transaction_Date]],"MMM")</f>
        <v>Feb</v>
      </c>
      <c r="Q1310" t="str">
        <f>IF(financial_fraud_data[[#This Row],[Is_Fraud]]=1,"Yes","No")</f>
        <v>Yes</v>
      </c>
    </row>
    <row r="1311" spans="1:17" x14ac:dyDescent="0.2">
      <c r="A1311" t="s">
        <v>1813</v>
      </c>
      <c r="B1311" t="s">
        <v>459</v>
      </c>
      <c r="C1311" s="1">
        <v>45346.541666666664</v>
      </c>
      <c r="D1311">
        <v>40750.51</v>
      </c>
      <c r="E1311" t="s">
        <v>80</v>
      </c>
      <c r="F1311" t="s">
        <v>50</v>
      </c>
      <c r="G1311" t="s">
        <v>35</v>
      </c>
      <c r="H1311" t="s">
        <v>29</v>
      </c>
      <c r="I1311" t="s">
        <v>36</v>
      </c>
      <c r="J1311" t="s">
        <v>51</v>
      </c>
      <c r="K1311">
        <v>0</v>
      </c>
      <c r="L1311">
        <v>2</v>
      </c>
      <c r="M1311">
        <v>8.08</v>
      </c>
      <c r="N1311">
        <v>1</v>
      </c>
      <c r="O1311" t="str">
        <f>IF(financial_fraud_data[[#This Row],[Risk_Score]]&gt;8,"High",IF(financial_fraud_data[[#This Row],[Risk_Score]]&gt;5,"Med","Low"))</f>
        <v>High</v>
      </c>
      <c r="P1311" t="str">
        <f>TEXT(financial_fraud_data[[#This Row],[Transaction_Date]],"MMM")</f>
        <v>Feb</v>
      </c>
      <c r="Q1311" t="str">
        <f>IF(financial_fraud_data[[#This Row],[Is_Fraud]]=1,"Yes","No")</f>
        <v>Yes</v>
      </c>
    </row>
    <row r="1312" spans="1:17" x14ac:dyDescent="0.2">
      <c r="A1312" t="s">
        <v>1814</v>
      </c>
      <c r="B1312" t="s">
        <v>439</v>
      </c>
      <c r="C1312" s="1">
        <v>45346.583333333336</v>
      </c>
      <c r="D1312">
        <v>4051.74</v>
      </c>
      <c r="E1312" t="s">
        <v>34</v>
      </c>
      <c r="F1312" t="s">
        <v>27</v>
      </c>
      <c r="G1312" t="s">
        <v>65</v>
      </c>
      <c r="H1312" t="s">
        <v>19</v>
      </c>
      <c r="I1312" t="s">
        <v>29</v>
      </c>
      <c r="J1312" t="s">
        <v>51</v>
      </c>
      <c r="K1312">
        <v>1</v>
      </c>
      <c r="L1312">
        <v>3</v>
      </c>
      <c r="M1312">
        <v>7.91</v>
      </c>
      <c r="N1312">
        <v>1</v>
      </c>
      <c r="O1312" t="str">
        <f>IF(financial_fraud_data[[#This Row],[Risk_Score]]&gt;8,"High",IF(financial_fraud_data[[#This Row],[Risk_Score]]&gt;5,"Med","Low"))</f>
        <v>Med</v>
      </c>
      <c r="P1312" t="str">
        <f>TEXT(financial_fraud_data[[#This Row],[Transaction_Date]],"MMM")</f>
        <v>Feb</v>
      </c>
      <c r="Q1312" t="str">
        <f>IF(financial_fraud_data[[#This Row],[Is_Fraud]]=1,"Yes","No")</f>
        <v>Yes</v>
      </c>
    </row>
    <row r="1313" spans="1:17" x14ac:dyDescent="0.2">
      <c r="A1313" t="s">
        <v>1815</v>
      </c>
      <c r="B1313" t="s">
        <v>133</v>
      </c>
      <c r="C1313" s="1">
        <v>45346.625</v>
      </c>
      <c r="D1313">
        <v>44746.09</v>
      </c>
      <c r="E1313" t="s">
        <v>16</v>
      </c>
      <c r="F1313" t="s">
        <v>47</v>
      </c>
      <c r="G1313" t="s">
        <v>56</v>
      </c>
      <c r="H1313" t="s">
        <v>24</v>
      </c>
      <c r="I1313" t="s">
        <v>23</v>
      </c>
      <c r="J1313" t="s">
        <v>51</v>
      </c>
      <c r="K1313">
        <v>0</v>
      </c>
      <c r="L1313">
        <v>1</v>
      </c>
      <c r="M1313">
        <v>6.97</v>
      </c>
      <c r="N1313">
        <v>1</v>
      </c>
      <c r="O1313" t="str">
        <f>IF(financial_fraud_data[[#This Row],[Risk_Score]]&gt;8,"High",IF(financial_fraud_data[[#This Row],[Risk_Score]]&gt;5,"Med","Low"))</f>
        <v>Med</v>
      </c>
      <c r="P1313" t="str">
        <f>TEXT(financial_fraud_data[[#This Row],[Transaction_Date]],"MMM")</f>
        <v>Feb</v>
      </c>
      <c r="Q1313" t="str">
        <f>IF(financial_fraud_data[[#This Row],[Is_Fraud]]=1,"Yes","No")</f>
        <v>Yes</v>
      </c>
    </row>
    <row r="1314" spans="1:17" x14ac:dyDescent="0.2">
      <c r="A1314" t="s">
        <v>1816</v>
      </c>
      <c r="B1314" t="s">
        <v>1183</v>
      </c>
      <c r="C1314" s="1">
        <v>45346.666666666664</v>
      </c>
      <c r="D1314">
        <v>27402.240000000002</v>
      </c>
      <c r="E1314" t="s">
        <v>42</v>
      </c>
      <c r="F1314" t="s">
        <v>27</v>
      </c>
      <c r="G1314" t="s">
        <v>28</v>
      </c>
      <c r="H1314" t="s">
        <v>36</v>
      </c>
      <c r="I1314" t="s">
        <v>36</v>
      </c>
      <c r="J1314" t="s">
        <v>20</v>
      </c>
      <c r="K1314">
        <v>0</v>
      </c>
      <c r="L1314">
        <v>3</v>
      </c>
      <c r="M1314">
        <v>7.24</v>
      </c>
      <c r="N1314">
        <v>1</v>
      </c>
      <c r="O1314" t="str">
        <f>IF(financial_fraud_data[[#This Row],[Risk_Score]]&gt;8,"High",IF(financial_fraud_data[[#This Row],[Risk_Score]]&gt;5,"Med","Low"))</f>
        <v>Med</v>
      </c>
      <c r="P1314" t="str">
        <f>TEXT(financial_fraud_data[[#This Row],[Transaction_Date]],"MMM")</f>
        <v>Feb</v>
      </c>
      <c r="Q1314" t="str">
        <f>IF(financial_fraud_data[[#This Row],[Is_Fraud]]=1,"Yes","No")</f>
        <v>Yes</v>
      </c>
    </row>
    <row r="1315" spans="1:17" x14ac:dyDescent="0.2">
      <c r="A1315" t="s">
        <v>1817</v>
      </c>
      <c r="B1315" t="s">
        <v>989</v>
      </c>
      <c r="C1315" s="1">
        <v>45346.708333333336</v>
      </c>
      <c r="D1315">
        <v>40874.019999999997</v>
      </c>
      <c r="E1315" t="s">
        <v>16</v>
      </c>
      <c r="F1315" t="s">
        <v>47</v>
      </c>
      <c r="G1315" t="s">
        <v>28</v>
      </c>
      <c r="H1315" t="s">
        <v>24</v>
      </c>
      <c r="I1315" t="s">
        <v>24</v>
      </c>
      <c r="J1315" t="s">
        <v>20</v>
      </c>
      <c r="K1315">
        <v>0</v>
      </c>
      <c r="L1315">
        <v>3</v>
      </c>
      <c r="M1315">
        <v>8.59</v>
      </c>
      <c r="N1315">
        <v>1</v>
      </c>
      <c r="O1315" t="str">
        <f>IF(financial_fraud_data[[#This Row],[Risk_Score]]&gt;8,"High",IF(financial_fraud_data[[#This Row],[Risk_Score]]&gt;5,"Med","Low"))</f>
        <v>High</v>
      </c>
      <c r="P1315" t="str">
        <f>TEXT(financial_fraud_data[[#This Row],[Transaction_Date]],"MMM")</f>
        <v>Feb</v>
      </c>
      <c r="Q1315" t="str">
        <f>IF(financial_fraud_data[[#This Row],[Is_Fraud]]=1,"Yes","No")</f>
        <v>Yes</v>
      </c>
    </row>
    <row r="1316" spans="1:17" x14ac:dyDescent="0.2">
      <c r="A1316" t="s">
        <v>1818</v>
      </c>
      <c r="B1316" t="s">
        <v>953</v>
      </c>
      <c r="C1316" s="1">
        <v>45346.75</v>
      </c>
      <c r="D1316">
        <v>22643.3</v>
      </c>
      <c r="E1316" t="s">
        <v>34</v>
      </c>
      <c r="F1316" t="s">
        <v>50</v>
      </c>
      <c r="G1316" t="s">
        <v>56</v>
      </c>
      <c r="H1316" t="s">
        <v>23</v>
      </c>
      <c r="I1316" t="s">
        <v>36</v>
      </c>
      <c r="J1316" t="s">
        <v>37</v>
      </c>
      <c r="K1316">
        <v>1</v>
      </c>
      <c r="L1316">
        <v>0</v>
      </c>
      <c r="M1316">
        <v>5.26</v>
      </c>
      <c r="N1316">
        <v>1</v>
      </c>
      <c r="O1316" t="str">
        <f>IF(financial_fraud_data[[#This Row],[Risk_Score]]&gt;8,"High",IF(financial_fraud_data[[#This Row],[Risk_Score]]&gt;5,"Med","Low"))</f>
        <v>Med</v>
      </c>
      <c r="P1316" t="str">
        <f>TEXT(financial_fraud_data[[#This Row],[Transaction_Date]],"MMM")</f>
        <v>Feb</v>
      </c>
      <c r="Q1316" t="str">
        <f>IF(financial_fraud_data[[#This Row],[Is_Fraud]]=1,"Yes","No")</f>
        <v>Yes</v>
      </c>
    </row>
    <row r="1317" spans="1:17" x14ac:dyDescent="0.2">
      <c r="A1317" t="s">
        <v>1819</v>
      </c>
      <c r="B1317" t="s">
        <v>541</v>
      </c>
      <c r="C1317" s="1">
        <v>45346.791666666664</v>
      </c>
      <c r="D1317">
        <v>32196.71</v>
      </c>
      <c r="E1317" t="s">
        <v>80</v>
      </c>
      <c r="F1317" t="s">
        <v>50</v>
      </c>
      <c r="G1317" t="s">
        <v>28</v>
      </c>
      <c r="H1317" t="s">
        <v>29</v>
      </c>
      <c r="I1317" t="s">
        <v>36</v>
      </c>
      <c r="J1317" t="s">
        <v>51</v>
      </c>
      <c r="K1317">
        <v>1</v>
      </c>
      <c r="L1317">
        <v>3</v>
      </c>
      <c r="M1317">
        <v>10.72</v>
      </c>
      <c r="N1317">
        <v>1</v>
      </c>
      <c r="O1317" t="str">
        <f>IF(financial_fraud_data[[#This Row],[Risk_Score]]&gt;8,"High",IF(financial_fraud_data[[#This Row],[Risk_Score]]&gt;5,"Med","Low"))</f>
        <v>High</v>
      </c>
      <c r="P1317" t="str">
        <f>TEXT(financial_fraud_data[[#This Row],[Transaction_Date]],"MMM")</f>
        <v>Feb</v>
      </c>
      <c r="Q1317" t="str">
        <f>IF(financial_fraud_data[[#This Row],[Is_Fraud]]=1,"Yes","No")</f>
        <v>Yes</v>
      </c>
    </row>
    <row r="1318" spans="1:17" x14ac:dyDescent="0.2">
      <c r="A1318" t="s">
        <v>1820</v>
      </c>
      <c r="B1318" t="s">
        <v>1821</v>
      </c>
      <c r="C1318" s="1">
        <v>45346.833333333336</v>
      </c>
      <c r="D1318">
        <v>26343.81</v>
      </c>
      <c r="E1318" t="s">
        <v>80</v>
      </c>
      <c r="F1318" t="s">
        <v>47</v>
      </c>
      <c r="G1318" t="s">
        <v>28</v>
      </c>
      <c r="H1318" t="s">
        <v>23</v>
      </c>
      <c r="I1318" t="s">
        <v>19</v>
      </c>
      <c r="J1318" t="s">
        <v>51</v>
      </c>
      <c r="K1318">
        <v>0</v>
      </c>
      <c r="L1318">
        <v>4</v>
      </c>
      <c r="M1318">
        <v>9.6300000000000008</v>
      </c>
      <c r="N1318">
        <v>1</v>
      </c>
      <c r="O1318" t="str">
        <f>IF(financial_fraud_data[[#This Row],[Risk_Score]]&gt;8,"High",IF(financial_fraud_data[[#This Row],[Risk_Score]]&gt;5,"Med","Low"))</f>
        <v>High</v>
      </c>
      <c r="P1318" t="str">
        <f>TEXT(financial_fraud_data[[#This Row],[Transaction_Date]],"MMM")</f>
        <v>Feb</v>
      </c>
      <c r="Q1318" t="str">
        <f>IF(financial_fraud_data[[#This Row],[Is_Fraud]]=1,"Yes","No")</f>
        <v>Yes</v>
      </c>
    </row>
    <row r="1319" spans="1:17" x14ac:dyDescent="0.2">
      <c r="A1319" t="s">
        <v>1822</v>
      </c>
      <c r="B1319" t="s">
        <v>711</v>
      </c>
      <c r="C1319" s="1">
        <v>45346.875</v>
      </c>
      <c r="D1319">
        <v>36592.9</v>
      </c>
      <c r="E1319" t="s">
        <v>16</v>
      </c>
      <c r="F1319" t="s">
        <v>27</v>
      </c>
      <c r="G1319" t="s">
        <v>35</v>
      </c>
      <c r="H1319" t="s">
        <v>19</v>
      </c>
      <c r="I1319" t="s">
        <v>19</v>
      </c>
      <c r="J1319" t="s">
        <v>51</v>
      </c>
      <c r="K1319">
        <v>1</v>
      </c>
      <c r="L1319">
        <v>4</v>
      </c>
      <c r="M1319">
        <v>11.66</v>
      </c>
      <c r="N1319">
        <v>1</v>
      </c>
      <c r="O1319" t="str">
        <f>IF(financial_fraud_data[[#This Row],[Risk_Score]]&gt;8,"High",IF(financial_fraud_data[[#This Row],[Risk_Score]]&gt;5,"Med","Low"))</f>
        <v>High</v>
      </c>
      <c r="P1319" t="str">
        <f>TEXT(financial_fraud_data[[#This Row],[Transaction_Date]],"MMM")</f>
        <v>Feb</v>
      </c>
      <c r="Q1319" t="str">
        <f>IF(financial_fraud_data[[#This Row],[Is_Fraud]]=1,"Yes","No")</f>
        <v>Yes</v>
      </c>
    </row>
    <row r="1320" spans="1:17" x14ac:dyDescent="0.2">
      <c r="A1320" t="s">
        <v>1823</v>
      </c>
      <c r="B1320" t="s">
        <v>253</v>
      </c>
      <c r="C1320" s="1">
        <v>45346.916666666664</v>
      </c>
      <c r="D1320">
        <v>4127.42</v>
      </c>
      <c r="E1320" t="s">
        <v>80</v>
      </c>
      <c r="F1320" t="s">
        <v>50</v>
      </c>
      <c r="G1320" t="s">
        <v>35</v>
      </c>
      <c r="H1320" t="s">
        <v>29</v>
      </c>
      <c r="I1320" t="s">
        <v>24</v>
      </c>
      <c r="J1320" t="s">
        <v>37</v>
      </c>
      <c r="K1320">
        <v>0</v>
      </c>
      <c r="L1320">
        <v>2</v>
      </c>
      <c r="M1320">
        <v>4.41</v>
      </c>
      <c r="N1320">
        <v>0</v>
      </c>
      <c r="O1320" t="str">
        <f>IF(financial_fraud_data[[#This Row],[Risk_Score]]&gt;8,"High",IF(financial_fraud_data[[#This Row],[Risk_Score]]&gt;5,"Med","Low"))</f>
        <v>Low</v>
      </c>
      <c r="P1320" t="str">
        <f>TEXT(financial_fraud_data[[#This Row],[Transaction_Date]],"MMM")</f>
        <v>Feb</v>
      </c>
      <c r="Q1320" t="str">
        <f>IF(financial_fraud_data[[#This Row],[Is_Fraud]]=1,"Yes","No")</f>
        <v>No</v>
      </c>
    </row>
    <row r="1321" spans="1:17" x14ac:dyDescent="0.2">
      <c r="A1321" t="s">
        <v>1824</v>
      </c>
      <c r="B1321" t="s">
        <v>1311</v>
      </c>
      <c r="C1321" s="1">
        <v>45346.958333333336</v>
      </c>
      <c r="D1321">
        <v>3064.59</v>
      </c>
      <c r="E1321" t="s">
        <v>34</v>
      </c>
      <c r="F1321" t="s">
        <v>17</v>
      </c>
      <c r="G1321" t="s">
        <v>56</v>
      </c>
      <c r="H1321" t="s">
        <v>36</v>
      </c>
      <c r="I1321" t="s">
        <v>24</v>
      </c>
      <c r="J1321" t="s">
        <v>20</v>
      </c>
      <c r="K1321">
        <v>1</v>
      </c>
      <c r="L1321">
        <v>1</v>
      </c>
      <c r="M1321">
        <v>4.8099999999999996</v>
      </c>
      <c r="N1321">
        <v>0</v>
      </c>
      <c r="O1321" t="str">
        <f>IF(financial_fraud_data[[#This Row],[Risk_Score]]&gt;8,"High",IF(financial_fraud_data[[#This Row],[Risk_Score]]&gt;5,"Med","Low"))</f>
        <v>Low</v>
      </c>
      <c r="P1321" t="str">
        <f>TEXT(financial_fraud_data[[#This Row],[Transaction_Date]],"MMM")</f>
        <v>Feb</v>
      </c>
      <c r="Q1321" t="str">
        <f>IF(financial_fraud_data[[#This Row],[Is_Fraud]]=1,"Yes","No")</f>
        <v>No</v>
      </c>
    </row>
    <row r="1322" spans="1:17" x14ac:dyDescent="0.2">
      <c r="A1322" t="s">
        <v>1825</v>
      </c>
      <c r="B1322" t="s">
        <v>90</v>
      </c>
      <c r="C1322" s="1">
        <v>45347</v>
      </c>
      <c r="D1322">
        <v>12392.81</v>
      </c>
      <c r="E1322" t="s">
        <v>16</v>
      </c>
      <c r="F1322" t="s">
        <v>50</v>
      </c>
      <c r="G1322" t="s">
        <v>65</v>
      </c>
      <c r="H1322" t="s">
        <v>29</v>
      </c>
      <c r="I1322" t="s">
        <v>36</v>
      </c>
      <c r="J1322" t="s">
        <v>51</v>
      </c>
      <c r="K1322">
        <v>0</v>
      </c>
      <c r="L1322">
        <v>1</v>
      </c>
      <c r="M1322">
        <v>3.74</v>
      </c>
      <c r="N1322">
        <v>0</v>
      </c>
      <c r="O1322" t="str">
        <f>IF(financial_fraud_data[[#This Row],[Risk_Score]]&gt;8,"High",IF(financial_fraud_data[[#This Row],[Risk_Score]]&gt;5,"Med","Low"))</f>
        <v>Low</v>
      </c>
      <c r="P1322" t="str">
        <f>TEXT(financial_fraud_data[[#This Row],[Transaction_Date]],"MMM")</f>
        <v>Feb</v>
      </c>
      <c r="Q1322" t="str">
        <f>IF(financial_fraud_data[[#This Row],[Is_Fraud]]=1,"Yes","No")</f>
        <v>No</v>
      </c>
    </row>
    <row r="1323" spans="1:17" x14ac:dyDescent="0.2">
      <c r="A1323" t="s">
        <v>1826</v>
      </c>
      <c r="B1323" t="s">
        <v>872</v>
      </c>
      <c r="C1323" s="1">
        <v>45347.041666666664</v>
      </c>
      <c r="D1323">
        <v>8019.26</v>
      </c>
      <c r="E1323" t="s">
        <v>80</v>
      </c>
      <c r="F1323" t="s">
        <v>27</v>
      </c>
      <c r="G1323" t="s">
        <v>28</v>
      </c>
      <c r="H1323" t="s">
        <v>24</v>
      </c>
      <c r="I1323" t="s">
        <v>29</v>
      </c>
      <c r="J1323" t="s">
        <v>20</v>
      </c>
      <c r="K1323">
        <v>0</v>
      </c>
      <c r="L1323">
        <v>0</v>
      </c>
      <c r="M1323">
        <v>1.8</v>
      </c>
      <c r="N1323">
        <v>0</v>
      </c>
      <c r="O1323" t="str">
        <f>IF(financial_fraud_data[[#This Row],[Risk_Score]]&gt;8,"High",IF(financial_fraud_data[[#This Row],[Risk_Score]]&gt;5,"Med","Low"))</f>
        <v>Low</v>
      </c>
      <c r="P1323" t="str">
        <f>TEXT(financial_fraud_data[[#This Row],[Transaction_Date]],"MMM")</f>
        <v>Feb</v>
      </c>
      <c r="Q1323" t="str">
        <f>IF(financial_fraud_data[[#This Row],[Is_Fraud]]=1,"Yes","No")</f>
        <v>No</v>
      </c>
    </row>
    <row r="1324" spans="1:17" x14ac:dyDescent="0.2">
      <c r="A1324" t="s">
        <v>1827</v>
      </c>
      <c r="B1324" t="s">
        <v>1024</v>
      </c>
      <c r="C1324" s="1">
        <v>45347.083333333336</v>
      </c>
      <c r="D1324">
        <v>43595.59</v>
      </c>
      <c r="E1324" t="s">
        <v>42</v>
      </c>
      <c r="F1324" t="s">
        <v>17</v>
      </c>
      <c r="G1324" t="s">
        <v>65</v>
      </c>
      <c r="H1324" t="s">
        <v>24</v>
      </c>
      <c r="I1324" t="s">
        <v>24</v>
      </c>
      <c r="J1324" t="s">
        <v>37</v>
      </c>
      <c r="K1324">
        <v>0</v>
      </c>
      <c r="L1324">
        <v>1</v>
      </c>
      <c r="M1324">
        <v>5.86</v>
      </c>
      <c r="N1324">
        <v>1</v>
      </c>
      <c r="O1324" t="str">
        <f>IF(financial_fraud_data[[#This Row],[Risk_Score]]&gt;8,"High",IF(financial_fraud_data[[#This Row],[Risk_Score]]&gt;5,"Med","Low"))</f>
        <v>Med</v>
      </c>
      <c r="P1324" t="str">
        <f>TEXT(financial_fraud_data[[#This Row],[Transaction_Date]],"MMM")</f>
        <v>Feb</v>
      </c>
      <c r="Q1324" t="str">
        <f>IF(financial_fraud_data[[#This Row],[Is_Fraud]]=1,"Yes","No")</f>
        <v>Yes</v>
      </c>
    </row>
    <row r="1325" spans="1:17" x14ac:dyDescent="0.2">
      <c r="A1325" t="s">
        <v>1828</v>
      </c>
      <c r="B1325" t="s">
        <v>538</v>
      </c>
      <c r="C1325" s="1">
        <v>45347.125</v>
      </c>
      <c r="D1325">
        <v>10999.74</v>
      </c>
      <c r="E1325" t="s">
        <v>42</v>
      </c>
      <c r="F1325" t="s">
        <v>27</v>
      </c>
      <c r="G1325" t="s">
        <v>56</v>
      </c>
      <c r="H1325" t="s">
        <v>29</v>
      </c>
      <c r="I1325" t="s">
        <v>36</v>
      </c>
      <c r="J1325" t="s">
        <v>20</v>
      </c>
      <c r="K1325">
        <v>0</v>
      </c>
      <c r="L1325">
        <v>2</v>
      </c>
      <c r="M1325">
        <v>5.0999999999999996</v>
      </c>
      <c r="N1325">
        <v>1</v>
      </c>
      <c r="O1325" t="str">
        <f>IF(financial_fraud_data[[#This Row],[Risk_Score]]&gt;8,"High",IF(financial_fraud_data[[#This Row],[Risk_Score]]&gt;5,"Med","Low"))</f>
        <v>Med</v>
      </c>
      <c r="P1325" t="str">
        <f>TEXT(financial_fraud_data[[#This Row],[Transaction_Date]],"MMM")</f>
        <v>Feb</v>
      </c>
      <c r="Q1325" t="str">
        <f>IF(financial_fraud_data[[#This Row],[Is_Fraud]]=1,"Yes","No")</f>
        <v>Yes</v>
      </c>
    </row>
    <row r="1326" spans="1:17" x14ac:dyDescent="0.2">
      <c r="A1326" t="s">
        <v>1829</v>
      </c>
      <c r="B1326" t="s">
        <v>1107</v>
      </c>
      <c r="C1326" s="1">
        <v>45347.166666666664</v>
      </c>
      <c r="D1326">
        <v>48794.47</v>
      </c>
      <c r="E1326" t="s">
        <v>34</v>
      </c>
      <c r="F1326" t="s">
        <v>47</v>
      </c>
      <c r="G1326" t="s">
        <v>56</v>
      </c>
      <c r="H1326" t="s">
        <v>19</v>
      </c>
      <c r="I1326" t="s">
        <v>23</v>
      </c>
      <c r="J1326" t="s">
        <v>51</v>
      </c>
      <c r="K1326">
        <v>0</v>
      </c>
      <c r="L1326">
        <v>4</v>
      </c>
      <c r="M1326">
        <v>11.88</v>
      </c>
      <c r="N1326">
        <v>1</v>
      </c>
      <c r="O1326" t="str">
        <f>IF(financial_fraud_data[[#This Row],[Risk_Score]]&gt;8,"High",IF(financial_fraud_data[[#This Row],[Risk_Score]]&gt;5,"Med","Low"))</f>
        <v>High</v>
      </c>
      <c r="P1326" t="str">
        <f>TEXT(financial_fraud_data[[#This Row],[Transaction_Date]],"MMM")</f>
        <v>Feb</v>
      </c>
      <c r="Q1326" t="str">
        <f>IF(financial_fraud_data[[#This Row],[Is_Fraud]]=1,"Yes","No")</f>
        <v>Yes</v>
      </c>
    </row>
    <row r="1327" spans="1:17" x14ac:dyDescent="0.2">
      <c r="A1327" t="s">
        <v>1830</v>
      </c>
      <c r="B1327" t="s">
        <v>407</v>
      </c>
      <c r="C1327" s="1">
        <v>45347.208333333336</v>
      </c>
      <c r="D1327">
        <v>16877.939999999999</v>
      </c>
      <c r="E1327" t="s">
        <v>80</v>
      </c>
      <c r="F1327" t="s">
        <v>17</v>
      </c>
      <c r="G1327" t="s">
        <v>35</v>
      </c>
      <c r="H1327" t="s">
        <v>24</v>
      </c>
      <c r="I1327" t="s">
        <v>19</v>
      </c>
      <c r="J1327" t="s">
        <v>20</v>
      </c>
      <c r="K1327">
        <v>0</v>
      </c>
      <c r="L1327">
        <v>0</v>
      </c>
      <c r="M1327">
        <v>2.69</v>
      </c>
      <c r="N1327">
        <v>0</v>
      </c>
      <c r="O1327" t="str">
        <f>IF(financial_fraud_data[[#This Row],[Risk_Score]]&gt;8,"High",IF(financial_fraud_data[[#This Row],[Risk_Score]]&gt;5,"Med","Low"))</f>
        <v>Low</v>
      </c>
      <c r="P1327" t="str">
        <f>TEXT(financial_fraud_data[[#This Row],[Transaction_Date]],"MMM")</f>
        <v>Feb</v>
      </c>
      <c r="Q1327" t="str">
        <f>IF(financial_fraud_data[[#This Row],[Is_Fraud]]=1,"Yes","No")</f>
        <v>No</v>
      </c>
    </row>
    <row r="1328" spans="1:17" x14ac:dyDescent="0.2">
      <c r="A1328" t="s">
        <v>1831</v>
      </c>
      <c r="B1328" t="s">
        <v>1253</v>
      </c>
      <c r="C1328" s="1">
        <v>45347.25</v>
      </c>
      <c r="D1328">
        <v>9146.7900000000009</v>
      </c>
      <c r="E1328" t="s">
        <v>34</v>
      </c>
      <c r="F1328" t="s">
        <v>27</v>
      </c>
      <c r="G1328" t="s">
        <v>28</v>
      </c>
      <c r="H1328" t="s">
        <v>24</v>
      </c>
      <c r="I1328" t="s">
        <v>29</v>
      </c>
      <c r="J1328" t="s">
        <v>20</v>
      </c>
      <c r="K1328">
        <v>0</v>
      </c>
      <c r="L1328">
        <v>4</v>
      </c>
      <c r="M1328">
        <v>7.91</v>
      </c>
      <c r="N1328">
        <v>1</v>
      </c>
      <c r="O1328" t="str">
        <f>IF(financial_fraud_data[[#This Row],[Risk_Score]]&gt;8,"High",IF(financial_fraud_data[[#This Row],[Risk_Score]]&gt;5,"Med","Low"))</f>
        <v>Med</v>
      </c>
      <c r="P1328" t="str">
        <f>TEXT(financial_fraud_data[[#This Row],[Transaction_Date]],"MMM")</f>
        <v>Feb</v>
      </c>
      <c r="Q1328" t="str">
        <f>IF(financial_fraud_data[[#This Row],[Is_Fraud]]=1,"Yes","No")</f>
        <v>Yes</v>
      </c>
    </row>
    <row r="1329" spans="1:17" x14ac:dyDescent="0.2">
      <c r="A1329" t="s">
        <v>1832</v>
      </c>
      <c r="B1329" t="s">
        <v>483</v>
      </c>
      <c r="C1329" s="1">
        <v>45347.291666666664</v>
      </c>
      <c r="D1329">
        <v>39495.440000000002</v>
      </c>
      <c r="E1329" t="s">
        <v>16</v>
      </c>
      <c r="F1329" t="s">
        <v>17</v>
      </c>
      <c r="G1329" t="s">
        <v>18</v>
      </c>
      <c r="H1329" t="s">
        <v>36</v>
      </c>
      <c r="I1329" t="s">
        <v>36</v>
      </c>
      <c r="J1329" t="s">
        <v>37</v>
      </c>
      <c r="K1329">
        <v>1</v>
      </c>
      <c r="L1329">
        <v>2</v>
      </c>
      <c r="M1329">
        <v>8.9499999999999993</v>
      </c>
      <c r="N1329">
        <v>1</v>
      </c>
      <c r="O1329" t="str">
        <f>IF(financial_fraud_data[[#This Row],[Risk_Score]]&gt;8,"High",IF(financial_fraud_data[[#This Row],[Risk_Score]]&gt;5,"Med","Low"))</f>
        <v>High</v>
      </c>
      <c r="P1329" t="str">
        <f>TEXT(financial_fraud_data[[#This Row],[Transaction_Date]],"MMM")</f>
        <v>Feb</v>
      </c>
      <c r="Q1329" t="str">
        <f>IF(financial_fraud_data[[#This Row],[Is_Fraud]]=1,"Yes","No")</f>
        <v>Yes</v>
      </c>
    </row>
    <row r="1330" spans="1:17" x14ac:dyDescent="0.2">
      <c r="A1330" t="s">
        <v>1833</v>
      </c>
      <c r="B1330" t="s">
        <v>312</v>
      </c>
      <c r="C1330" s="1">
        <v>45347.333333333336</v>
      </c>
      <c r="D1330">
        <v>32952.449999999997</v>
      </c>
      <c r="E1330" t="s">
        <v>42</v>
      </c>
      <c r="F1330" t="s">
        <v>27</v>
      </c>
      <c r="G1330" t="s">
        <v>56</v>
      </c>
      <c r="H1330" t="s">
        <v>29</v>
      </c>
      <c r="I1330" t="s">
        <v>23</v>
      </c>
      <c r="J1330" t="s">
        <v>37</v>
      </c>
      <c r="K1330">
        <v>0</v>
      </c>
      <c r="L1330">
        <v>0</v>
      </c>
      <c r="M1330">
        <v>4.3</v>
      </c>
      <c r="N1330">
        <v>0</v>
      </c>
      <c r="O1330" t="str">
        <f>IF(financial_fraud_data[[#This Row],[Risk_Score]]&gt;8,"High",IF(financial_fraud_data[[#This Row],[Risk_Score]]&gt;5,"Med","Low"))</f>
        <v>Low</v>
      </c>
      <c r="P1330" t="str">
        <f>TEXT(financial_fraud_data[[#This Row],[Transaction_Date]],"MMM")</f>
        <v>Feb</v>
      </c>
      <c r="Q1330" t="str">
        <f>IF(financial_fraud_data[[#This Row],[Is_Fraud]]=1,"Yes","No")</f>
        <v>No</v>
      </c>
    </row>
    <row r="1331" spans="1:17" x14ac:dyDescent="0.2">
      <c r="A1331" t="s">
        <v>1834</v>
      </c>
      <c r="B1331" t="s">
        <v>883</v>
      </c>
      <c r="C1331" s="1">
        <v>45347.375</v>
      </c>
      <c r="D1331">
        <v>24934.880000000001</v>
      </c>
      <c r="E1331" t="s">
        <v>16</v>
      </c>
      <c r="F1331" t="s">
        <v>17</v>
      </c>
      <c r="G1331" t="s">
        <v>28</v>
      </c>
      <c r="H1331" t="s">
        <v>24</v>
      </c>
      <c r="I1331" t="s">
        <v>19</v>
      </c>
      <c r="J1331" t="s">
        <v>37</v>
      </c>
      <c r="K1331">
        <v>0</v>
      </c>
      <c r="L1331">
        <v>3</v>
      </c>
      <c r="M1331">
        <v>7.99</v>
      </c>
      <c r="N1331">
        <v>1</v>
      </c>
      <c r="O1331" t="str">
        <f>IF(financial_fraud_data[[#This Row],[Risk_Score]]&gt;8,"High",IF(financial_fraud_data[[#This Row],[Risk_Score]]&gt;5,"Med","Low"))</f>
        <v>Med</v>
      </c>
      <c r="P1331" t="str">
        <f>TEXT(financial_fraud_data[[#This Row],[Transaction_Date]],"MMM")</f>
        <v>Feb</v>
      </c>
      <c r="Q1331" t="str">
        <f>IF(financial_fraud_data[[#This Row],[Is_Fraud]]=1,"Yes","No")</f>
        <v>Yes</v>
      </c>
    </row>
    <row r="1332" spans="1:17" x14ac:dyDescent="0.2">
      <c r="A1332" t="s">
        <v>1835</v>
      </c>
      <c r="B1332" t="s">
        <v>558</v>
      </c>
      <c r="C1332" s="1">
        <v>45347.416666666664</v>
      </c>
      <c r="D1332">
        <v>27790.41</v>
      </c>
      <c r="E1332" t="s">
        <v>80</v>
      </c>
      <c r="F1332" t="s">
        <v>27</v>
      </c>
      <c r="G1332" t="s">
        <v>65</v>
      </c>
      <c r="H1332" t="s">
        <v>19</v>
      </c>
      <c r="I1332" t="s">
        <v>23</v>
      </c>
      <c r="J1332" t="s">
        <v>37</v>
      </c>
      <c r="K1332">
        <v>0</v>
      </c>
      <c r="L1332">
        <v>1</v>
      </c>
      <c r="M1332">
        <v>5.28</v>
      </c>
      <c r="N1332">
        <v>1</v>
      </c>
      <c r="O1332" t="str">
        <f>IF(financial_fraud_data[[#This Row],[Risk_Score]]&gt;8,"High",IF(financial_fraud_data[[#This Row],[Risk_Score]]&gt;5,"Med","Low"))</f>
        <v>Med</v>
      </c>
      <c r="P1332" t="str">
        <f>TEXT(financial_fraud_data[[#This Row],[Transaction_Date]],"MMM")</f>
        <v>Feb</v>
      </c>
      <c r="Q1332" t="str">
        <f>IF(financial_fraud_data[[#This Row],[Is_Fraud]]=1,"Yes","No")</f>
        <v>Yes</v>
      </c>
    </row>
    <row r="1333" spans="1:17" x14ac:dyDescent="0.2">
      <c r="A1333" t="s">
        <v>1836</v>
      </c>
      <c r="B1333" t="s">
        <v>738</v>
      </c>
      <c r="C1333" s="1">
        <v>45347.458333333336</v>
      </c>
      <c r="D1333">
        <v>35974.129999999997</v>
      </c>
      <c r="E1333" t="s">
        <v>34</v>
      </c>
      <c r="F1333" t="s">
        <v>47</v>
      </c>
      <c r="G1333" t="s">
        <v>35</v>
      </c>
      <c r="H1333" t="s">
        <v>23</v>
      </c>
      <c r="I1333" t="s">
        <v>36</v>
      </c>
      <c r="J1333" t="s">
        <v>20</v>
      </c>
      <c r="K1333">
        <v>1</v>
      </c>
      <c r="L1333">
        <v>2</v>
      </c>
      <c r="M1333">
        <v>9.6</v>
      </c>
      <c r="N1333">
        <v>1</v>
      </c>
      <c r="O1333" t="str">
        <f>IF(financial_fraud_data[[#This Row],[Risk_Score]]&gt;8,"High",IF(financial_fraud_data[[#This Row],[Risk_Score]]&gt;5,"Med","Low"))</f>
        <v>High</v>
      </c>
      <c r="P1333" t="str">
        <f>TEXT(financial_fraud_data[[#This Row],[Transaction_Date]],"MMM")</f>
        <v>Feb</v>
      </c>
      <c r="Q1333" t="str">
        <f>IF(financial_fraud_data[[#This Row],[Is_Fraud]]=1,"Yes","No")</f>
        <v>Yes</v>
      </c>
    </row>
    <row r="1334" spans="1:17" x14ac:dyDescent="0.2">
      <c r="A1334" t="s">
        <v>1837</v>
      </c>
      <c r="B1334" t="s">
        <v>770</v>
      </c>
      <c r="C1334" s="1">
        <v>45347.5</v>
      </c>
      <c r="D1334">
        <v>11461.31</v>
      </c>
      <c r="E1334" t="s">
        <v>34</v>
      </c>
      <c r="F1334" t="s">
        <v>17</v>
      </c>
      <c r="G1334" t="s">
        <v>65</v>
      </c>
      <c r="H1334" t="s">
        <v>29</v>
      </c>
      <c r="I1334" t="s">
        <v>24</v>
      </c>
      <c r="J1334" t="s">
        <v>20</v>
      </c>
      <c r="K1334">
        <v>1</v>
      </c>
      <c r="L1334">
        <v>0</v>
      </c>
      <c r="M1334">
        <v>4.1500000000000004</v>
      </c>
      <c r="N1334">
        <v>0</v>
      </c>
      <c r="O1334" t="str">
        <f>IF(financial_fraud_data[[#This Row],[Risk_Score]]&gt;8,"High",IF(financial_fraud_data[[#This Row],[Risk_Score]]&gt;5,"Med","Low"))</f>
        <v>Low</v>
      </c>
      <c r="P1334" t="str">
        <f>TEXT(financial_fraud_data[[#This Row],[Transaction_Date]],"MMM")</f>
        <v>Feb</v>
      </c>
      <c r="Q1334" t="str">
        <f>IF(financial_fraud_data[[#This Row],[Is_Fraud]]=1,"Yes","No")</f>
        <v>No</v>
      </c>
    </row>
    <row r="1335" spans="1:17" x14ac:dyDescent="0.2">
      <c r="A1335" t="s">
        <v>1838</v>
      </c>
      <c r="B1335" t="s">
        <v>129</v>
      </c>
      <c r="C1335" s="1">
        <v>45347.541666666664</v>
      </c>
      <c r="D1335">
        <v>49816.88</v>
      </c>
      <c r="E1335" t="s">
        <v>34</v>
      </c>
      <c r="F1335" t="s">
        <v>17</v>
      </c>
      <c r="G1335" t="s">
        <v>56</v>
      </c>
      <c r="H1335" t="s">
        <v>36</v>
      </c>
      <c r="I1335" t="s">
        <v>19</v>
      </c>
      <c r="J1335" t="s">
        <v>37</v>
      </c>
      <c r="K1335">
        <v>0</v>
      </c>
      <c r="L1335">
        <v>4</v>
      </c>
      <c r="M1335">
        <v>11.98</v>
      </c>
      <c r="N1335">
        <v>1</v>
      </c>
      <c r="O1335" t="str">
        <f>IF(financial_fraud_data[[#This Row],[Risk_Score]]&gt;8,"High",IF(financial_fraud_data[[#This Row],[Risk_Score]]&gt;5,"Med","Low"))</f>
        <v>High</v>
      </c>
      <c r="P1335" t="str">
        <f>TEXT(financial_fraud_data[[#This Row],[Transaction_Date]],"MMM")</f>
        <v>Feb</v>
      </c>
      <c r="Q1335" t="str">
        <f>IF(financial_fraud_data[[#This Row],[Is_Fraud]]=1,"Yes","No")</f>
        <v>Yes</v>
      </c>
    </row>
    <row r="1336" spans="1:17" x14ac:dyDescent="0.2">
      <c r="A1336" t="s">
        <v>1839</v>
      </c>
      <c r="B1336" t="s">
        <v>437</v>
      </c>
      <c r="C1336" s="1">
        <v>45347.583333333336</v>
      </c>
      <c r="D1336">
        <v>48740.92</v>
      </c>
      <c r="E1336" t="s">
        <v>16</v>
      </c>
      <c r="F1336" t="s">
        <v>17</v>
      </c>
      <c r="G1336" t="s">
        <v>56</v>
      </c>
      <c r="H1336" t="s">
        <v>24</v>
      </c>
      <c r="I1336" t="s">
        <v>23</v>
      </c>
      <c r="J1336" t="s">
        <v>37</v>
      </c>
      <c r="K1336">
        <v>0</v>
      </c>
      <c r="L1336">
        <v>0</v>
      </c>
      <c r="M1336">
        <v>5.87</v>
      </c>
      <c r="N1336">
        <v>1</v>
      </c>
      <c r="O1336" t="str">
        <f>IF(financial_fraud_data[[#This Row],[Risk_Score]]&gt;8,"High",IF(financial_fraud_data[[#This Row],[Risk_Score]]&gt;5,"Med","Low"))</f>
        <v>Med</v>
      </c>
      <c r="P1336" t="str">
        <f>TEXT(financial_fraud_data[[#This Row],[Transaction_Date]],"MMM")</f>
        <v>Feb</v>
      </c>
      <c r="Q1336" t="str">
        <f>IF(financial_fraud_data[[#This Row],[Is_Fraud]]=1,"Yes","No")</f>
        <v>Yes</v>
      </c>
    </row>
    <row r="1337" spans="1:17" x14ac:dyDescent="0.2">
      <c r="A1337" t="s">
        <v>1840</v>
      </c>
      <c r="B1337" t="s">
        <v>73</v>
      </c>
      <c r="C1337" s="1">
        <v>45347.625</v>
      </c>
      <c r="D1337">
        <v>32533.77</v>
      </c>
      <c r="E1337" t="s">
        <v>42</v>
      </c>
      <c r="F1337" t="s">
        <v>17</v>
      </c>
      <c r="G1337" t="s">
        <v>65</v>
      </c>
      <c r="H1337" t="s">
        <v>19</v>
      </c>
      <c r="I1337" t="s">
        <v>24</v>
      </c>
      <c r="J1337" t="s">
        <v>51</v>
      </c>
      <c r="K1337">
        <v>0</v>
      </c>
      <c r="L1337">
        <v>3</v>
      </c>
      <c r="M1337">
        <v>8.75</v>
      </c>
      <c r="N1337">
        <v>1</v>
      </c>
      <c r="O1337" t="str">
        <f>IF(financial_fraud_data[[#This Row],[Risk_Score]]&gt;8,"High",IF(financial_fraud_data[[#This Row],[Risk_Score]]&gt;5,"Med","Low"))</f>
        <v>High</v>
      </c>
      <c r="P1337" t="str">
        <f>TEXT(financial_fraud_data[[#This Row],[Transaction_Date]],"MMM")</f>
        <v>Feb</v>
      </c>
      <c r="Q1337" t="str">
        <f>IF(financial_fraud_data[[#This Row],[Is_Fraud]]=1,"Yes","No")</f>
        <v>Yes</v>
      </c>
    </row>
    <row r="1338" spans="1:17" x14ac:dyDescent="0.2">
      <c r="A1338" t="s">
        <v>1841</v>
      </c>
      <c r="B1338" t="s">
        <v>237</v>
      </c>
      <c r="C1338" s="1">
        <v>45347.666666666664</v>
      </c>
      <c r="D1338">
        <v>10017.15</v>
      </c>
      <c r="E1338" t="s">
        <v>16</v>
      </c>
      <c r="F1338" t="s">
        <v>47</v>
      </c>
      <c r="G1338" t="s">
        <v>56</v>
      </c>
      <c r="H1338" t="s">
        <v>29</v>
      </c>
      <c r="I1338" t="s">
        <v>29</v>
      </c>
      <c r="J1338" t="s">
        <v>51</v>
      </c>
      <c r="K1338">
        <v>0</v>
      </c>
      <c r="L1338">
        <v>2</v>
      </c>
      <c r="M1338">
        <v>4</v>
      </c>
      <c r="N1338">
        <v>0</v>
      </c>
      <c r="O1338" t="str">
        <f>IF(financial_fraud_data[[#This Row],[Risk_Score]]&gt;8,"High",IF(financial_fraud_data[[#This Row],[Risk_Score]]&gt;5,"Med","Low"))</f>
        <v>Low</v>
      </c>
      <c r="P1338" t="str">
        <f>TEXT(financial_fraud_data[[#This Row],[Transaction_Date]],"MMM")</f>
        <v>Feb</v>
      </c>
      <c r="Q1338" t="str">
        <f>IF(financial_fraud_data[[#This Row],[Is_Fraud]]=1,"Yes","No")</f>
        <v>No</v>
      </c>
    </row>
    <row r="1339" spans="1:17" x14ac:dyDescent="0.2">
      <c r="A1339" t="s">
        <v>1842</v>
      </c>
      <c r="B1339" t="s">
        <v>1843</v>
      </c>
      <c r="C1339" s="1">
        <v>45347.708333333336</v>
      </c>
      <c r="D1339">
        <v>34027.4</v>
      </c>
      <c r="E1339" t="s">
        <v>16</v>
      </c>
      <c r="F1339" t="s">
        <v>17</v>
      </c>
      <c r="G1339" t="s">
        <v>28</v>
      </c>
      <c r="H1339" t="s">
        <v>19</v>
      </c>
      <c r="I1339" t="s">
        <v>36</v>
      </c>
      <c r="J1339" t="s">
        <v>37</v>
      </c>
      <c r="K1339">
        <v>0</v>
      </c>
      <c r="L1339">
        <v>0</v>
      </c>
      <c r="M1339">
        <v>4.4000000000000004</v>
      </c>
      <c r="N1339">
        <v>0</v>
      </c>
      <c r="O1339" t="str">
        <f>IF(financial_fraud_data[[#This Row],[Risk_Score]]&gt;8,"High",IF(financial_fraud_data[[#This Row],[Risk_Score]]&gt;5,"Med","Low"))</f>
        <v>Low</v>
      </c>
      <c r="P1339" t="str">
        <f>TEXT(financial_fraud_data[[#This Row],[Transaction_Date]],"MMM")</f>
        <v>Feb</v>
      </c>
      <c r="Q1339" t="str">
        <f>IF(financial_fraud_data[[#This Row],[Is_Fraud]]=1,"Yes","No")</f>
        <v>No</v>
      </c>
    </row>
    <row r="1340" spans="1:17" x14ac:dyDescent="0.2">
      <c r="A1340" t="s">
        <v>1844</v>
      </c>
      <c r="B1340" t="s">
        <v>239</v>
      </c>
      <c r="C1340" s="1">
        <v>45347.75</v>
      </c>
      <c r="D1340">
        <v>3656.31</v>
      </c>
      <c r="E1340" t="s">
        <v>80</v>
      </c>
      <c r="F1340" t="s">
        <v>50</v>
      </c>
      <c r="G1340" t="s">
        <v>56</v>
      </c>
      <c r="H1340" t="s">
        <v>19</v>
      </c>
      <c r="I1340" t="s">
        <v>36</v>
      </c>
      <c r="J1340" t="s">
        <v>20</v>
      </c>
      <c r="K1340">
        <v>1</v>
      </c>
      <c r="L1340">
        <v>2</v>
      </c>
      <c r="M1340">
        <v>6.37</v>
      </c>
      <c r="N1340">
        <v>1</v>
      </c>
      <c r="O1340" t="str">
        <f>IF(financial_fraud_data[[#This Row],[Risk_Score]]&gt;8,"High",IF(financial_fraud_data[[#This Row],[Risk_Score]]&gt;5,"Med","Low"))</f>
        <v>Med</v>
      </c>
      <c r="P1340" t="str">
        <f>TEXT(financial_fraud_data[[#This Row],[Transaction_Date]],"MMM")</f>
        <v>Feb</v>
      </c>
      <c r="Q1340" t="str">
        <f>IF(financial_fraud_data[[#This Row],[Is_Fraud]]=1,"Yes","No")</f>
        <v>Yes</v>
      </c>
    </row>
    <row r="1341" spans="1:17" x14ac:dyDescent="0.2">
      <c r="A1341" t="s">
        <v>1845</v>
      </c>
      <c r="B1341" t="s">
        <v>717</v>
      </c>
      <c r="C1341" s="1">
        <v>45347.791666666664</v>
      </c>
      <c r="D1341">
        <v>1581.09</v>
      </c>
      <c r="E1341" t="s">
        <v>80</v>
      </c>
      <c r="F1341" t="s">
        <v>47</v>
      </c>
      <c r="G1341" t="s">
        <v>35</v>
      </c>
      <c r="H1341" t="s">
        <v>36</v>
      </c>
      <c r="I1341" t="s">
        <v>19</v>
      </c>
      <c r="J1341" t="s">
        <v>37</v>
      </c>
      <c r="K1341">
        <v>0</v>
      </c>
      <c r="L1341">
        <v>2</v>
      </c>
      <c r="M1341">
        <v>4.16</v>
      </c>
      <c r="N1341">
        <v>0</v>
      </c>
      <c r="O1341" t="str">
        <f>IF(financial_fraud_data[[#This Row],[Risk_Score]]&gt;8,"High",IF(financial_fraud_data[[#This Row],[Risk_Score]]&gt;5,"Med","Low"))</f>
        <v>Low</v>
      </c>
      <c r="P1341" t="str">
        <f>TEXT(financial_fraud_data[[#This Row],[Transaction_Date]],"MMM")</f>
        <v>Feb</v>
      </c>
      <c r="Q1341" t="str">
        <f>IF(financial_fraud_data[[#This Row],[Is_Fraud]]=1,"Yes","No")</f>
        <v>No</v>
      </c>
    </row>
    <row r="1342" spans="1:17" x14ac:dyDescent="0.2">
      <c r="A1342" t="s">
        <v>1846</v>
      </c>
      <c r="B1342" t="s">
        <v>538</v>
      </c>
      <c r="C1342" s="1">
        <v>45347.833333333336</v>
      </c>
      <c r="D1342">
        <v>12921.26</v>
      </c>
      <c r="E1342" t="s">
        <v>80</v>
      </c>
      <c r="F1342" t="s">
        <v>50</v>
      </c>
      <c r="G1342" t="s">
        <v>28</v>
      </c>
      <c r="H1342" t="s">
        <v>29</v>
      </c>
      <c r="I1342" t="s">
        <v>23</v>
      </c>
      <c r="J1342" t="s">
        <v>20</v>
      </c>
      <c r="K1342">
        <v>0</v>
      </c>
      <c r="L1342">
        <v>4</v>
      </c>
      <c r="M1342">
        <v>8.2899999999999991</v>
      </c>
      <c r="N1342">
        <v>1</v>
      </c>
      <c r="O1342" t="str">
        <f>IF(financial_fraud_data[[#This Row],[Risk_Score]]&gt;8,"High",IF(financial_fraud_data[[#This Row],[Risk_Score]]&gt;5,"Med","Low"))</f>
        <v>High</v>
      </c>
      <c r="P1342" t="str">
        <f>TEXT(financial_fraud_data[[#This Row],[Transaction_Date]],"MMM")</f>
        <v>Feb</v>
      </c>
      <c r="Q1342" t="str">
        <f>IF(financial_fraud_data[[#This Row],[Is_Fraud]]=1,"Yes","No")</f>
        <v>Yes</v>
      </c>
    </row>
    <row r="1343" spans="1:17" x14ac:dyDescent="0.2">
      <c r="A1343" t="s">
        <v>1847</v>
      </c>
      <c r="B1343" t="s">
        <v>75</v>
      </c>
      <c r="C1343" s="1">
        <v>45347.875</v>
      </c>
      <c r="D1343">
        <v>23158.02</v>
      </c>
      <c r="E1343" t="s">
        <v>42</v>
      </c>
      <c r="F1343" t="s">
        <v>17</v>
      </c>
      <c r="G1343" t="s">
        <v>18</v>
      </c>
      <c r="H1343" t="s">
        <v>24</v>
      </c>
      <c r="I1343" t="s">
        <v>29</v>
      </c>
      <c r="J1343" t="s">
        <v>20</v>
      </c>
      <c r="K1343">
        <v>0</v>
      </c>
      <c r="L1343">
        <v>1</v>
      </c>
      <c r="M1343">
        <v>4.82</v>
      </c>
      <c r="N1343">
        <v>0</v>
      </c>
      <c r="O1343" t="str">
        <f>IF(financial_fraud_data[[#This Row],[Risk_Score]]&gt;8,"High",IF(financial_fraud_data[[#This Row],[Risk_Score]]&gt;5,"Med","Low"))</f>
        <v>Low</v>
      </c>
      <c r="P1343" t="str">
        <f>TEXT(financial_fraud_data[[#This Row],[Transaction_Date]],"MMM")</f>
        <v>Feb</v>
      </c>
      <c r="Q1343" t="str">
        <f>IF(financial_fraud_data[[#This Row],[Is_Fraud]]=1,"Yes","No")</f>
        <v>No</v>
      </c>
    </row>
    <row r="1344" spans="1:17" x14ac:dyDescent="0.2">
      <c r="A1344" t="s">
        <v>1848</v>
      </c>
      <c r="B1344" t="s">
        <v>337</v>
      </c>
      <c r="C1344" s="1">
        <v>45347.916666666664</v>
      </c>
      <c r="D1344">
        <v>43420.21</v>
      </c>
      <c r="E1344" t="s">
        <v>42</v>
      </c>
      <c r="F1344" t="s">
        <v>27</v>
      </c>
      <c r="G1344" t="s">
        <v>56</v>
      </c>
      <c r="H1344" t="s">
        <v>36</v>
      </c>
      <c r="I1344" t="s">
        <v>19</v>
      </c>
      <c r="J1344" t="s">
        <v>51</v>
      </c>
      <c r="K1344">
        <v>0</v>
      </c>
      <c r="L1344">
        <v>3</v>
      </c>
      <c r="M1344">
        <v>9.84</v>
      </c>
      <c r="N1344">
        <v>1</v>
      </c>
      <c r="O1344" t="str">
        <f>IF(financial_fraud_data[[#This Row],[Risk_Score]]&gt;8,"High",IF(financial_fraud_data[[#This Row],[Risk_Score]]&gt;5,"Med","Low"))</f>
        <v>High</v>
      </c>
      <c r="P1344" t="str">
        <f>TEXT(financial_fraud_data[[#This Row],[Transaction_Date]],"MMM")</f>
        <v>Feb</v>
      </c>
      <c r="Q1344" t="str">
        <f>IF(financial_fraud_data[[#This Row],[Is_Fraud]]=1,"Yes","No")</f>
        <v>Yes</v>
      </c>
    </row>
    <row r="1345" spans="1:17" x14ac:dyDescent="0.2">
      <c r="A1345" t="s">
        <v>1849</v>
      </c>
      <c r="B1345" t="s">
        <v>291</v>
      </c>
      <c r="C1345" s="1">
        <v>45347.958333333336</v>
      </c>
      <c r="D1345">
        <v>36372.1</v>
      </c>
      <c r="E1345" t="s">
        <v>80</v>
      </c>
      <c r="F1345" t="s">
        <v>50</v>
      </c>
      <c r="G1345" t="s">
        <v>56</v>
      </c>
      <c r="H1345" t="s">
        <v>24</v>
      </c>
      <c r="I1345" t="s">
        <v>19</v>
      </c>
      <c r="J1345" t="s">
        <v>37</v>
      </c>
      <c r="K1345">
        <v>0</v>
      </c>
      <c r="L1345">
        <v>0</v>
      </c>
      <c r="M1345">
        <v>4.6399999999999997</v>
      </c>
      <c r="N1345">
        <v>0</v>
      </c>
      <c r="O1345" t="str">
        <f>IF(financial_fraud_data[[#This Row],[Risk_Score]]&gt;8,"High",IF(financial_fraud_data[[#This Row],[Risk_Score]]&gt;5,"Med","Low"))</f>
        <v>Low</v>
      </c>
      <c r="P1345" t="str">
        <f>TEXT(financial_fraud_data[[#This Row],[Transaction_Date]],"MMM")</f>
        <v>Feb</v>
      </c>
      <c r="Q1345" t="str">
        <f>IF(financial_fraud_data[[#This Row],[Is_Fraud]]=1,"Yes","No")</f>
        <v>No</v>
      </c>
    </row>
    <row r="1346" spans="1:17" x14ac:dyDescent="0.2">
      <c r="A1346" t="s">
        <v>1850</v>
      </c>
      <c r="B1346" t="s">
        <v>439</v>
      </c>
      <c r="C1346" s="1">
        <v>45348</v>
      </c>
      <c r="D1346">
        <v>37148.19</v>
      </c>
      <c r="E1346" t="s">
        <v>80</v>
      </c>
      <c r="F1346" t="s">
        <v>17</v>
      </c>
      <c r="G1346" t="s">
        <v>35</v>
      </c>
      <c r="H1346" t="s">
        <v>23</v>
      </c>
      <c r="I1346" t="s">
        <v>23</v>
      </c>
      <c r="J1346" t="s">
        <v>37</v>
      </c>
      <c r="K1346">
        <v>0</v>
      </c>
      <c r="L1346">
        <v>1</v>
      </c>
      <c r="M1346">
        <v>5.21</v>
      </c>
      <c r="N1346">
        <v>1</v>
      </c>
      <c r="O1346" t="str">
        <f>IF(financial_fraud_data[[#This Row],[Risk_Score]]&gt;8,"High",IF(financial_fraud_data[[#This Row],[Risk_Score]]&gt;5,"Med","Low"))</f>
        <v>Med</v>
      </c>
      <c r="P1346" t="str">
        <f>TEXT(financial_fraud_data[[#This Row],[Transaction_Date]],"MMM")</f>
        <v>Feb</v>
      </c>
      <c r="Q1346" t="str">
        <f>IF(financial_fraud_data[[#This Row],[Is_Fraud]]=1,"Yes","No")</f>
        <v>Yes</v>
      </c>
    </row>
    <row r="1347" spans="1:17" x14ac:dyDescent="0.2">
      <c r="A1347" t="s">
        <v>1851</v>
      </c>
      <c r="B1347" t="s">
        <v>295</v>
      </c>
      <c r="C1347" s="1">
        <v>45348.041666666664</v>
      </c>
      <c r="D1347">
        <v>21303.39</v>
      </c>
      <c r="E1347" t="s">
        <v>42</v>
      </c>
      <c r="F1347" t="s">
        <v>50</v>
      </c>
      <c r="G1347" t="s">
        <v>35</v>
      </c>
      <c r="H1347" t="s">
        <v>19</v>
      </c>
      <c r="I1347" t="s">
        <v>29</v>
      </c>
      <c r="J1347" t="s">
        <v>20</v>
      </c>
      <c r="K1347">
        <v>0</v>
      </c>
      <c r="L1347">
        <v>4</v>
      </c>
      <c r="M1347">
        <v>9.1300000000000008</v>
      </c>
      <c r="N1347">
        <v>1</v>
      </c>
      <c r="O1347" t="str">
        <f>IF(financial_fraud_data[[#This Row],[Risk_Score]]&gt;8,"High",IF(financial_fraud_data[[#This Row],[Risk_Score]]&gt;5,"Med","Low"))</f>
        <v>High</v>
      </c>
      <c r="P1347" t="str">
        <f>TEXT(financial_fraud_data[[#This Row],[Transaction_Date]],"MMM")</f>
        <v>Feb</v>
      </c>
      <c r="Q1347" t="str">
        <f>IF(financial_fraud_data[[#This Row],[Is_Fraud]]=1,"Yes","No")</f>
        <v>Yes</v>
      </c>
    </row>
    <row r="1348" spans="1:17" x14ac:dyDescent="0.2">
      <c r="A1348" t="s">
        <v>1852</v>
      </c>
      <c r="B1348" t="s">
        <v>633</v>
      </c>
      <c r="C1348" s="1">
        <v>45348.083333333336</v>
      </c>
      <c r="D1348">
        <v>17329.45</v>
      </c>
      <c r="E1348" t="s">
        <v>34</v>
      </c>
      <c r="F1348" t="s">
        <v>17</v>
      </c>
      <c r="G1348" t="s">
        <v>65</v>
      </c>
      <c r="H1348" t="s">
        <v>23</v>
      </c>
      <c r="I1348" t="s">
        <v>23</v>
      </c>
      <c r="J1348" t="s">
        <v>37</v>
      </c>
      <c r="K1348">
        <v>0</v>
      </c>
      <c r="L1348">
        <v>1</v>
      </c>
      <c r="M1348">
        <v>3.23</v>
      </c>
      <c r="N1348">
        <v>0</v>
      </c>
      <c r="O1348" t="str">
        <f>IF(financial_fraud_data[[#This Row],[Risk_Score]]&gt;8,"High",IF(financial_fraud_data[[#This Row],[Risk_Score]]&gt;5,"Med","Low"))</f>
        <v>Low</v>
      </c>
      <c r="P1348" t="str">
        <f>TEXT(financial_fraud_data[[#This Row],[Transaction_Date]],"MMM")</f>
        <v>Feb</v>
      </c>
      <c r="Q1348" t="str">
        <f>IF(financial_fraud_data[[#This Row],[Is_Fraud]]=1,"Yes","No")</f>
        <v>No</v>
      </c>
    </row>
    <row r="1349" spans="1:17" x14ac:dyDescent="0.2">
      <c r="A1349" t="s">
        <v>1853</v>
      </c>
      <c r="B1349" t="s">
        <v>627</v>
      </c>
      <c r="C1349" s="1">
        <v>45348.125</v>
      </c>
      <c r="D1349">
        <v>18583.39</v>
      </c>
      <c r="E1349" t="s">
        <v>42</v>
      </c>
      <c r="F1349" t="s">
        <v>17</v>
      </c>
      <c r="G1349" t="s">
        <v>65</v>
      </c>
      <c r="H1349" t="s">
        <v>19</v>
      </c>
      <c r="I1349" t="s">
        <v>36</v>
      </c>
      <c r="J1349" t="s">
        <v>51</v>
      </c>
      <c r="K1349">
        <v>0</v>
      </c>
      <c r="L1349">
        <v>2</v>
      </c>
      <c r="M1349">
        <v>5.86</v>
      </c>
      <c r="N1349">
        <v>1</v>
      </c>
      <c r="O1349" t="str">
        <f>IF(financial_fraud_data[[#This Row],[Risk_Score]]&gt;8,"High",IF(financial_fraud_data[[#This Row],[Risk_Score]]&gt;5,"Med","Low"))</f>
        <v>Med</v>
      </c>
      <c r="P1349" t="str">
        <f>TEXT(financial_fraud_data[[#This Row],[Transaction_Date]],"MMM")</f>
        <v>Feb</v>
      </c>
      <c r="Q1349" t="str">
        <f>IF(financial_fraud_data[[#This Row],[Is_Fraud]]=1,"Yes","No")</f>
        <v>Yes</v>
      </c>
    </row>
    <row r="1350" spans="1:17" x14ac:dyDescent="0.2">
      <c r="A1350" t="s">
        <v>1854</v>
      </c>
      <c r="B1350" t="s">
        <v>75</v>
      </c>
      <c r="C1350" s="1">
        <v>45348.166666666664</v>
      </c>
      <c r="D1350">
        <v>49383.1</v>
      </c>
      <c r="E1350" t="s">
        <v>42</v>
      </c>
      <c r="F1350" t="s">
        <v>17</v>
      </c>
      <c r="G1350" t="s">
        <v>65</v>
      </c>
      <c r="H1350" t="s">
        <v>36</v>
      </c>
      <c r="I1350" t="s">
        <v>24</v>
      </c>
      <c r="J1350" t="s">
        <v>51</v>
      </c>
      <c r="K1350">
        <v>0</v>
      </c>
      <c r="L1350">
        <v>2</v>
      </c>
      <c r="M1350">
        <v>8.94</v>
      </c>
      <c r="N1350">
        <v>1</v>
      </c>
      <c r="O1350" t="str">
        <f>IF(financial_fraud_data[[#This Row],[Risk_Score]]&gt;8,"High",IF(financial_fraud_data[[#This Row],[Risk_Score]]&gt;5,"Med","Low"))</f>
        <v>High</v>
      </c>
      <c r="P1350" t="str">
        <f>TEXT(financial_fraud_data[[#This Row],[Transaction_Date]],"MMM")</f>
        <v>Feb</v>
      </c>
      <c r="Q1350" t="str">
        <f>IF(financial_fraud_data[[#This Row],[Is_Fraud]]=1,"Yes","No")</f>
        <v>Yes</v>
      </c>
    </row>
    <row r="1351" spans="1:17" x14ac:dyDescent="0.2">
      <c r="A1351" t="s">
        <v>1855</v>
      </c>
      <c r="B1351" t="s">
        <v>1079</v>
      </c>
      <c r="C1351" s="1">
        <v>45348.208333333336</v>
      </c>
      <c r="D1351">
        <v>2053.4499999999998</v>
      </c>
      <c r="E1351" t="s">
        <v>42</v>
      </c>
      <c r="F1351" t="s">
        <v>27</v>
      </c>
      <c r="G1351" t="s">
        <v>35</v>
      </c>
      <c r="H1351" t="s">
        <v>24</v>
      </c>
      <c r="I1351" t="s">
        <v>36</v>
      </c>
      <c r="J1351" t="s">
        <v>37</v>
      </c>
      <c r="K1351">
        <v>1</v>
      </c>
      <c r="L1351">
        <v>3</v>
      </c>
      <c r="M1351">
        <v>7.71</v>
      </c>
      <c r="N1351">
        <v>1</v>
      </c>
      <c r="O1351" t="str">
        <f>IF(financial_fraud_data[[#This Row],[Risk_Score]]&gt;8,"High",IF(financial_fraud_data[[#This Row],[Risk_Score]]&gt;5,"Med","Low"))</f>
        <v>Med</v>
      </c>
      <c r="P1351" t="str">
        <f>TEXT(financial_fraud_data[[#This Row],[Transaction_Date]],"MMM")</f>
        <v>Feb</v>
      </c>
      <c r="Q1351" t="str">
        <f>IF(financial_fraud_data[[#This Row],[Is_Fraud]]=1,"Yes","No")</f>
        <v>Yes</v>
      </c>
    </row>
    <row r="1352" spans="1:17" x14ac:dyDescent="0.2">
      <c r="A1352" t="s">
        <v>1856</v>
      </c>
      <c r="B1352" t="s">
        <v>55</v>
      </c>
      <c r="C1352" s="1">
        <v>45348.25</v>
      </c>
      <c r="D1352">
        <v>43358.22</v>
      </c>
      <c r="E1352" t="s">
        <v>80</v>
      </c>
      <c r="F1352" t="s">
        <v>50</v>
      </c>
      <c r="G1352" t="s">
        <v>65</v>
      </c>
      <c r="H1352" t="s">
        <v>24</v>
      </c>
      <c r="I1352" t="s">
        <v>36</v>
      </c>
      <c r="J1352" t="s">
        <v>37</v>
      </c>
      <c r="K1352">
        <v>0</v>
      </c>
      <c r="L1352">
        <v>0</v>
      </c>
      <c r="M1352">
        <v>5.34</v>
      </c>
      <c r="N1352">
        <v>1</v>
      </c>
      <c r="O1352" t="str">
        <f>IF(financial_fraud_data[[#This Row],[Risk_Score]]&gt;8,"High",IF(financial_fraud_data[[#This Row],[Risk_Score]]&gt;5,"Med","Low"))</f>
        <v>Med</v>
      </c>
      <c r="P1352" t="str">
        <f>TEXT(financial_fraud_data[[#This Row],[Transaction_Date]],"MMM")</f>
        <v>Feb</v>
      </c>
      <c r="Q1352" t="str">
        <f>IF(financial_fraud_data[[#This Row],[Is_Fraud]]=1,"Yes","No")</f>
        <v>Yes</v>
      </c>
    </row>
    <row r="1353" spans="1:17" x14ac:dyDescent="0.2">
      <c r="A1353" t="s">
        <v>1857</v>
      </c>
      <c r="B1353" t="s">
        <v>251</v>
      </c>
      <c r="C1353" s="1">
        <v>45348.291666666664</v>
      </c>
      <c r="D1353">
        <v>28954.84</v>
      </c>
      <c r="E1353" t="s">
        <v>34</v>
      </c>
      <c r="F1353" t="s">
        <v>47</v>
      </c>
      <c r="G1353" t="s">
        <v>65</v>
      </c>
      <c r="H1353" t="s">
        <v>36</v>
      </c>
      <c r="I1353" t="s">
        <v>19</v>
      </c>
      <c r="J1353" t="s">
        <v>51</v>
      </c>
      <c r="K1353">
        <v>0</v>
      </c>
      <c r="L1353">
        <v>0</v>
      </c>
      <c r="M1353">
        <v>3.9</v>
      </c>
      <c r="N1353">
        <v>0</v>
      </c>
      <c r="O1353" t="str">
        <f>IF(financial_fraud_data[[#This Row],[Risk_Score]]&gt;8,"High",IF(financial_fraud_data[[#This Row],[Risk_Score]]&gt;5,"Med","Low"))</f>
        <v>Low</v>
      </c>
      <c r="P1353" t="str">
        <f>TEXT(financial_fraud_data[[#This Row],[Transaction_Date]],"MMM")</f>
        <v>Feb</v>
      </c>
      <c r="Q1353" t="str">
        <f>IF(financial_fraud_data[[#This Row],[Is_Fraud]]=1,"Yes","No")</f>
        <v>No</v>
      </c>
    </row>
    <row r="1354" spans="1:17" x14ac:dyDescent="0.2">
      <c r="A1354" t="s">
        <v>1858</v>
      </c>
      <c r="B1354" t="s">
        <v>510</v>
      </c>
      <c r="C1354" s="1">
        <v>45348.333333333336</v>
      </c>
      <c r="D1354">
        <v>21958.84</v>
      </c>
      <c r="E1354" t="s">
        <v>42</v>
      </c>
      <c r="F1354" t="s">
        <v>47</v>
      </c>
      <c r="G1354" t="s">
        <v>18</v>
      </c>
      <c r="H1354" t="s">
        <v>29</v>
      </c>
      <c r="I1354" t="s">
        <v>36</v>
      </c>
      <c r="J1354" t="s">
        <v>37</v>
      </c>
      <c r="K1354">
        <v>0</v>
      </c>
      <c r="L1354">
        <v>4</v>
      </c>
      <c r="M1354">
        <v>9.1999999999999993</v>
      </c>
      <c r="N1354">
        <v>1</v>
      </c>
      <c r="O1354" t="str">
        <f>IF(financial_fraud_data[[#This Row],[Risk_Score]]&gt;8,"High",IF(financial_fraud_data[[#This Row],[Risk_Score]]&gt;5,"Med","Low"))</f>
        <v>High</v>
      </c>
      <c r="P1354" t="str">
        <f>TEXT(financial_fraud_data[[#This Row],[Transaction_Date]],"MMM")</f>
        <v>Feb</v>
      </c>
      <c r="Q1354" t="str">
        <f>IF(financial_fraud_data[[#This Row],[Is_Fraud]]=1,"Yes","No")</f>
        <v>Yes</v>
      </c>
    </row>
    <row r="1355" spans="1:17" x14ac:dyDescent="0.2">
      <c r="A1355" t="s">
        <v>1859</v>
      </c>
      <c r="B1355" t="s">
        <v>649</v>
      </c>
      <c r="C1355" s="1">
        <v>45348.375</v>
      </c>
      <c r="D1355">
        <v>36276.620000000003</v>
      </c>
      <c r="E1355" t="s">
        <v>80</v>
      </c>
      <c r="F1355" t="s">
        <v>47</v>
      </c>
      <c r="G1355" t="s">
        <v>65</v>
      </c>
      <c r="H1355" t="s">
        <v>23</v>
      </c>
      <c r="I1355" t="s">
        <v>29</v>
      </c>
      <c r="J1355" t="s">
        <v>20</v>
      </c>
      <c r="K1355">
        <v>0</v>
      </c>
      <c r="L1355">
        <v>3</v>
      </c>
      <c r="M1355">
        <v>9.1300000000000008</v>
      </c>
      <c r="N1355">
        <v>1</v>
      </c>
      <c r="O1355" t="str">
        <f>IF(financial_fraud_data[[#This Row],[Risk_Score]]&gt;8,"High",IF(financial_fraud_data[[#This Row],[Risk_Score]]&gt;5,"Med","Low"))</f>
        <v>High</v>
      </c>
      <c r="P1355" t="str">
        <f>TEXT(financial_fraud_data[[#This Row],[Transaction_Date]],"MMM")</f>
        <v>Feb</v>
      </c>
      <c r="Q1355" t="str">
        <f>IF(financial_fraud_data[[#This Row],[Is_Fraud]]=1,"Yes","No")</f>
        <v>Yes</v>
      </c>
    </row>
    <row r="1356" spans="1:17" x14ac:dyDescent="0.2">
      <c r="A1356" t="s">
        <v>1860</v>
      </c>
      <c r="B1356" t="s">
        <v>1378</v>
      </c>
      <c r="C1356" s="1">
        <v>45348.416666666664</v>
      </c>
      <c r="D1356">
        <v>24359.11</v>
      </c>
      <c r="E1356" t="s">
        <v>16</v>
      </c>
      <c r="F1356" t="s">
        <v>47</v>
      </c>
      <c r="G1356" t="s">
        <v>56</v>
      </c>
      <c r="H1356" t="s">
        <v>23</v>
      </c>
      <c r="I1356" t="s">
        <v>36</v>
      </c>
      <c r="J1356" t="s">
        <v>37</v>
      </c>
      <c r="K1356">
        <v>0</v>
      </c>
      <c r="L1356">
        <v>0</v>
      </c>
      <c r="M1356">
        <v>3.44</v>
      </c>
      <c r="N1356">
        <v>0</v>
      </c>
      <c r="O1356" t="str">
        <f>IF(financial_fraud_data[[#This Row],[Risk_Score]]&gt;8,"High",IF(financial_fraud_data[[#This Row],[Risk_Score]]&gt;5,"Med","Low"))</f>
        <v>Low</v>
      </c>
      <c r="P1356" t="str">
        <f>TEXT(financial_fraud_data[[#This Row],[Transaction_Date]],"MMM")</f>
        <v>Feb</v>
      </c>
      <c r="Q1356" t="str">
        <f>IF(financial_fraud_data[[#This Row],[Is_Fraud]]=1,"Yes","No")</f>
        <v>No</v>
      </c>
    </row>
    <row r="1357" spans="1:17" x14ac:dyDescent="0.2">
      <c r="A1357" t="s">
        <v>1861</v>
      </c>
      <c r="B1357" t="s">
        <v>1210</v>
      </c>
      <c r="C1357" s="1">
        <v>45348.458333333336</v>
      </c>
      <c r="D1357">
        <v>43677.49</v>
      </c>
      <c r="E1357" t="s">
        <v>16</v>
      </c>
      <c r="F1357" t="s">
        <v>17</v>
      </c>
      <c r="G1357" t="s">
        <v>35</v>
      </c>
      <c r="H1357" t="s">
        <v>24</v>
      </c>
      <c r="I1357" t="s">
        <v>29</v>
      </c>
      <c r="J1357" t="s">
        <v>20</v>
      </c>
      <c r="K1357">
        <v>0</v>
      </c>
      <c r="L1357">
        <v>2</v>
      </c>
      <c r="M1357">
        <v>8.3699999999999992</v>
      </c>
      <c r="N1357">
        <v>1</v>
      </c>
      <c r="O1357" t="str">
        <f>IF(financial_fraud_data[[#This Row],[Risk_Score]]&gt;8,"High",IF(financial_fraud_data[[#This Row],[Risk_Score]]&gt;5,"Med","Low"))</f>
        <v>High</v>
      </c>
      <c r="P1357" t="str">
        <f>TEXT(financial_fraud_data[[#This Row],[Transaction_Date]],"MMM")</f>
        <v>Feb</v>
      </c>
      <c r="Q1357" t="str">
        <f>IF(financial_fraud_data[[#This Row],[Is_Fraud]]=1,"Yes","No")</f>
        <v>Yes</v>
      </c>
    </row>
    <row r="1358" spans="1:17" x14ac:dyDescent="0.2">
      <c r="A1358" t="s">
        <v>1862</v>
      </c>
      <c r="B1358" t="s">
        <v>119</v>
      </c>
      <c r="C1358" s="1">
        <v>45348.5</v>
      </c>
      <c r="D1358">
        <v>45040.06</v>
      </c>
      <c r="E1358" t="s">
        <v>42</v>
      </c>
      <c r="F1358" t="s">
        <v>50</v>
      </c>
      <c r="G1358" t="s">
        <v>28</v>
      </c>
      <c r="H1358" t="s">
        <v>24</v>
      </c>
      <c r="I1358" t="s">
        <v>23</v>
      </c>
      <c r="J1358" t="s">
        <v>37</v>
      </c>
      <c r="K1358">
        <v>0</v>
      </c>
      <c r="L1358">
        <v>3</v>
      </c>
      <c r="M1358">
        <v>10</v>
      </c>
      <c r="N1358">
        <v>1</v>
      </c>
      <c r="O1358" t="str">
        <f>IF(financial_fraud_data[[#This Row],[Risk_Score]]&gt;8,"High",IF(financial_fraud_data[[#This Row],[Risk_Score]]&gt;5,"Med","Low"))</f>
        <v>High</v>
      </c>
      <c r="P1358" t="str">
        <f>TEXT(financial_fraud_data[[#This Row],[Transaction_Date]],"MMM")</f>
        <v>Feb</v>
      </c>
      <c r="Q1358" t="str">
        <f>IF(financial_fraud_data[[#This Row],[Is_Fraud]]=1,"Yes","No")</f>
        <v>Yes</v>
      </c>
    </row>
    <row r="1359" spans="1:17" x14ac:dyDescent="0.2">
      <c r="A1359" t="s">
        <v>1863</v>
      </c>
      <c r="B1359" t="s">
        <v>621</v>
      </c>
      <c r="C1359" s="1">
        <v>45348.541666666664</v>
      </c>
      <c r="D1359">
        <v>21114.959999999999</v>
      </c>
      <c r="E1359" t="s">
        <v>16</v>
      </c>
      <c r="F1359" t="s">
        <v>50</v>
      </c>
      <c r="G1359" t="s">
        <v>18</v>
      </c>
      <c r="H1359" t="s">
        <v>24</v>
      </c>
      <c r="I1359" t="s">
        <v>19</v>
      </c>
      <c r="J1359" t="s">
        <v>37</v>
      </c>
      <c r="K1359">
        <v>0</v>
      </c>
      <c r="L1359">
        <v>1</v>
      </c>
      <c r="M1359">
        <v>4.6100000000000003</v>
      </c>
      <c r="N1359">
        <v>0</v>
      </c>
      <c r="O1359" t="str">
        <f>IF(financial_fraud_data[[#This Row],[Risk_Score]]&gt;8,"High",IF(financial_fraud_data[[#This Row],[Risk_Score]]&gt;5,"Med","Low"))</f>
        <v>Low</v>
      </c>
      <c r="P1359" t="str">
        <f>TEXT(financial_fraud_data[[#This Row],[Transaction_Date]],"MMM")</f>
        <v>Feb</v>
      </c>
      <c r="Q1359" t="str">
        <f>IF(financial_fraud_data[[#This Row],[Is_Fraud]]=1,"Yes","No")</f>
        <v>No</v>
      </c>
    </row>
    <row r="1360" spans="1:17" x14ac:dyDescent="0.2">
      <c r="A1360" t="s">
        <v>1864</v>
      </c>
      <c r="B1360" t="s">
        <v>913</v>
      </c>
      <c r="C1360" s="1">
        <v>45348.583333333336</v>
      </c>
      <c r="D1360">
        <v>13877.55</v>
      </c>
      <c r="E1360" t="s">
        <v>34</v>
      </c>
      <c r="F1360" t="s">
        <v>27</v>
      </c>
      <c r="G1360" t="s">
        <v>35</v>
      </c>
      <c r="H1360" t="s">
        <v>36</v>
      </c>
      <c r="I1360" t="s">
        <v>29</v>
      </c>
      <c r="J1360" t="s">
        <v>51</v>
      </c>
      <c r="K1360">
        <v>0</v>
      </c>
      <c r="L1360">
        <v>3</v>
      </c>
      <c r="M1360">
        <v>6.89</v>
      </c>
      <c r="N1360">
        <v>1</v>
      </c>
      <c r="O1360" t="str">
        <f>IF(financial_fraud_data[[#This Row],[Risk_Score]]&gt;8,"High",IF(financial_fraud_data[[#This Row],[Risk_Score]]&gt;5,"Med","Low"))</f>
        <v>Med</v>
      </c>
      <c r="P1360" t="str">
        <f>TEXT(financial_fraud_data[[#This Row],[Transaction_Date]],"MMM")</f>
        <v>Feb</v>
      </c>
      <c r="Q1360" t="str">
        <f>IF(financial_fraud_data[[#This Row],[Is_Fraud]]=1,"Yes","No")</f>
        <v>Yes</v>
      </c>
    </row>
    <row r="1361" spans="1:17" x14ac:dyDescent="0.2">
      <c r="A1361" t="s">
        <v>1865</v>
      </c>
      <c r="B1361" t="s">
        <v>645</v>
      </c>
      <c r="C1361" s="1">
        <v>45348.625</v>
      </c>
      <c r="D1361">
        <v>29637.9</v>
      </c>
      <c r="E1361" t="s">
        <v>16</v>
      </c>
      <c r="F1361" t="s">
        <v>50</v>
      </c>
      <c r="G1361" t="s">
        <v>35</v>
      </c>
      <c r="H1361" t="s">
        <v>29</v>
      </c>
      <c r="I1361" t="s">
        <v>36</v>
      </c>
      <c r="J1361" t="s">
        <v>20</v>
      </c>
      <c r="K1361">
        <v>1</v>
      </c>
      <c r="L1361">
        <v>3</v>
      </c>
      <c r="M1361">
        <v>10.46</v>
      </c>
      <c r="N1361">
        <v>1</v>
      </c>
      <c r="O1361" t="str">
        <f>IF(financial_fraud_data[[#This Row],[Risk_Score]]&gt;8,"High",IF(financial_fraud_data[[#This Row],[Risk_Score]]&gt;5,"Med","Low"))</f>
        <v>High</v>
      </c>
      <c r="P1361" t="str">
        <f>TEXT(financial_fraud_data[[#This Row],[Transaction_Date]],"MMM")</f>
        <v>Feb</v>
      </c>
      <c r="Q1361" t="str">
        <f>IF(financial_fraud_data[[#This Row],[Is_Fraud]]=1,"Yes","No")</f>
        <v>Yes</v>
      </c>
    </row>
    <row r="1362" spans="1:17" x14ac:dyDescent="0.2">
      <c r="A1362" t="s">
        <v>1866</v>
      </c>
      <c r="B1362" t="s">
        <v>1867</v>
      </c>
      <c r="C1362" s="1">
        <v>45348.666666666664</v>
      </c>
      <c r="D1362">
        <v>45622.55</v>
      </c>
      <c r="E1362" t="s">
        <v>16</v>
      </c>
      <c r="F1362" t="s">
        <v>50</v>
      </c>
      <c r="G1362" t="s">
        <v>56</v>
      </c>
      <c r="H1362" t="s">
        <v>23</v>
      </c>
      <c r="I1362" t="s">
        <v>19</v>
      </c>
      <c r="J1362" t="s">
        <v>51</v>
      </c>
      <c r="K1362">
        <v>0</v>
      </c>
      <c r="L1362">
        <v>0</v>
      </c>
      <c r="M1362">
        <v>5.56</v>
      </c>
      <c r="N1362">
        <v>1</v>
      </c>
      <c r="O1362" t="str">
        <f>IF(financial_fraud_data[[#This Row],[Risk_Score]]&gt;8,"High",IF(financial_fraud_data[[#This Row],[Risk_Score]]&gt;5,"Med","Low"))</f>
        <v>Med</v>
      </c>
      <c r="P1362" t="str">
        <f>TEXT(financial_fraud_data[[#This Row],[Transaction_Date]],"MMM")</f>
        <v>Feb</v>
      </c>
      <c r="Q1362" t="str">
        <f>IF(financial_fraud_data[[#This Row],[Is_Fraud]]=1,"Yes","No")</f>
        <v>Yes</v>
      </c>
    </row>
    <row r="1363" spans="1:17" x14ac:dyDescent="0.2">
      <c r="A1363" t="s">
        <v>1868</v>
      </c>
      <c r="B1363" t="s">
        <v>62</v>
      </c>
      <c r="C1363" s="1">
        <v>45348.708333333336</v>
      </c>
      <c r="D1363">
        <v>10572.58</v>
      </c>
      <c r="E1363" t="s">
        <v>34</v>
      </c>
      <c r="F1363" t="s">
        <v>50</v>
      </c>
      <c r="G1363" t="s">
        <v>65</v>
      </c>
      <c r="H1363" t="s">
        <v>19</v>
      </c>
      <c r="I1363" t="s">
        <v>19</v>
      </c>
      <c r="J1363" t="s">
        <v>37</v>
      </c>
      <c r="K1363">
        <v>1</v>
      </c>
      <c r="L1363">
        <v>4</v>
      </c>
      <c r="M1363">
        <v>9.06</v>
      </c>
      <c r="N1363">
        <v>1</v>
      </c>
      <c r="O1363" t="str">
        <f>IF(financial_fraud_data[[#This Row],[Risk_Score]]&gt;8,"High",IF(financial_fraud_data[[#This Row],[Risk_Score]]&gt;5,"Med","Low"))</f>
        <v>High</v>
      </c>
      <c r="P1363" t="str">
        <f>TEXT(financial_fraud_data[[#This Row],[Transaction_Date]],"MMM")</f>
        <v>Feb</v>
      </c>
      <c r="Q1363" t="str">
        <f>IF(financial_fraud_data[[#This Row],[Is_Fraud]]=1,"Yes","No")</f>
        <v>Yes</v>
      </c>
    </row>
    <row r="1364" spans="1:17" x14ac:dyDescent="0.2">
      <c r="A1364" t="s">
        <v>1869</v>
      </c>
      <c r="B1364" t="s">
        <v>1063</v>
      </c>
      <c r="C1364" s="1">
        <v>45348.75</v>
      </c>
      <c r="D1364">
        <v>31167.18</v>
      </c>
      <c r="E1364" t="s">
        <v>42</v>
      </c>
      <c r="F1364" t="s">
        <v>27</v>
      </c>
      <c r="G1364" t="s">
        <v>56</v>
      </c>
      <c r="H1364" t="s">
        <v>36</v>
      </c>
      <c r="I1364" t="s">
        <v>29</v>
      </c>
      <c r="J1364" t="s">
        <v>51</v>
      </c>
      <c r="K1364">
        <v>0</v>
      </c>
      <c r="L1364">
        <v>4</v>
      </c>
      <c r="M1364">
        <v>10.119999999999999</v>
      </c>
      <c r="N1364">
        <v>1</v>
      </c>
      <c r="O1364" t="str">
        <f>IF(financial_fraud_data[[#This Row],[Risk_Score]]&gt;8,"High",IF(financial_fraud_data[[#This Row],[Risk_Score]]&gt;5,"Med","Low"))</f>
        <v>High</v>
      </c>
      <c r="P1364" t="str">
        <f>TEXT(financial_fraud_data[[#This Row],[Transaction_Date]],"MMM")</f>
        <v>Feb</v>
      </c>
      <c r="Q1364" t="str">
        <f>IF(financial_fraud_data[[#This Row],[Is_Fraud]]=1,"Yes","No")</f>
        <v>Yes</v>
      </c>
    </row>
    <row r="1365" spans="1:17" x14ac:dyDescent="0.2">
      <c r="A1365" t="s">
        <v>1870</v>
      </c>
      <c r="B1365" t="s">
        <v>104</v>
      </c>
      <c r="C1365" s="1">
        <v>45348.791666666664</v>
      </c>
      <c r="D1365">
        <v>31596.43</v>
      </c>
      <c r="E1365" t="s">
        <v>42</v>
      </c>
      <c r="F1365" t="s">
        <v>47</v>
      </c>
      <c r="G1365" t="s">
        <v>65</v>
      </c>
      <c r="H1365" t="s">
        <v>23</v>
      </c>
      <c r="I1365" t="s">
        <v>29</v>
      </c>
      <c r="J1365" t="s">
        <v>37</v>
      </c>
      <c r="K1365">
        <v>0</v>
      </c>
      <c r="L1365">
        <v>0</v>
      </c>
      <c r="M1365">
        <v>4.16</v>
      </c>
      <c r="N1365">
        <v>0</v>
      </c>
      <c r="O1365" t="str">
        <f>IF(financial_fraud_data[[#This Row],[Risk_Score]]&gt;8,"High",IF(financial_fraud_data[[#This Row],[Risk_Score]]&gt;5,"Med","Low"))</f>
        <v>Low</v>
      </c>
      <c r="P1365" t="str">
        <f>TEXT(financial_fraud_data[[#This Row],[Transaction_Date]],"MMM")</f>
        <v>Feb</v>
      </c>
      <c r="Q1365" t="str">
        <f>IF(financial_fraud_data[[#This Row],[Is_Fraud]]=1,"Yes","No")</f>
        <v>No</v>
      </c>
    </row>
    <row r="1366" spans="1:17" x14ac:dyDescent="0.2">
      <c r="A1366" t="s">
        <v>1871</v>
      </c>
      <c r="B1366" t="s">
        <v>53</v>
      </c>
      <c r="C1366" s="1">
        <v>45348.833333333336</v>
      </c>
      <c r="D1366">
        <v>36669</v>
      </c>
      <c r="E1366" t="s">
        <v>34</v>
      </c>
      <c r="F1366" t="s">
        <v>50</v>
      </c>
      <c r="G1366" t="s">
        <v>65</v>
      </c>
      <c r="H1366" t="s">
        <v>29</v>
      </c>
      <c r="I1366" t="s">
        <v>24</v>
      </c>
      <c r="J1366" t="s">
        <v>37</v>
      </c>
      <c r="K1366">
        <v>0</v>
      </c>
      <c r="L1366">
        <v>0</v>
      </c>
      <c r="M1366">
        <v>4.67</v>
      </c>
      <c r="N1366">
        <v>0</v>
      </c>
      <c r="O1366" t="str">
        <f>IF(financial_fraud_data[[#This Row],[Risk_Score]]&gt;8,"High",IF(financial_fraud_data[[#This Row],[Risk_Score]]&gt;5,"Med","Low"))</f>
        <v>Low</v>
      </c>
      <c r="P1366" t="str">
        <f>TEXT(financial_fraud_data[[#This Row],[Transaction_Date]],"MMM")</f>
        <v>Feb</v>
      </c>
      <c r="Q1366" t="str">
        <f>IF(financial_fraud_data[[#This Row],[Is_Fraud]]=1,"Yes","No")</f>
        <v>No</v>
      </c>
    </row>
    <row r="1367" spans="1:17" x14ac:dyDescent="0.2">
      <c r="A1367" t="s">
        <v>1872</v>
      </c>
      <c r="B1367" t="s">
        <v>231</v>
      </c>
      <c r="C1367" s="1">
        <v>45348.875</v>
      </c>
      <c r="D1367">
        <v>6621.81</v>
      </c>
      <c r="E1367" t="s">
        <v>34</v>
      </c>
      <c r="F1367" t="s">
        <v>27</v>
      </c>
      <c r="G1367" t="s">
        <v>35</v>
      </c>
      <c r="H1367" t="s">
        <v>36</v>
      </c>
      <c r="I1367" t="s">
        <v>24</v>
      </c>
      <c r="J1367" t="s">
        <v>37</v>
      </c>
      <c r="K1367">
        <v>0</v>
      </c>
      <c r="L1367">
        <v>0</v>
      </c>
      <c r="M1367">
        <v>1.66</v>
      </c>
      <c r="N1367">
        <v>0</v>
      </c>
      <c r="O1367" t="str">
        <f>IF(financial_fraud_data[[#This Row],[Risk_Score]]&gt;8,"High",IF(financial_fraud_data[[#This Row],[Risk_Score]]&gt;5,"Med","Low"))</f>
        <v>Low</v>
      </c>
      <c r="P1367" t="str">
        <f>TEXT(financial_fraud_data[[#This Row],[Transaction_Date]],"MMM")</f>
        <v>Feb</v>
      </c>
      <c r="Q1367" t="str">
        <f>IF(financial_fraud_data[[#This Row],[Is_Fraud]]=1,"Yes","No")</f>
        <v>No</v>
      </c>
    </row>
    <row r="1368" spans="1:17" x14ac:dyDescent="0.2">
      <c r="A1368" t="s">
        <v>1873</v>
      </c>
      <c r="B1368" t="s">
        <v>1090</v>
      </c>
      <c r="C1368" s="1">
        <v>45348.916666666664</v>
      </c>
      <c r="D1368">
        <v>35805.46</v>
      </c>
      <c r="E1368" t="s">
        <v>34</v>
      </c>
      <c r="F1368" t="s">
        <v>27</v>
      </c>
      <c r="G1368" t="s">
        <v>65</v>
      </c>
      <c r="H1368" t="s">
        <v>23</v>
      </c>
      <c r="I1368" t="s">
        <v>19</v>
      </c>
      <c r="J1368" t="s">
        <v>20</v>
      </c>
      <c r="K1368">
        <v>0</v>
      </c>
      <c r="L1368">
        <v>4</v>
      </c>
      <c r="M1368">
        <v>10.58</v>
      </c>
      <c r="N1368">
        <v>1</v>
      </c>
      <c r="O1368" t="str">
        <f>IF(financial_fraud_data[[#This Row],[Risk_Score]]&gt;8,"High",IF(financial_fraud_data[[#This Row],[Risk_Score]]&gt;5,"Med","Low"))</f>
        <v>High</v>
      </c>
      <c r="P1368" t="str">
        <f>TEXT(financial_fraud_data[[#This Row],[Transaction_Date]],"MMM")</f>
        <v>Feb</v>
      </c>
      <c r="Q1368" t="str">
        <f>IF(financial_fraud_data[[#This Row],[Is_Fraud]]=1,"Yes","No")</f>
        <v>Yes</v>
      </c>
    </row>
    <row r="1369" spans="1:17" x14ac:dyDescent="0.2">
      <c r="A1369" t="s">
        <v>1874</v>
      </c>
      <c r="B1369" t="s">
        <v>46</v>
      </c>
      <c r="C1369" s="1">
        <v>45348.958333333336</v>
      </c>
      <c r="D1369">
        <v>45456.17</v>
      </c>
      <c r="E1369" t="s">
        <v>16</v>
      </c>
      <c r="F1369" t="s">
        <v>17</v>
      </c>
      <c r="G1369" t="s">
        <v>18</v>
      </c>
      <c r="H1369" t="s">
        <v>36</v>
      </c>
      <c r="I1369" t="s">
        <v>24</v>
      </c>
      <c r="J1369" t="s">
        <v>20</v>
      </c>
      <c r="K1369">
        <v>0</v>
      </c>
      <c r="L1369">
        <v>0</v>
      </c>
      <c r="M1369">
        <v>5.55</v>
      </c>
      <c r="N1369">
        <v>1</v>
      </c>
      <c r="O1369" t="str">
        <f>IF(financial_fraud_data[[#This Row],[Risk_Score]]&gt;8,"High",IF(financial_fraud_data[[#This Row],[Risk_Score]]&gt;5,"Med","Low"))</f>
        <v>Med</v>
      </c>
      <c r="P1369" t="str">
        <f>TEXT(financial_fraud_data[[#This Row],[Transaction_Date]],"MMM")</f>
        <v>Feb</v>
      </c>
      <c r="Q1369" t="str">
        <f>IF(financial_fraud_data[[#This Row],[Is_Fraud]]=1,"Yes","No")</f>
        <v>Yes</v>
      </c>
    </row>
    <row r="1370" spans="1:17" x14ac:dyDescent="0.2">
      <c r="A1370" t="s">
        <v>1875</v>
      </c>
      <c r="B1370" t="s">
        <v>407</v>
      </c>
      <c r="C1370" s="1">
        <v>45349</v>
      </c>
      <c r="D1370">
        <v>9025.17</v>
      </c>
      <c r="E1370" t="s">
        <v>34</v>
      </c>
      <c r="F1370" t="s">
        <v>27</v>
      </c>
      <c r="G1370" t="s">
        <v>18</v>
      </c>
      <c r="H1370" t="s">
        <v>23</v>
      </c>
      <c r="I1370" t="s">
        <v>36</v>
      </c>
      <c r="J1370" t="s">
        <v>20</v>
      </c>
      <c r="K1370">
        <v>0</v>
      </c>
      <c r="L1370">
        <v>1</v>
      </c>
      <c r="M1370">
        <v>3.4</v>
      </c>
      <c r="N1370">
        <v>0</v>
      </c>
      <c r="O1370" t="str">
        <f>IF(financial_fraud_data[[#This Row],[Risk_Score]]&gt;8,"High",IF(financial_fraud_data[[#This Row],[Risk_Score]]&gt;5,"Med","Low"))</f>
        <v>Low</v>
      </c>
      <c r="P1370" t="str">
        <f>TEXT(financial_fraud_data[[#This Row],[Transaction_Date]],"MMM")</f>
        <v>Feb</v>
      </c>
      <c r="Q1370" t="str">
        <f>IF(financial_fraud_data[[#This Row],[Is_Fraud]]=1,"Yes","No")</f>
        <v>No</v>
      </c>
    </row>
    <row r="1371" spans="1:17" x14ac:dyDescent="0.2">
      <c r="A1371" t="s">
        <v>1876</v>
      </c>
      <c r="B1371" t="s">
        <v>186</v>
      </c>
      <c r="C1371" s="1">
        <v>45349.041666666664</v>
      </c>
      <c r="D1371">
        <v>11915.29</v>
      </c>
      <c r="E1371" t="s">
        <v>80</v>
      </c>
      <c r="F1371" t="s">
        <v>47</v>
      </c>
      <c r="G1371" t="s">
        <v>18</v>
      </c>
      <c r="H1371" t="s">
        <v>23</v>
      </c>
      <c r="I1371" t="s">
        <v>23</v>
      </c>
      <c r="J1371" t="s">
        <v>51</v>
      </c>
      <c r="K1371">
        <v>0</v>
      </c>
      <c r="L1371">
        <v>1</v>
      </c>
      <c r="M1371">
        <v>2.69</v>
      </c>
      <c r="N1371">
        <v>0</v>
      </c>
      <c r="O1371" t="str">
        <f>IF(financial_fraud_data[[#This Row],[Risk_Score]]&gt;8,"High",IF(financial_fraud_data[[#This Row],[Risk_Score]]&gt;5,"Med","Low"))</f>
        <v>Low</v>
      </c>
      <c r="P1371" t="str">
        <f>TEXT(financial_fraud_data[[#This Row],[Transaction_Date]],"MMM")</f>
        <v>Feb</v>
      </c>
      <c r="Q1371" t="str">
        <f>IF(financial_fraud_data[[#This Row],[Is_Fraud]]=1,"Yes","No")</f>
        <v>No</v>
      </c>
    </row>
    <row r="1372" spans="1:17" x14ac:dyDescent="0.2">
      <c r="A1372" t="s">
        <v>1877</v>
      </c>
      <c r="B1372" t="s">
        <v>872</v>
      </c>
      <c r="C1372" s="1">
        <v>45349.083333333336</v>
      </c>
      <c r="D1372">
        <v>48571.18</v>
      </c>
      <c r="E1372" t="s">
        <v>16</v>
      </c>
      <c r="F1372" t="s">
        <v>50</v>
      </c>
      <c r="G1372" t="s">
        <v>35</v>
      </c>
      <c r="H1372" t="s">
        <v>29</v>
      </c>
      <c r="I1372" t="s">
        <v>19</v>
      </c>
      <c r="J1372" t="s">
        <v>37</v>
      </c>
      <c r="K1372">
        <v>1</v>
      </c>
      <c r="L1372">
        <v>2</v>
      </c>
      <c r="M1372">
        <v>10.86</v>
      </c>
      <c r="N1372">
        <v>1</v>
      </c>
      <c r="O1372" t="str">
        <f>IF(financial_fraud_data[[#This Row],[Risk_Score]]&gt;8,"High",IF(financial_fraud_data[[#This Row],[Risk_Score]]&gt;5,"Med","Low"))</f>
        <v>High</v>
      </c>
      <c r="P1372" t="str">
        <f>TEXT(financial_fraud_data[[#This Row],[Transaction_Date]],"MMM")</f>
        <v>Feb</v>
      </c>
      <c r="Q1372" t="str">
        <f>IF(financial_fraud_data[[#This Row],[Is_Fraud]]=1,"Yes","No")</f>
        <v>Yes</v>
      </c>
    </row>
    <row r="1373" spans="1:17" x14ac:dyDescent="0.2">
      <c r="A1373" t="s">
        <v>1878</v>
      </c>
      <c r="B1373" t="s">
        <v>1268</v>
      </c>
      <c r="C1373" s="1">
        <v>45349.125</v>
      </c>
      <c r="D1373">
        <v>9089.7999999999993</v>
      </c>
      <c r="E1373" t="s">
        <v>42</v>
      </c>
      <c r="F1373" t="s">
        <v>27</v>
      </c>
      <c r="G1373" t="s">
        <v>56</v>
      </c>
      <c r="H1373" t="s">
        <v>19</v>
      </c>
      <c r="I1373" t="s">
        <v>23</v>
      </c>
      <c r="J1373" t="s">
        <v>51</v>
      </c>
      <c r="K1373">
        <v>0</v>
      </c>
      <c r="L1373">
        <v>1</v>
      </c>
      <c r="M1373">
        <v>3.41</v>
      </c>
      <c r="N1373">
        <v>0</v>
      </c>
      <c r="O1373" t="str">
        <f>IF(financial_fraud_data[[#This Row],[Risk_Score]]&gt;8,"High",IF(financial_fraud_data[[#This Row],[Risk_Score]]&gt;5,"Med","Low"))</f>
        <v>Low</v>
      </c>
      <c r="P1373" t="str">
        <f>TEXT(financial_fraud_data[[#This Row],[Transaction_Date]],"MMM")</f>
        <v>Feb</v>
      </c>
      <c r="Q1373" t="str">
        <f>IF(financial_fraud_data[[#This Row],[Is_Fraud]]=1,"Yes","No")</f>
        <v>No</v>
      </c>
    </row>
    <row r="1374" spans="1:17" x14ac:dyDescent="0.2">
      <c r="A1374" t="s">
        <v>1879</v>
      </c>
      <c r="B1374" t="s">
        <v>1880</v>
      </c>
      <c r="C1374" s="1">
        <v>45349.166666666664</v>
      </c>
      <c r="D1374">
        <v>42726.54</v>
      </c>
      <c r="E1374" t="s">
        <v>42</v>
      </c>
      <c r="F1374" t="s">
        <v>47</v>
      </c>
      <c r="G1374" t="s">
        <v>28</v>
      </c>
      <c r="H1374" t="s">
        <v>29</v>
      </c>
      <c r="I1374" t="s">
        <v>24</v>
      </c>
      <c r="J1374" t="s">
        <v>51</v>
      </c>
      <c r="K1374">
        <v>0</v>
      </c>
      <c r="L1374">
        <v>3</v>
      </c>
      <c r="M1374">
        <v>9.77</v>
      </c>
      <c r="N1374">
        <v>1</v>
      </c>
      <c r="O1374" t="str">
        <f>IF(financial_fraud_data[[#This Row],[Risk_Score]]&gt;8,"High",IF(financial_fraud_data[[#This Row],[Risk_Score]]&gt;5,"Med","Low"))</f>
        <v>High</v>
      </c>
      <c r="P1374" t="str">
        <f>TEXT(financial_fraud_data[[#This Row],[Transaction_Date]],"MMM")</f>
        <v>Feb</v>
      </c>
      <c r="Q1374" t="str">
        <f>IF(financial_fraud_data[[#This Row],[Is_Fraud]]=1,"Yes","No")</f>
        <v>Yes</v>
      </c>
    </row>
    <row r="1375" spans="1:17" x14ac:dyDescent="0.2">
      <c r="A1375" t="s">
        <v>1881</v>
      </c>
      <c r="B1375" t="s">
        <v>82</v>
      </c>
      <c r="C1375" s="1">
        <v>45349.208333333336</v>
      </c>
      <c r="D1375">
        <v>24639.279999999999</v>
      </c>
      <c r="E1375" t="s">
        <v>42</v>
      </c>
      <c r="F1375" t="s">
        <v>27</v>
      </c>
      <c r="G1375" t="s">
        <v>65</v>
      </c>
      <c r="H1375" t="s">
        <v>23</v>
      </c>
      <c r="I1375" t="s">
        <v>29</v>
      </c>
      <c r="J1375" t="s">
        <v>37</v>
      </c>
      <c r="K1375">
        <v>0</v>
      </c>
      <c r="L1375">
        <v>2</v>
      </c>
      <c r="M1375">
        <v>6.46</v>
      </c>
      <c r="N1375">
        <v>1</v>
      </c>
      <c r="O1375" t="str">
        <f>IF(financial_fraud_data[[#This Row],[Risk_Score]]&gt;8,"High",IF(financial_fraud_data[[#This Row],[Risk_Score]]&gt;5,"Med","Low"))</f>
        <v>Med</v>
      </c>
      <c r="P1375" t="str">
        <f>TEXT(financial_fraud_data[[#This Row],[Transaction_Date]],"MMM")</f>
        <v>Feb</v>
      </c>
      <c r="Q1375" t="str">
        <f>IF(financial_fraud_data[[#This Row],[Is_Fraud]]=1,"Yes","No")</f>
        <v>Yes</v>
      </c>
    </row>
    <row r="1376" spans="1:17" x14ac:dyDescent="0.2">
      <c r="A1376" t="s">
        <v>1882</v>
      </c>
      <c r="B1376" t="s">
        <v>1157</v>
      </c>
      <c r="C1376" s="1">
        <v>45349.25</v>
      </c>
      <c r="D1376">
        <v>12399.19</v>
      </c>
      <c r="E1376" t="s">
        <v>16</v>
      </c>
      <c r="F1376" t="s">
        <v>27</v>
      </c>
      <c r="G1376" t="s">
        <v>28</v>
      </c>
      <c r="H1376" t="s">
        <v>36</v>
      </c>
      <c r="I1376" t="s">
        <v>19</v>
      </c>
      <c r="J1376" t="s">
        <v>51</v>
      </c>
      <c r="K1376">
        <v>1</v>
      </c>
      <c r="L1376">
        <v>1</v>
      </c>
      <c r="M1376">
        <v>5.74</v>
      </c>
      <c r="N1376">
        <v>1</v>
      </c>
      <c r="O1376" t="str">
        <f>IF(financial_fraud_data[[#This Row],[Risk_Score]]&gt;8,"High",IF(financial_fraud_data[[#This Row],[Risk_Score]]&gt;5,"Med","Low"))</f>
        <v>Med</v>
      </c>
      <c r="P1376" t="str">
        <f>TEXT(financial_fraud_data[[#This Row],[Transaction_Date]],"MMM")</f>
        <v>Feb</v>
      </c>
      <c r="Q1376" t="str">
        <f>IF(financial_fraud_data[[#This Row],[Is_Fraud]]=1,"Yes","No")</f>
        <v>Yes</v>
      </c>
    </row>
    <row r="1377" spans="1:17" x14ac:dyDescent="0.2">
      <c r="A1377" t="s">
        <v>1883</v>
      </c>
      <c r="B1377" t="s">
        <v>1884</v>
      </c>
      <c r="C1377" s="1">
        <v>45349.291666666664</v>
      </c>
      <c r="D1377">
        <v>43543.96</v>
      </c>
      <c r="E1377" t="s">
        <v>80</v>
      </c>
      <c r="F1377" t="s">
        <v>27</v>
      </c>
      <c r="G1377" t="s">
        <v>56</v>
      </c>
      <c r="H1377" t="s">
        <v>29</v>
      </c>
      <c r="I1377" t="s">
        <v>24</v>
      </c>
      <c r="J1377" t="s">
        <v>37</v>
      </c>
      <c r="K1377">
        <v>0</v>
      </c>
      <c r="L1377">
        <v>3</v>
      </c>
      <c r="M1377">
        <v>9.85</v>
      </c>
      <c r="N1377">
        <v>1</v>
      </c>
      <c r="O1377" t="str">
        <f>IF(financial_fraud_data[[#This Row],[Risk_Score]]&gt;8,"High",IF(financial_fraud_data[[#This Row],[Risk_Score]]&gt;5,"Med","Low"))</f>
        <v>High</v>
      </c>
      <c r="P1377" t="str">
        <f>TEXT(financial_fraud_data[[#This Row],[Transaction_Date]],"MMM")</f>
        <v>Feb</v>
      </c>
      <c r="Q1377" t="str">
        <f>IF(financial_fraud_data[[#This Row],[Is_Fraud]]=1,"Yes","No")</f>
        <v>Yes</v>
      </c>
    </row>
    <row r="1378" spans="1:17" x14ac:dyDescent="0.2">
      <c r="A1378" t="s">
        <v>1885</v>
      </c>
      <c r="B1378" t="s">
        <v>251</v>
      </c>
      <c r="C1378" s="1">
        <v>45349.333333333336</v>
      </c>
      <c r="D1378">
        <v>22293</v>
      </c>
      <c r="E1378" t="s">
        <v>34</v>
      </c>
      <c r="F1378" t="s">
        <v>27</v>
      </c>
      <c r="G1378" t="s">
        <v>56</v>
      </c>
      <c r="H1378" t="s">
        <v>19</v>
      </c>
      <c r="I1378" t="s">
        <v>36</v>
      </c>
      <c r="J1378" t="s">
        <v>37</v>
      </c>
      <c r="K1378">
        <v>1</v>
      </c>
      <c r="L1378">
        <v>1</v>
      </c>
      <c r="M1378">
        <v>6.73</v>
      </c>
      <c r="N1378">
        <v>1</v>
      </c>
      <c r="O1378" t="str">
        <f>IF(financial_fraud_data[[#This Row],[Risk_Score]]&gt;8,"High",IF(financial_fraud_data[[#This Row],[Risk_Score]]&gt;5,"Med","Low"))</f>
        <v>Med</v>
      </c>
      <c r="P1378" t="str">
        <f>TEXT(financial_fraud_data[[#This Row],[Transaction_Date]],"MMM")</f>
        <v>Feb</v>
      </c>
      <c r="Q1378" t="str">
        <f>IF(financial_fraud_data[[#This Row],[Is_Fraud]]=1,"Yes","No")</f>
        <v>Yes</v>
      </c>
    </row>
    <row r="1379" spans="1:17" x14ac:dyDescent="0.2">
      <c r="A1379" t="s">
        <v>1886</v>
      </c>
      <c r="B1379" t="s">
        <v>152</v>
      </c>
      <c r="C1379" s="1">
        <v>45349.375</v>
      </c>
      <c r="D1379">
        <v>25765.13</v>
      </c>
      <c r="E1379" t="s">
        <v>34</v>
      </c>
      <c r="F1379" t="s">
        <v>27</v>
      </c>
      <c r="G1379" t="s">
        <v>35</v>
      </c>
      <c r="H1379" t="s">
        <v>23</v>
      </c>
      <c r="I1379" t="s">
        <v>19</v>
      </c>
      <c r="J1379" t="s">
        <v>37</v>
      </c>
      <c r="K1379">
        <v>0</v>
      </c>
      <c r="L1379">
        <v>3</v>
      </c>
      <c r="M1379">
        <v>8.08</v>
      </c>
      <c r="N1379">
        <v>1</v>
      </c>
      <c r="O1379" t="str">
        <f>IF(financial_fraud_data[[#This Row],[Risk_Score]]&gt;8,"High",IF(financial_fraud_data[[#This Row],[Risk_Score]]&gt;5,"Med","Low"))</f>
        <v>High</v>
      </c>
      <c r="P1379" t="str">
        <f>TEXT(financial_fraud_data[[#This Row],[Transaction_Date]],"MMM")</f>
        <v>Feb</v>
      </c>
      <c r="Q1379" t="str">
        <f>IF(financial_fraud_data[[#This Row],[Is_Fraud]]=1,"Yes","No")</f>
        <v>Yes</v>
      </c>
    </row>
    <row r="1380" spans="1:17" x14ac:dyDescent="0.2">
      <c r="A1380" t="s">
        <v>1887</v>
      </c>
      <c r="B1380" t="s">
        <v>263</v>
      </c>
      <c r="C1380" s="1">
        <v>45349.416666666664</v>
      </c>
      <c r="D1380">
        <v>17993.71</v>
      </c>
      <c r="E1380" t="s">
        <v>42</v>
      </c>
      <c r="F1380" t="s">
        <v>47</v>
      </c>
      <c r="G1380" t="s">
        <v>18</v>
      </c>
      <c r="H1380" t="s">
        <v>29</v>
      </c>
      <c r="I1380" t="s">
        <v>19</v>
      </c>
      <c r="J1380" t="s">
        <v>37</v>
      </c>
      <c r="K1380">
        <v>0</v>
      </c>
      <c r="L1380">
        <v>0</v>
      </c>
      <c r="M1380">
        <v>2.8</v>
      </c>
      <c r="N1380">
        <v>0</v>
      </c>
      <c r="O1380" t="str">
        <f>IF(financial_fraud_data[[#This Row],[Risk_Score]]&gt;8,"High",IF(financial_fraud_data[[#This Row],[Risk_Score]]&gt;5,"Med","Low"))</f>
        <v>Low</v>
      </c>
      <c r="P1380" t="str">
        <f>TEXT(financial_fraud_data[[#This Row],[Transaction_Date]],"MMM")</f>
        <v>Feb</v>
      </c>
      <c r="Q1380" t="str">
        <f>IF(financial_fraud_data[[#This Row],[Is_Fraud]]=1,"Yes","No")</f>
        <v>No</v>
      </c>
    </row>
    <row r="1381" spans="1:17" x14ac:dyDescent="0.2">
      <c r="A1381" t="s">
        <v>1888</v>
      </c>
      <c r="B1381" t="s">
        <v>369</v>
      </c>
      <c r="C1381" s="1">
        <v>45349.458333333336</v>
      </c>
      <c r="D1381">
        <v>29667.9</v>
      </c>
      <c r="E1381" t="s">
        <v>42</v>
      </c>
      <c r="F1381" t="s">
        <v>50</v>
      </c>
      <c r="G1381" t="s">
        <v>18</v>
      </c>
      <c r="H1381" t="s">
        <v>29</v>
      </c>
      <c r="I1381" t="s">
        <v>29</v>
      </c>
      <c r="J1381" t="s">
        <v>51</v>
      </c>
      <c r="K1381">
        <v>0</v>
      </c>
      <c r="L1381">
        <v>3</v>
      </c>
      <c r="M1381">
        <v>7.47</v>
      </c>
      <c r="N1381">
        <v>1</v>
      </c>
      <c r="O1381" t="str">
        <f>IF(financial_fraud_data[[#This Row],[Risk_Score]]&gt;8,"High",IF(financial_fraud_data[[#This Row],[Risk_Score]]&gt;5,"Med","Low"))</f>
        <v>Med</v>
      </c>
      <c r="P1381" t="str">
        <f>TEXT(financial_fraud_data[[#This Row],[Transaction_Date]],"MMM")</f>
        <v>Feb</v>
      </c>
      <c r="Q1381" t="str">
        <f>IF(financial_fraud_data[[#This Row],[Is_Fraud]]=1,"Yes","No")</f>
        <v>Yes</v>
      </c>
    </row>
    <row r="1382" spans="1:17" x14ac:dyDescent="0.2">
      <c r="A1382" t="s">
        <v>1889</v>
      </c>
      <c r="B1382" t="s">
        <v>33</v>
      </c>
      <c r="C1382" s="1">
        <v>45349.5</v>
      </c>
      <c r="D1382">
        <v>8218.02</v>
      </c>
      <c r="E1382" t="s">
        <v>16</v>
      </c>
      <c r="F1382" t="s">
        <v>50</v>
      </c>
      <c r="G1382" t="s">
        <v>56</v>
      </c>
      <c r="H1382" t="s">
        <v>29</v>
      </c>
      <c r="I1382" t="s">
        <v>19</v>
      </c>
      <c r="J1382" t="s">
        <v>51</v>
      </c>
      <c r="K1382">
        <v>0</v>
      </c>
      <c r="L1382">
        <v>0</v>
      </c>
      <c r="M1382">
        <v>1.82</v>
      </c>
      <c r="N1382">
        <v>0</v>
      </c>
      <c r="O1382" t="str">
        <f>IF(financial_fraud_data[[#This Row],[Risk_Score]]&gt;8,"High",IF(financial_fraud_data[[#This Row],[Risk_Score]]&gt;5,"Med","Low"))</f>
        <v>Low</v>
      </c>
      <c r="P1382" t="str">
        <f>TEXT(financial_fraud_data[[#This Row],[Transaction_Date]],"MMM")</f>
        <v>Feb</v>
      </c>
      <c r="Q1382" t="str">
        <f>IF(financial_fraud_data[[#This Row],[Is_Fraud]]=1,"Yes","No")</f>
        <v>No</v>
      </c>
    </row>
    <row r="1383" spans="1:17" x14ac:dyDescent="0.2">
      <c r="A1383" t="s">
        <v>1890</v>
      </c>
      <c r="B1383" t="s">
        <v>1625</v>
      </c>
      <c r="C1383" s="1">
        <v>45349.541666666664</v>
      </c>
      <c r="D1383">
        <v>19584.52</v>
      </c>
      <c r="E1383" t="s">
        <v>80</v>
      </c>
      <c r="F1383" t="s">
        <v>50</v>
      </c>
      <c r="G1383" t="s">
        <v>35</v>
      </c>
      <c r="H1383" t="s">
        <v>29</v>
      </c>
      <c r="I1383" t="s">
        <v>29</v>
      </c>
      <c r="J1383" t="s">
        <v>51</v>
      </c>
      <c r="K1383">
        <v>1</v>
      </c>
      <c r="L1383">
        <v>3</v>
      </c>
      <c r="M1383">
        <v>8.4600000000000009</v>
      </c>
      <c r="N1383">
        <v>1</v>
      </c>
      <c r="O1383" t="str">
        <f>IF(financial_fraud_data[[#This Row],[Risk_Score]]&gt;8,"High",IF(financial_fraud_data[[#This Row],[Risk_Score]]&gt;5,"Med","Low"))</f>
        <v>High</v>
      </c>
      <c r="P1383" t="str">
        <f>TEXT(financial_fraud_data[[#This Row],[Transaction_Date]],"MMM")</f>
        <v>Feb</v>
      </c>
      <c r="Q1383" t="str">
        <f>IF(financial_fraud_data[[#This Row],[Is_Fraud]]=1,"Yes","No")</f>
        <v>Yes</v>
      </c>
    </row>
    <row r="1384" spans="1:17" x14ac:dyDescent="0.2">
      <c r="A1384" t="s">
        <v>1891</v>
      </c>
      <c r="B1384" t="s">
        <v>191</v>
      </c>
      <c r="C1384" s="1">
        <v>45349.583333333336</v>
      </c>
      <c r="D1384">
        <v>48472.15</v>
      </c>
      <c r="E1384" t="s">
        <v>34</v>
      </c>
      <c r="F1384" t="s">
        <v>50</v>
      </c>
      <c r="G1384" t="s">
        <v>35</v>
      </c>
      <c r="H1384" t="s">
        <v>36</v>
      </c>
      <c r="I1384" t="s">
        <v>24</v>
      </c>
      <c r="J1384" t="s">
        <v>20</v>
      </c>
      <c r="K1384">
        <v>0</v>
      </c>
      <c r="L1384">
        <v>3</v>
      </c>
      <c r="M1384">
        <v>10.35</v>
      </c>
      <c r="N1384">
        <v>1</v>
      </c>
      <c r="O1384" t="str">
        <f>IF(financial_fraud_data[[#This Row],[Risk_Score]]&gt;8,"High",IF(financial_fraud_data[[#This Row],[Risk_Score]]&gt;5,"Med","Low"))</f>
        <v>High</v>
      </c>
      <c r="P1384" t="str">
        <f>TEXT(financial_fraud_data[[#This Row],[Transaction_Date]],"MMM")</f>
        <v>Feb</v>
      </c>
      <c r="Q1384" t="str">
        <f>IF(financial_fraud_data[[#This Row],[Is_Fraud]]=1,"Yes","No")</f>
        <v>Yes</v>
      </c>
    </row>
    <row r="1385" spans="1:17" x14ac:dyDescent="0.2">
      <c r="A1385" t="s">
        <v>1892</v>
      </c>
      <c r="B1385" t="s">
        <v>848</v>
      </c>
      <c r="C1385" s="1">
        <v>45349.625</v>
      </c>
      <c r="D1385">
        <v>12943.76</v>
      </c>
      <c r="E1385" t="s">
        <v>16</v>
      </c>
      <c r="F1385" t="s">
        <v>47</v>
      </c>
      <c r="G1385" t="s">
        <v>65</v>
      </c>
      <c r="H1385" t="s">
        <v>19</v>
      </c>
      <c r="I1385" t="s">
        <v>36</v>
      </c>
      <c r="J1385" t="s">
        <v>51</v>
      </c>
      <c r="K1385">
        <v>1</v>
      </c>
      <c r="L1385">
        <v>1</v>
      </c>
      <c r="M1385">
        <v>5.79</v>
      </c>
      <c r="N1385">
        <v>1</v>
      </c>
      <c r="O1385" t="str">
        <f>IF(financial_fraud_data[[#This Row],[Risk_Score]]&gt;8,"High",IF(financial_fraud_data[[#This Row],[Risk_Score]]&gt;5,"Med","Low"))</f>
        <v>Med</v>
      </c>
      <c r="P1385" t="str">
        <f>TEXT(financial_fraud_data[[#This Row],[Transaction_Date]],"MMM")</f>
        <v>Feb</v>
      </c>
      <c r="Q1385" t="str">
        <f>IF(financial_fraud_data[[#This Row],[Is_Fraud]]=1,"Yes","No")</f>
        <v>Yes</v>
      </c>
    </row>
    <row r="1386" spans="1:17" x14ac:dyDescent="0.2">
      <c r="A1386" t="s">
        <v>1893</v>
      </c>
      <c r="B1386" t="s">
        <v>770</v>
      </c>
      <c r="C1386" s="1">
        <v>45349.666666666664</v>
      </c>
      <c r="D1386">
        <v>32854</v>
      </c>
      <c r="E1386" t="s">
        <v>34</v>
      </c>
      <c r="F1386" t="s">
        <v>17</v>
      </c>
      <c r="G1386" t="s">
        <v>18</v>
      </c>
      <c r="H1386" t="s">
        <v>19</v>
      </c>
      <c r="I1386" t="s">
        <v>36</v>
      </c>
      <c r="J1386" t="s">
        <v>51</v>
      </c>
      <c r="K1386">
        <v>0</v>
      </c>
      <c r="L1386">
        <v>3</v>
      </c>
      <c r="M1386">
        <v>8.7899999999999991</v>
      </c>
      <c r="N1386">
        <v>1</v>
      </c>
      <c r="O1386" t="str">
        <f>IF(financial_fraud_data[[#This Row],[Risk_Score]]&gt;8,"High",IF(financial_fraud_data[[#This Row],[Risk_Score]]&gt;5,"Med","Low"))</f>
        <v>High</v>
      </c>
      <c r="P1386" t="str">
        <f>TEXT(financial_fraud_data[[#This Row],[Transaction_Date]],"MMM")</f>
        <v>Feb</v>
      </c>
      <c r="Q1386" t="str">
        <f>IF(financial_fraud_data[[#This Row],[Is_Fraud]]=1,"Yes","No")</f>
        <v>Yes</v>
      </c>
    </row>
    <row r="1387" spans="1:17" x14ac:dyDescent="0.2">
      <c r="A1387" t="s">
        <v>1894</v>
      </c>
      <c r="B1387" t="s">
        <v>293</v>
      </c>
      <c r="C1387" s="1">
        <v>45349.708333333336</v>
      </c>
      <c r="D1387">
        <v>16293.24</v>
      </c>
      <c r="E1387" t="s">
        <v>42</v>
      </c>
      <c r="F1387" t="s">
        <v>17</v>
      </c>
      <c r="G1387" t="s">
        <v>56</v>
      </c>
      <c r="H1387" t="s">
        <v>23</v>
      </c>
      <c r="I1387" t="s">
        <v>19</v>
      </c>
      <c r="J1387" t="s">
        <v>20</v>
      </c>
      <c r="K1387">
        <v>0</v>
      </c>
      <c r="L1387">
        <v>1</v>
      </c>
      <c r="M1387">
        <v>4.13</v>
      </c>
      <c r="N1387">
        <v>0</v>
      </c>
      <c r="O1387" t="str">
        <f>IF(financial_fraud_data[[#This Row],[Risk_Score]]&gt;8,"High",IF(financial_fraud_data[[#This Row],[Risk_Score]]&gt;5,"Med","Low"))</f>
        <v>Low</v>
      </c>
      <c r="P1387" t="str">
        <f>TEXT(financial_fraud_data[[#This Row],[Transaction_Date]],"MMM")</f>
        <v>Feb</v>
      </c>
      <c r="Q1387" t="str">
        <f>IF(financial_fraud_data[[#This Row],[Is_Fraud]]=1,"Yes","No")</f>
        <v>No</v>
      </c>
    </row>
    <row r="1388" spans="1:17" x14ac:dyDescent="0.2">
      <c r="A1388" t="s">
        <v>1895</v>
      </c>
      <c r="B1388" t="s">
        <v>986</v>
      </c>
      <c r="C1388" s="1">
        <v>45349.75</v>
      </c>
      <c r="D1388">
        <v>38684.980000000003</v>
      </c>
      <c r="E1388" t="s">
        <v>34</v>
      </c>
      <c r="F1388" t="s">
        <v>47</v>
      </c>
      <c r="G1388" t="s">
        <v>28</v>
      </c>
      <c r="H1388" t="s">
        <v>24</v>
      </c>
      <c r="I1388" t="s">
        <v>19</v>
      </c>
      <c r="J1388" t="s">
        <v>37</v>
      </c>
      <c r="K1388">
        <v>0</v>
      </c>
      <c r="L1388">
        <v>3</v>
      </c>
      <c r="M1388">
        <v>9.3699999999999992</v>
      </c>
      <c r="N1388">
        <v>1</v>
      </c>
      <c r="O1388" t="str">
        <f>IF(financial_fraud_data[[#This Row],[Risk_Score]]&gt;8,"High",IF(financial_fraud_data[[#This Row],[Risk_Score]]&gt;5,"Med","Low"))</f>
        <v>High</v>
      </c>
      <c r="P1388" t="str">
        <f>TEXT(financial_fraud_data[[#This Row],[Transaction_Date]],"MMM")</f>
        <v>Feb</v>
      </c>
      <c r="Q1388" t="str">
        <f>IF(financial_fraud_data[[#This Row],[Is_Fraud]]=1,"Yes","No")</f>
        <v>Yes</v>
      </c>
    </row>
    <row r="1389" spans="1:17" x14ac:dyDescent="0.2">
      <c r="A1389" t="s">
        <v>1896</v>
      </c>
      <c r="B1389" t="s">
        <v>409</v>
      </c>
      <c r="C1389" s="1">
        <v>45349.791666666664</v>
      </c>
      <c r="D1389">
        <v>6587.14</v>
      </c>
      <c r="E1389" t="s">
        <v>80</v>
      </c>
      <c r="F1389" t="s">
        <v>47</v>
      </c>
      <c r="G1389" t="s">
        <v>18</v>
      </c>
      <c r="H1389" t="s">
        <v>36</v>
      </c>
      <c r="I1389" t="s">
        <v>24</v>
      </c>
      <c r="J1389" t="s">
        <v>37</v>
      </c>
      <c r="K1389">
        <v>0</v>
      </c>
      <c r="L1389">
        <v>4</v>
      </c>
      <c r="M1389">
        <v>7.66</v>
      </c>
      <c r="N1389">
        <v>1</v>
      </c>
      <c r="O1389" t="str">
        <f>IF(financial_fraud_data[[#This Row],[Risk_Score]]&gt;8,"High",IF(financial_fraud_data[[#This Row],[Risk_Score]]&gt;5,"Med","Low"))</f>
        <v>Med</v>
      </c>
      <c r="P1389" t="str">
        <f>TEXT(financial_fraud_data[[#This Row],[Transaction_Date]],"MMM")</f>
        <v>Feb</v>
      </c>
      <c r="Q1389" t="str">
        <f>IF(financial_fraud_data[[#This Row],[Is_Fraud]]=1,"Yes","No")</f>
        <v>Yes</v>
      </c>
    </row>
    <row r="1390" spans="1:17" x14ac:dyDescent="0.2">
      <c r="A1390" t="s">
        <v>1897</v>
      </c>
      <c r="B1390" t="s">
        <v>312</v>
      </c>
      <c r="C1390" s="1">
        <v>45349.833333333336</v>
      </c>
      <c r="D1390">
        <v>48492.56</v>
      </c>
      <c r="E1390" t="s">
        <v>80</v>
      </c>
      <c r="F1390" t="s">
        <v>27</v>
      </c>
      <c r="G1390" t="s">
        <v>65</v>
      </c>
      <c r="H1390" t="s">
        <v>23</v>
      </c>
      <c r="I1390" t="s">
        <v>29</v>
      </c>
      <c r="J1390" t="s">
        <v>37</v>
      </c>
      <c r="K1390">
        <v>0</v>
      </c>
      <c r="L1390">
        <v>2</v>
      </c>
      <c r="M1390">
        <v>8.85</v>
      </c>
      <c r="N1390">
        <v>1</v>
      </c>
      <c r="O1390" t="str">
        <f>IF(financial_fraud_data[[#This Row],[Risk_Score]]&gt;8,"High",IF(financial_fraud_data[[#This Row],[Risk_Score]]&gt;5,"Med","Low"))</f>
        <v>High</v>
      </c>
      <c r="P1390" t="str">
        <f>TEXT(financial_fraud_data[[#This Row],[Transaction_Date]],"MMM")</f>
        <v>Feb</v>
      </c>
      <c r="Q1390" t="str">
        <f>IF(financial_fraud_data[[#This Row],[Is_Fraud]]=1,"Yes","No")</f>
        <v>Yes</v>
      </c>
    </row>
    <row r="1391" spans="1:17" x14ac:dyDescent="0.2">
      <c r="A1391" t="s">
        <v>1898</v>
      </c>
      <c r="B1391" t="s">
        <v>782</v>
      </c>
      <c r="C1391" s="1">
        <v>45349.875</v>
      </c>
      <c r="D1391">
        <v>22716.79</v>
      </c>
      <c r="E1391" t="s">
        <v>42</v>
      </c>
      <c r="F1391" t="s">
        <v>27</v>
      </c>
      <c r="G1391" t="s">
        <v>35</v>
      </c>
      <c r="H1391" t="s">
        <v>23</v>
      </c>
      <c r="I1391" t="s">
        <v>36</v>
      </c>
      <c r="J1391" t="s">
        <v>20</v>
      </c>
      <c r="K1391">
        <v>0</v>
      </c>
      <c r="L1391">
        <v>1</v>
      </c>
      <c r="M1391">
        <v>4.7699999999999996</v>
      </c>
      <c r="N1391">
        <v>0</v>
      </c>
      <c r="O1391" t="str">
        <f>IF(financial_fraud_data[[#This Row],[Risk_Score]]&gt;8,"High",IF(financial_fraud_data[[#This Row],[Risk_Score]]&gt;5,"Med","Low"))</f>
        <v>Low</v>
      </c>
      <c r="P1391" t="str">
        <f>TEXT(financial_fraud_data[[#This Row],[Transaction_Date]],"MMM")</f>
        <v>Feb</v>
      </c>
      <c r="Q1391" t="str">
        <f>IF(financial_fraud_data[[#This Row],[Is_Fraud]]=1,"Yes","No")</f>
        <v>No</v>
      </c>
    </row>
    <row r="1392" spans="1:17" x14ac:dyDescent="0.2">
      <c r="A1392" t="s">
        <v>1899</v>
      </c>
      <c r="B1392" t="s">
        <v>472</v>
      </c>
      <c r="C1392" s="1">
        <v>45349.916666666664</v>
      </c>
      <c r="D1392">
        <v>11840.72</v>
      </c>
      <c r="E1392" t="s">
        <v>80</v>
      </c>
      <c r="F1392" t="s">
        <v>27</v>
      </c>
      <c r="G1392" t="s">
        <v>56</v>
      </c>
      <c r="H1392" t="s">
        <v>29</v>
      </c>
      <c r="I1392" t="s">
        <v>29</v>
      </c>
      <c r="J1392" t="s">
        <v>51</v>
      </c>
      <c r="K1392">
        <v>0</v>
      </c>
      <c r="L1392">
        <v>1</v>
      </c>
      <c r="M1392">
        <v>2.68</v>
      </c>
      <c r="N1392">
        <v>0</v>
      </c>
      <c r="O1392" t="str">
        <f>IF(financial_fraud_data[[#This Row],[Risk_Score]]&gt;8,"High",IF(financial_fraud_data[[#This Row],[Risk_Score]]&gt;5,"Med","Low"))</f>
        <v>Low</v>
      </c>
      <c r="P1392" t="str">
        <f>TEXT(financial_fraud_data[[#This Row],[Transaction_Date]],"MMM")</f>
        <v>Feb</v>
      </c>
      <c r="Q1392" t="str">
        <f>IF(financial_fraud_data[[#This Row],[Is_Fraud]]=1,"Yes","No")</f>
        <v>No</v>
      </c>
    </row>
    <row r="1393" spans="1:17" x14ac:dyDescent="0.2">
      <c r="A1393" t="s">
        <v>1900</v>
      </c>
      <c r="B1393" t="s">
        <v>345</v>
      </c>
      <c r="C1393" s="1">
        <v>45349.958333333336</v>
      </c>
      <c r="D1393">
        <v>3721.16</v>
      </c>
      <c r="E1393" t="s">
        <v>80</v>
      </c>
      <c r="F1393" t="s">
        <v>50</v>
      </c>
      <c r="G1393" t="s">
        <v>18</v>
      </c>
      <c r="H1393" t="s">
        <v>24</v>
      </c>
      <c r="I1393" t="s">
        <v>24</v>
      </c>
      <c r="J1393" t="s">
        <v>51</v>
      </c>
      <c r="K1393">
        <v>0</v>
      </c>
      <c r="L1393">
        <v>0</v>
      </c>
      <c r="M1393">
        <v>0.37</v>
      </c>
      <c r="N1393">
        <v>0</v>
      </c>
      <c r="O1393" t="str">
        <f>IF(financial_fraud_data[[#This Row],[Risk_Score]]&gt;8,"High",IF(financial_fraud_data[[#This Row],[Risk_Score]]&gt;5,"Med","Low"))</f>
        <v>Low</v>
      </c>
      <c r="P1393" t="str">
        <f>TEXT(financial_fraud_data[[#This Row],[Transaction_Date]],"MMM")</f>
        <v>Feb</v>
      </c>
      <c r="Q1393" t="str">
        <f>IF(financial_fraud_data[[#This Row],[Is_Fraud]]=1,"Yes","No")</f>
        <v>No</v>
      </c>
    </row>
    <row r="1394" spans="1:17" x14ac:dyDescent="0.2">
      <c r="A1394" t="s">
        <v>1901</v>
      </c>
      <c r="B1394" t="s">
        <v>1631</v>
      </c>
      <c r="C1394" s="1">
        <v>45350</v>
      </c>
      <c r="D1394">
        <v>8529.41</v>
      </c>
      <c r="E1394" t="s">
        <v>16</v>
      </c>
      <c r="F1394" t="s">
        <v>27</v>
      </c>
      <c r="G1394" t="s">
        <v>28</v>
      </c>
      <c r="H1394" t="s">
        <v>24</v>
      </c>
      <c r="I1394" t="s">
        <v>36</v>
      </c>
      <c r="J1394" t="s">
        <v>51</v>
      </c>
      <c r="K1394">
        <v>0</v>
      </c>
      <c r="L1394">
        <v>4</v>
      </c>
      <c r="M1394">
        <v>7.85</v>
      </c>
      <c r="N1394">
        <v>1</v>
      </c>
      <c r="O1394" t="str">
        <f>IF(financial_fraud_data[[#This Row],[Risk_Score]]&gt;8,"High",IF(financial_fraud_data[[#This Row],[Risk_Score]]&gt;5,"Med","Low"))</f>
        <v>Med</v>
      </c>
      <c r="P1394" t="str">
        <f>TEXT(financial_fraud_data[[#This Row],[Transaction_Date]],"MMM")</f>
        <v>Feb</v>
      </c>
      <c r="Q1394" t="str">
        <f>IF(financial_fraud_data[[#This Row],[Is_Fraud]]=1,"Yes","No")</f>
        <v>Yes</v>
      </c>
    </row>
    <row r="1395" spans="1:17" x14ac:dyDescent="0.2">
      <c r="A1395" t="s">
        <v>1902</v>
      </c>
      <c r="B1395" t="s">
        <v>82</v>
      </c>
      <c r="C1395" s="1">
        <v>45350.041666666664</v>
      </c>
      <c r="D1395">
        <v>26012.71</v>
      </c>
      <c r="E1395" t="s">
        <v>34</v>
      </c>
      <c r="F1395" t="s">
        <v>17</v>
      </c>
      <c r="G1395" t="s">
        <v>65</v>
      </c>
      <c r="H1395" t="s">
        <v>36</v>
      </c>
      <c r="I1395" t="s">
        <v>36</v>
      </c>
      <c r="J1395" t="s">
        <v>51</v>
      </c>
      <c r="K1395">
        <v>0</v>
      </c>
      <c r="L1395">
        <v>0</v>
      </c>
      <c r="M1395">
        <v>2.6</v>
      </c>
      <c r="N1395">
        <v>0</v>
      </c>
      <c r="O1395" t="str">
        <f>IF(financial_fraud_data[[#This Row],[Risk_Score]]&gt;8,"High",IF(financial_fraud_data[[#This Row],[Risk_Score]]&gt;5,"Med","Low"))</f>
        <v>Low</v>
      </c>
      <c r="P1395" t="str">
        <f>TEXT(financial_fraud_data[[#This Row],[Transaction_Date]],"MMM")</f>
        <v>Feb</v>
      </c>
      <c r="Q1395" t="str">
        <f>IF(financial_fraud_data[[#This Row],[Is_Fraud]]=1,"Yes","No")</f>
        <v>No</v>
      </c>
    </row>
    <row r="1396" spans="1:17" x14ac:dyDescent="0.2">
      <c r="A1396" t="s">
        <v>1903</v>
      </c>
      <c r="B1396" t="s">
        <v>33</v>
      </c>
      <c r="C1396" s="1">
        <v>45350.083333333336</v>
      </c>
      <c r="D1396">
        <v>16883.310000000001</v>
      </c>
      <c r="E1396" t="s">
        <v>42</v>
      </c>
      <c r="F1396" t="s">
        <v>50</v>
      </c>
      <c r="G1396" t="s">
        <v>65</v>
      </c>
      <c r="H1396" t="s">
        <v>24</v>
      </c>
      <c r="I1396" t="s">
        <v>23</v>
      </c>
      <c r="J1396" t="s">
        <v>20</v>
      </c>
      <c r="K1396">
        <v>0</v>
      </c>
      <c r="L1396">
        <v>4</v>
      </c>
      <c r="M1396">
        <v>8.69</v>
      </c>
      <c r="N1396">
        <v>1</v>
      </c>
      <c r="O1396" t="str">
        <f>IF(financial_fraud_data[[#This Row],[Risk_Score]]&gt;8,"High",IF(financial_fraud_data[[#This Row],[Risk_Score]]&gt;5,"Med","Low"))</f>
        <v>High</v>
      </c>
      <c r="P1396" t="str">
        <f>TEXT(financial_fraud_data[[#This Row],[Transaction_Date]],"MMM")</f>
        <v>Feb</v>
      </c>
      <c r="Q1396" t="str">
        <f>IF(financial_fraud_data[[#This Row],[Is_Fraud]]=1,"Yes","No")</f>
        <v>Yes</v>
      </c>
    </row>
    <row r="1397" spans="1:17" x14ac:dyDescent="0.2">
      <c r="A1397" t="s">
        <v>1904</v>
      </c>
      <c r="B1397" t="s">
        <v>1007</v>
      </c>
      <c r="C1397" s="1">
        <v>45350.125</v>
      </c>
      <c r="D1397">
        <v>41452.720000000001</v>
      </c>
      <c r="E1397" t="s">
        <v>42</v>
      </c>
      <c r="F1397" t="s">
        <v>27</v>
      </c>
      <c r="G1397" t="s">
        <v>18</v>
      </c>
      <c r="H1397" t="s">
        <v>23</v>
      </c>
      <c r="I1397" t="s">
        <v>24</v>
      </c>
      <c r="J1397" t="s">
        <v>51</v>
      </c>
      <c r="K1397">
        <v>0</v>
      </c>
      <c r="L1397">
        <v>4</v>
      </c>
      <c r="M1397">
        <v>11.15</v>
      </c>
      <c r="N1397">
        <v>1</v>
      </c>
      <c r="O1397" t="str">
        <f>IF(financial_fraud_data[[#This Row],[Risk_Score]]&gt;8,"High",IF(financial_fraud_data[[#This Row],[Risk_Score]]&gt;5,"Med","Low"))</f>
        <v>High</v>
      </c>
      <c r="P1397" t="str">
        <f>TEXT(financial_fraud_data[[#This Row],[Transaction_Date]],"MMM")</f>
        <v>Feb</v>
      </c>
      <c r="Q1397" t="str">
        <f>IF(financial_fraud_data[[#This Row],[Is_Fraud]]=1,"Yes","No")</f>
        <v>Yes</v>
      </c>
    </row>
    <row r="1398" spans="1:17" x14ac:dyDescent="0.2">
      <c r="A1398" t="s">
        <v>1905</v>
      </c>
      <c r="B1398" t="s">
        <v>1664</v>
      </c>
      <c r="C1398" s="1">
        <v>45350.166666666664</v>
      </c>
      <c r="D1398">
        <v>21572.83</v>
      </c>
      <c r="E1398" t="s">
        <v>42</v>
      </c>
      <c r="F1398" t="s">
        <v>50</v>
      </c>
      <c r="G1398" t="s">
        <v>28</v>
      </c>
      <c r="H1398" t="s">
        <v>24</v>
      </c>
      <c r="I1398" t="s">
        <v>24</v>
      </c>
      <c r="J1398" t="s">
        <v>37</v>
      </c>
      <c r="K1398">
        <v>0</v>
      </c>
      <c r="L1398">
        <v>3</v>
      </c>
      <c r="M1398">
        <v>6.66</v>
      </c>
      <c r="N1398">
        <v>1</v>
      </c>
      <c r="O1398" t="str">
        <f>IF(financial_fraud_data[[#This Row],[Risk_Score]]&gt;8,"High",IF(financial_fraud_data[[#This Row],[Risk_Score]]&gt;5,"Med","Low"))</f>
        <v>Med</v>
      </c>
      <c r="P1398" t="str">
        <f>TEXT(financial_fraud_data[[#This Row],[Transaction_Date]],"MMM")</f>
        <v>Feb</v>
      </c>
      <c r="Q1398" t="str">
        <f>IF(financial_fraud_data[[#This Row],[Is_Fraud]]=1,"Yes","No")</f>
        <v>Yes</v>
      </c>
    </row>
    <row r="1399" spans="1:17" x14ac:dyDescent="0.2">
      <c r="A1399" t="s">
        <v>1906</v>
      </c>
      <c r="B1399" t="s">
        <v>678</v>
      </c>
      <c r="C1399" s="1">
        <v>45350.208333333336</v>
      </c>
      <c r="D1399">
        <v>12473.28</v>
      </c>
      <c r="E1399" t="s">
        <v>42</v>
      </c>
      <c r="F1399" t="s">
        <v>17</v>
      </c>
      <c r="G1399" t="s">
        <v>65</v>
      </c>
      <c r="H1399" t="s">
        <v>24</v>
      </c>
      <c r="I1399" t="s">
        <v>23</v>
      </c>
      <c r="J1399" t="s">
        <v>20</v>
      </c>
      <c r="K1399">
        <v>1</v>
      </c>
      <c r="L1399">
        <v>0</v>
      </c>
      <c r="M1399">
        <v>4.25</v>
      </c>
      <c r="N1399">
        <v>0</v>
      </c>
      <c r="O1399" t="str">
        <f>IF(financial_fraud_data[[#This Row],[Risk_Score]]&gt;8,"High",IF(financial_fraud_data[[#This Row],[Risk_Score]]&gt;5,"Med","Low"))</f>
        <v>Low</v>
      </c>
      <c r="P1399" t="str">
        <f>TEXT(financial_fraud_data[[#This Row],[Transaction_Date]],"MMM")</f>
        <v>Feb</v>
      </c>
      <c r="Q1399" t="str">
        <f>IF(financial_fraud_data[[#This Row],[Is_Fraud]]=1,"Yes","No")</f>
        <v>No</v>
      </c>
    </row>
    <row r="1400" spans="1:17" x14ac:dyDescent="0.2">
      <c r="A1400" t="s">
        <v>1907</v>
      </c>
      <c r="B1400" t="s">
        <v>58</v>
      </c>
      <c r="C1400" s="1">
        <v>45350.25</v>
      </c>
      <c r="D1400">
        <v>30876.39</v>
      </c>
      <c r="E1400" t="s">
        <v>42</v>
      </c>
      <c r="F1400" t="s">
        <v>27</v>
      </c>
      <c r="G1400" t="s">
        <v>56</v>
      </c>
      <c r="H1400" t="s">
        <v>19</v>
      </c>
      <c r="I1400" t="s">
        <v>29</v>
      </c>
      <c r="J1400" t="s">
        <v>20</v>
      </c>
      <c r="K1400">
        <v>0</v>
      </c>
      <c r="L1400">
        <v>2</v>
      </c>
      <c r="M1400">
        <v>7.09</v>
      </c>
      <c r="N1400">
        <v>1</v>
      </c>
      <c r="O1400" t="str">
        <f>IF(financial_fraud_data[[#This Row],[Risk_Score]]&gt;8,"High",IF(financial_fraud_data[[#This Row],[Risk_Score]]&gt;5,"Med","Low"))</f>
        <v>Med</v>
      </c>
      <c r="P1400" t="str">
        <f>TEXT(financial_fraud_data[[#This Row],[Transaction_Date]],"MMM")</f>
        <v>Feb</v>
      </c>
      <c r="Q1400" t="str">
        <f>IF(financial_fraud_data[[#This Row],[Is_Fraud]]=1,"Yes","No")</f>
        <v>Yes</v>
      </c>
    </row>
    <row r="1401" spans="1:17" x14ac:dyDescent="0.2">
      <c r="A1401" t="s">
        <v>1908</v>
      </c>
      <c r="B1401" t="s">
        <v>720</v>
      </c>
      <c r="C1401" s="1">
        <v>45350.291666666664</v>
      </c>
      <c r="D1401">
        <v>35353.519999999997</v>
      </c>
      <c r="E1401" t="s">
        <v>80</v>
      </c>
      <c r="F1401" t="s">
        <v>17</v>
      </c>
      <c r="G1401" t="s">
        <v>65</v>
      </c>
      <c r="H1401" t="s">
        <v>23</v>
      </c>
      <c r="I1401" t="s">
        <v>23</v>
      </c>
      <c r="J1401" t="s">
        <v>37</v>
      </c>
      <c r="K1401">
        <v>0</v>
      </c>
      <c r="L1401">
        <v>4</v>
      </c>
      <c r="M1401">
        <v>9.5399999999999991</v>
      </c>
      <c r="N1401">
        <v>1</v>
      </c>
      <c r="O1401" t="str">
        <f>IF(financial_fraud_data[[#This Row],[Risk_Score]]&gt;8,"High",IF(financial_fraud_data[[#This Row],[Risk_Score]]&gt;5,"Med","Low"))</f>
        <v>High</v>
      </c>
      <c r="P1401" t="str">
        <f>TEXT(financial_fraud_data[[#This Row],[Transaction_Date]],"MMM")</f>
        <v>Feb</v>
      </c>
      <c r="Q1401" t="str">
        <f>IF(financial_fraud_data[[#This Row],[Is_Fraud]]=1,"Yes","No")</f>
        <v>Yes</v>
      </c>
    </row>
    <row r="1402" spans="1:17" x14ac:dyDescent="0.2">
      <c r="A1402" t="s">
        <v>1909</v>
      </c>
      <c r="B1402" t="s">
        <v>1910</v>
      </c>
      <c r="C1402" s="1">
        <v>45350.333333333336</v>
      </c>
      <c r="D1402">
        <v>8393.74</v>
      </c>
      <c r="E1402" t="s">
        <v>16</v>
      </c>
      <c r="F1402" t="s">
        <v>17</v>
      </c>
      <c r="G1402" t="s">
        <v>28</v>
      </c>
      <c r="H1402" t="s">
        <v>24</v>
      </c>
      <c r="I1402" t="s">
        <v>24</v>
      </c>
      <c r="J1402" t="s">
        <v>37</v>
      </c>
      <c r="K1402">
        <v>0</v>
      </c>
      <c r="L1402">
        <v>4</v>
      </c>
      <c r="M1402">
        <v>6.84</v>
      </c>
      <c r="N1402">
        <v>1</v>
      </c>
      <c r="O1402" t="str">
        <f>IF(financial_fraud_data[[#This Row],[Risk_Score]]&gt;8,"High",IF(financial_fraud_data[[#This Row],[Risk_Score]]&gt;5,"Med","Low"))</f>
        <v>Med</v>
      </c>
      <c r="P1402" t="str">
        <f>TEXT(financial_fraud_data[[#This Row],[Transaction_Date]],"MMM")</f>
        <v>Feb</v>
      </c>
      <c r="Q1402" t="str">
        <f>IF(financial_fraud_data[[#This Row],[Is_Fraud]]=1,"Yes","No")</f>
        <v>Yes</v>
      </c>
    </row>
    <row r="1403" spans="1:17" x14ac:dyDescent="0.2">
      <c r="A1403" t="s">
        <v>1911</v>
      </c>
      <c r="B1403" t="s">
        <v>245</v>
      </c>
      <c r="C1403" s="1">
        <v>45350.375</v>
      </c>
      <c r="D1403">
        <v>8422.58</v>
      </c>
      <c r="E1403" t="s">
        <v>42</v>
      </c>
      <c r="F1403" t="s">
        <v>17</v>
      </c>
      <c r="G1403" t="s">
        <v>35</v>
      </c>
      <c r="H1403" t="s">
        <v>24</v>
      </c>
      <c r="I1403" t="s">
        <v>29</v>
      </c>
      <c r="J1403" t="s">
        <v>51</v>
      </c>
      <c r="K1403">
        <v>0</v>
      </c>
      <c r="L1403">
        <v>1</v>
      </c>
      <c r="M1403">
        <v>3.34</v>
      </c>
      <c r="N1403">
        <v>0</v>
      </c>
      <c r="O1403" t="str">
        <f>IF(financial_fraud_data[[#This Row],[Risk_Score]]&gt;8,"High",IF(financial_fraud_data[[#This Row],[Risk_Score]]&gt;5,"Med","Low"))</f>
        <v>Low</v>
      </c>
      <c r="P1403" t="str">
        <f>TEXT(financial_fraud_data[[#This Row],[Transaction_Date]],"MMM")</f>
        <v>Feb</v>
      </c>
      <c r="Q1403" t="str">
        <f>IF(financial_fraud_data[[#This Row],[Is_Fraud]]=1,"Yes","No")</f>
        <v>No</v>
      </c>
    </row>
    <row r="1404" spans="1:17" x14ac:dyDescent="0.2">
      <c r="A1404" t="s">
        <v>1912</v>
      </c>
      <c r="B1404" t="s">
        <v>1913</v>
      </c>
      <c r="C1404" s="1">
        <v>45350.416666666664</v>
      </c>
      <c r="D1404">
        <v>1881.74</v>
      </c>
      <c r="E1404" t="s">
        <v>16</v>
      </c>
      <c r="F1404" t="s">
        <v>27</v>
      </c>
      <c r="G1404" t="s">
        <v>35</v>
      </c>
      <c r="H1404" t="s">
        <v>29</v>
      </c>
      <c r="I1404" t="s">
        <v>36</v>
      </c>
      <c r="J1404" t="s">
        <v>37</v>
      </c>
      <c r="K1404">
        <v>0</v>
      </c>
      <c r="L1404">
        <v>3</v>
      </c>
      <c r="M1404">
        <v>5.69</v>
      </c>
      <c r="N1404">
        <v>1</v>
      </c>
      <c r="O1404" t="str">
        <f>IF(financial_fraud_data[[#This Row],[Risk_Score]]&gt;8,"High",IF(financial_fraud_data[[#This Row],[Risk_Score]]&gt;5,"Med","Low"))</f>
        <v>Med</v>
      </c>
      <c r="P1404" t="str">
        <f>TEXT(financial_fraud_data[[#This Row],[Transaction_Date]],"MMM")</f>
        <v>Feb</v>
      </c>
      <c r="Q1404" t="str">
        <f>IF(financial_fraud_data[[#This Row],[Is_Fraud]]=1,"Yes","No")</f>
        <v>Yes</v>
      </c>
    </row>
    <row r="1405" spans="1:17" x14ac:dyDescent="0.2">
      <c r="A1405" t="s">
        <v>1914</v>
      </c>
      <c r="B1405" t="s">
        <v>119</v>
      </c>
      <c r="C1405" s="1">
        <v>45350.458333333336</v>
      </c>
      <c r="D1405">
        <v>36833.279999999999</v>
      </c>
      <c r="E1405" t="s">
        <v>16</v>
      </c>
      <c r="F1405" t="s">
        <v>47</v>
      </c>
      <c r="G1405" t="s">
        <v>18</v>
      </c>
      <c r="H1405" t="s">
        <v>24</v>
      </c>
      <c r="I1405" t="s">
        <v>23</v>
      </c>
      <c r="J1405" t="s">
        <v>20</v>
      </c>
      <c r="K1405">
        <v>0</v>
      </c>
      <c r="L1405">
        <v>2</v>
      </c>
      <c r="M1405">
        <v>7.68</v>
      </c>
      <c r="N1405">
        <v>1</v>
      </c>
      <c r="O1405" t="str">
        <f>IF(financial_fraud_data[[#This Row],[Risk_Score]]&gt;8,"High",IF(financial_fraud_data[[#This Row],[Risk_Score]]&gt;5,"Med","Low"))</f>
        <v>Med</v>
      </c>
      <c r="P1405" t="str">
        <f>TEXT(financial_fraud_data[[#This Row],[Transaction_Date]],"MMM")</f>
        <v>Feb</v>
      </c>
      <c r="Q1405" t="str">
        <f>IF(financial_fraud_data[[#This Row],[Is_Fraud]]=1,"Yes","No")</f>
        <v>Yes</v>
      </c>
    </row>
    <row r="1406" spans="1:17" x14ac:dyDescent="0.2">
      <c r="A1406" t="s">
        <v>1915</v>
      </c>
      <c r="B1406" t="s">
        <v>901</v>
      </c>
      <c r="C1406" s="1">
        <v>45350.5</v>
      </c>
      <c r="D1406">
        <v>33207.040000000001</v>
      </c>
      <c r="E1406" t="s">
        <v>80</v>
      </c>
      <c r="F1406" t="s">
        <v>27</v>
      </c>
      <c r="G1406" t="s">
        <v>28</v>
      </c>
      <c r="H1406" t="s">
        <v>24</v>
      </c>
      <c r="I1406" t="s">
        <v>29</v>
      </c>
      <c r="J1406" t="s">
        <v>20</v>
      </c>
      <c r="K1406">
        <v>0</v>
      </c>
      <c r="L1406">
        <v>4</v>
      </c>
      <c r="M1406">
        <v>10.32</v>
      </c>
      <c r="N1406">
        <v>1</v>
      </c>
      <c r="O1406" t="str">
        <f>IF(financial_fraud_data[[#This Row],[Risk_Score]]&gt;8,"High",IF(financial_fraud_data[[#This Row],[Risk_Score]]&gt;5,"Med","Low"))</f>
        <v>High</v>
      </c>
      <c r="P1406" t="str">
        <f>TEXT(financial_fraud_data[[#This Row],[Transaction_Date]],"MMM")</f>
        <v>Feb</v>
      </c>
      <c r="Q1406" t="str">
        <f>IF(financial_fraud_data[[#This Row],[Is_Fraud]]=1,"Yes","No")</f>
        <v>Yes</v>
      </c>
    </row>
    <row r="1407" spans="1:17" x14ac:dyDescent="0.2">
      <c r="A1407" t="s">
        <v>1916</v>
      </c>
      <c r="B1407" t="s">
        <v>1463</v>
      </c>
      <c r="C1407" s="1">
        <v>45350.541666666664</v>
      </c>
      <c r="D1407">
        <v>23757.81</v>
      </c>
      <c r="E1407" t="s">
        <v>42</v>
      </c>
      <c r="F1407" t="s">
        <v>17</v>
      </c>
      <c r="G1407" t="s">
        <v>65</v>
      </c>
      <c r="H1407" t="s">
        <v>19</v>
      </c>
      <c r="I1407" t="s">
        <v>29</v>
      </c>
      <c r="J1407" t="s">
        <v>20</v>
      </c>
      <c r="K1407">
        <v>0</v>
      </c>
      <c r="L1407">
        <v>1</v>
      </c>
      <c r="M1407">
        <v>4.88</v>
      </c>
      <c r="N1407">
        <v>0</v>
      </c>
      <c r="O1407" t="str">
        <f>IF(financial_fraud_data[[#This Row],[Risk_Score]]&gt;8,"High",IF(financial_fraud_data[[#This Row],[Risk_Score]]&gt;5,"Med","Low"))</f>
        <v>Low</v>
      </c>
      <c r="P1407" t="str">
        <f>TEXT(financial_fraud_data[[#This Row],[Transaction_Date]],"MMM")</f>
        <v>Feb</v>
      </c>
      <c r="Q1407" t="str">
        <f>IF(financial_fraud_data[[#This Row],[Is_Fraud]]=1,"Yes","No")</f>
        <v>No</v>
      </c>
    </row>
    <row r="1408" spans="1:17" x14ac:dyDescent="0.2">
      <c r="A1408" t="s">
        <v>1917</v>
      </c>
      <c r="B1408" t="s">
        <v>444</v>
      </c>
      <c r="C1408" s="1">
        <v>45350.583333333336</v>
      </c>
      <c r="D1408">
        <v>42216.31</v>
      </c>
      <c r="E1408" t="s">
        <v>80</v>
      </c>
      <c r="F1408" t="s">
        <v>27</v>
      </c>
      <c r="G1408" t="s">
        <v>65</v>
      </c>
      <c r="H1408" t="s">
        <v>23</v>
      </c>
      <c r="I1408" t="s">
        <v>29</v>
      </c>
      <c r="J1408" t="s">
        <v>51</v>
      </c>
      <c r="K1408">
        <v>0</v>
      </c>
      <c r="L1408">
        <v>0</v>
      </c>
      <c r="M1408">
        <v>5.22</v>
      </c>
      <c r="N1408">
        <v>1</v>
      </c>
      <c r="O1408" t="str">
        <f>IF(financial_fraud_data[[#This Row],[Risk_Score]]&gt;8,"High",IF(financial_fraud_data[[#This Row],[Risk_Score]]&gt;5,"Med","Low"))</f>
        <v>Med</v>
      </c>
      <c r="P1408" t="str">
        <f>TEXT(financial_fraud_data[[#This Row],[Transaction_Date]],"MMM")</f>
        <v>Feb</v>
      </c>
      <c r="Q1408" t="str">
        <f>IF(financial_fraud_data[[#This Row],[Is_Fraud]]=1,"Yes","No")</f>
        <v>Yes</v>
      </c>
    </row>
    <row r="1409" spans="1:17" x14ac:dyDescent="0.2">
      <c r="A1409" t="s">
        <v>1918</v>
      </c>
      <c r="B1409" t="s">
        <v>896</v>
      </c>
      <c r="C1409" s="1">
        <v>45350.625</v>
      </c>
      <c r="D1409">
        <v>40293.22</v>
      </c>
      <c r="E1409" t="s">
        <v>42</v>
      </c>
      <c r="F1409" t="s">
        <v>17</v>
      </c>
      <c r="G1409" t="s">
        <v>35</v>
      </c>
      <c r="H1409" t="s">
        <v>36</v>
      </c>
      <c r="I1409" t="s">
        <v>23</v>
      </c>
      <c r="J1409" t="s">
        <v>51</v>
      </c>
      <c r="K1409">
        <v>0</v>
      </c>
      <c r="L1409">
        <v>4</v>
      </c>
      <c r="M1409">
        <v>11.03</v>
      </c>
      <c r="N1409">
        <v>1</v>
      </c>
      <c r="O1409" t="str">
        <f>IF(financial_fraud_data[[#This Row],[Risk_Score]]&gt;8,"High",IF(financial_fraud_data[[#This Row],[Risk_Score]]&gt;5,"Med","Low"))</f>
        <v>High</v>
      </c>
      <c r="P1409" t="str">
        <f>TEXT(financial_fraud_data[[#This Row],[Transaction_Date]],"MMM")</f>
        <v>Feb</v>
      </c>
      <c r="Q1409" t="str">
        <f>IF(financial_fraud_data[[#This Row],[Is_Fraud]]=1,"Yes","No")</f>
        <v>Yes</v>
      </c>
    </row>
    <row r="1410" spans="1:17" x14ac:dyDescent="0.2">
      <c r="A1410" t="s">
        <v>1919</v>
      </c>
      <c r="B1410" t="s">
        <v>1120</v>
      </c>
      <c r="C1410" s="1">
        <v>45350.666666666664</v>
      </c>
      <c r="D1410">
        <v>29288.45</v>
      </c>
      <c r="E1410" t="s">
        <v>80</v>
      </c>
      <c r="F1410" t="s">
        <v>47</v>
      </c>
      <c r="G1410" t="s">
        <v>35</v>
      </c>
      <c r="H1410" t="s">
        <v>23</v>
      </c>
      <c r="I1410" t="s">
        <v>36</v>
      </c>
      <c r="J1410" t="s">
        <v>37</v>
      </c>
      <c r="K1410">
        <v>0</v>
      </c>
      <c r="L1410">
        <v>1</v>
      </c>
      <c r="M1410">
        <v>5.43</v>
      </c>
      <c r="N1410">
        <v>1</v>
      </c>
      <c r="O1410" t="str">
        <f>IF(financial_fraud_data[[#This Row],[Risk_Score]]&gt;8,"High",IF(financial_fraud_data[[#This Row],[Risk_Score]]&gt;5,"Med","Low"))</f>
        <v>Med</v>
      </c>
      <c r="P1410" t="str">
        <f>TEXT(financial_fraud_data[[#This Row],[Transaction_Date]],"MMM")</f>
        <v>Feb</v>
      </c>
      <c r="Q1410" t="str">
        <f>IF(financial_fraud_data[[#This Row],[Is_Fraud]]=1,"Yes","No")</f>
        <v>Yes</v>
      </c>
    </row>
    <row r="1411" spans="1:17" x14ac:dyDescent="0.2">
      <c r="A1411" t="s">
        <v>1920</v>
      </c>
      <c r="B1411" t="s">
        <v>433</v>
      </c>
      <c r="C1411" s="1">
        <v>45350.708333333336</v>
      </c>
      <c r="D1411">
        <v>43420.15</v>
      </c>
      <c r="E1411" t="s">
        <v>16</v>
      </c>
      <c r="F1411" t="s">
        <v>50</v>
      </c>
      <c r="G1411" t="s">
        <v>56</v>
      </c>
      <c r="H1411" t="s">
        <v>29</v>
      </c>
      <c r="I1411" t="s">
        <v>29</v>
      </c>
      <c r="J1411" t="s">
        <v>51</v>
      </c>
      <c r="K1411">
        <v>0</v>
      </c>
      <c r="L1411">
        <v>0</v>
      </c>
      <c r="M1411">
        <v>4.34</v>
      </c>
      <c r="N1411">
        <v>0</v>
      </c>
      <c r="O1411" t="str">
        <f>IF(financial_fraud_data[[#This Row],[Risk_Score]]&gt;8,"High",IF(financial_fraud_data[[#This Row],[Risk_Score]]&gt;5,"Med","Low"))</f>
        <v>Low</v>
      </c>
      <c r="P1411" t="str">
        <f>TEXT(financial_fraud_data[[#This Row],[Transaction_Date]],"MMM")</f>
        <v>Feb</v>
      </c>
      <c r="Q1411" t="str">
        <f>IF(financial_fraud_data[[#This Row],[Is_Fraud]]=1,"Yes","No")</f>
        <v>No</v>
      </c>
    </row>
    <row r="1412" spans="1:17" x14ac:dyDescent="0.2">
      <c r="A1412" t="s">
        <v>1921</v>
      </c>
      <c r="B1412" t="s">
        <v>1867</v>
      </c>
      <c r="C1412" s="1">
        <v>45350.75</v>
      </c>
      <c r="D1412">
        <v>10331.77</v>
      </c>
      <c r="E1412" t="s">
        <v>42</v>
      </c>
      <c r="F1412" t="s">
        <v>47</v>
      </c>
      <c r="G1412" t="s">
        <v>35</v>
      </c>
      <c r="H1412" t="s">
        <v>23</v>
      </c>
      <c r="I1412" t="s">
        <v>23</v>
      </c>
      <c r="J1412" t="s">
        <v>51</v>
      </c>
      <c r="K1412">
        <v>0</v>
      </c>
      <c r="L1412">
        <v>3</v>
      </c>
      <c r="M1412">
        <v>5.53</v>
      </c>
      <c r="N1412">
        <v>1</v>
      </c>
      <c r="O1412" t="str">
        <f>IF(financial_fraud_data[[#This Row],[Risk_Score]]&gt;8,"High",IF(financial_fraud_data[[#This Row],[Risk_Score]]&gt;5,"Med","Low"))</f>
        <v>Med</v>
      </c>
      <c r="P1412" t="str">
        <f>TEXT(financial_fraud_data[[#This Row],[Transaction_Date]],"MMM")</f>
        <v>Feb</v>
      </c>
      <c r="Q1412" t="str">
        <f>IF(financial_fraud_data[[#This Row],[Is_Fraud]]=1,"Yes","No")</f>
        <v>Yes</v>
      </c>
    </row>
    <row r="1413" spans="1:17" x14ac:dyDescent="0.2">
      <c r="A1413" t="s">
        <v>1922</v>
      </c>
      <c r="B1413" t="s">
        <v>1183</v>
      </c>
      <c r="C1413" s="1">
        <v>45350.791666666664</v>
      </c>
      <c r="D1413">
        <v>5640.38</v>
      </c>
      <c r="E1413" t="s">
        <v>34</v>
      </c>
      <c r="F1413" t="s">
        <v>47</v>
      </c>
      <c r="G1413" t="s">
        <v>56</v>
      </c>
      <c r="H1413" t="s">
        <v>24</v>
      </c>
      <c r="I1413" t="s">
        <v>24</v>
      </c>
      <c r="J1413" t="s">
        <v>20</v>
      </c>
      <c r="K1413">
        <v>0</v>
      </c>
      <c r="L1413">
        <v>0</v>
      </c>
      <c r="M1413">
        <v>0.56000000000000005</v>
      </c>
      <c r="N1413">
        <v>0</v>
      </c>
      <c r="O1413" t="str">
        <f>IF(financial_fraud_data[[#This Row],[Risk_Score]]&gt;8,"High",IF(financial_fraud_data[[#This Row],[Risk_Score]]&gt;5,"Med","Low"))</f>
        <v>Low</v>
      </c>
      <c r="P1413" t="str">
        <f>TEXT(financial_fraud_data[[#This Row],[Transaction_Date]],"MMM")</f>
        <v>Feb</v>
      </c>
      <c r="Q1413" t="str">
        <f>IF(financial_fraud_data[[#This Row],[Is_Fraud]]=1,"Yes","No")</f>
        <v>No</v>
      </c>
    </row>
    <row r="1414" spans="1:17" x14ac:dyDescent="0.2">
      <c r="A1414" t="s">
        <v>1923</v>
      </c>
      <c r="B1414" t="s">
        <v>182</v>
      </c>
      <c r="C1414" s="1">
        <v>45350.833333333336</v>
      </c>
      <c r="D1414">
        <v>13523.99</v>
      </c>
      <c r="E1414" t="s">
        <v>16</v>
      </c>
      <c r="F1414" t="s">
        <v>50</v>
      </c>
      <c r="G1414" t="s">
        <v>65</v>
      </c>
      <c r="H1414" t="s">
        <v>29</v>
      </c>
      <c r="I1414" t="s">
        <v>23</v>
      </c>
      <c r="J1414" t="s">
        <v>20</v>
      </c>
      <c r="K1414">
        <v>0</v>
      </c>
      <c r="L1414">
        <v>4</v>
      </c>
      <c r="M1414">
        <v>8.35</v>
      </c>
      <c r="N1414">
        <v>1</v>
      </c>
      <c r="O1414" t="str">
        <f>IF(financial_fraud_data[[#This Row],[Risk_Score]]&gt;8,"High",IF(financial_fraud_data[[#This Row],[Risk_Score]]&gt;5,"Med","Low"))</f>
        <v>High</v>
      </c>
      <c r="P1414" t="str">
        <f>TEXT(financial_fraud_data[[#This Row],[Transaction_Date]],"MMM")</f>
        <v>Feb</v>
      </c>
      <c r="Q1414" t="str">
        <f>IF(financial_fraud_data[[#This Row],[Is_Fraud]]=1,"Yes","No")</f>
        <v>Yes</v>
      </c>
    </row>
    <row r="1415" spans="1:17" x14ac:dyDescent="0.2">
      <c r="A1415" t="s">
        <v>1924</v>
      </c>
      <c r="B1415" t="s">
        <v>298</v>
      </c>
      <c r="C1415" s="1">
        <v>45350.875</v>
      </c>
      <c r="D1415">
        <v>2901.49</v>
      </c>
      <c r="E1415" t="s">
        <v>34</v>
      </c>
      <c r="F1415" t="s">
        <v>27</v>
      </c>
      <c r="G1415" t="s">
        <v>56</v>
      </c>
      <c r="H1415" t="s">
        <v>23</v>
      </c>
      <c r="I1415" t="s">
        <v>23</v>
      </c>
      <c r="J1415" t="s">
        <v>37</v>
      </c>
      <c r="K1415">
        <v>1</v>
      </c>
      <c r="L1415">
        <v>2</v>
      </c>
      <c r="M1415">
        <v>5.29</v>
      </c>
      <c r="N1415">
        <v>1</v>
      </c>
      <c r="O1415" t="str">
        <f>IF(financial_fraud_data[[#This Row],[Risk_Score]]&gt;8,"High",IF(financial_fraud_data[[#This Row],[Risk_Score]]&gt;5,"Med","Low"))</f>
        <v>Med</v>
      </c>
      <c r="P1415" t="str">
        <f>TEXT(financial_fraud_data[[#This Row],[Transaction_Date]],"MMM")</f>
        <v>Feb</v>
      </c>
      <c r="Q1415" t="str">
        <f>IF(financial_fraud_data[[#This Row],[Is_Fraud]]=1,"Yes","No")</f>
        <v>Yes</v>
      </c>
    </row>
    <row r="1416" spans="1:17" x14ac:dyDescent="0.2">
      <c r="A1416" t="s">
        <v>1925</v>
      </c>
      <c r="B1416" t="s">
        <v>201</v>
      </c>
      <c r="C1416" s="1">
        <v>45350.916666666664</v>
      </c>
      <c r="D1416">
        <v>26581.919999999998</v>
      </c>
      <c r="E1416" t="s">
        <v>16</v>
      </c>
      <c r="F1416" t="s">
        <v>50</v>
      </c>
      <c r="G1416" t="s">
        <v>56</v>
      </c>
      <c r="H1416" t="s">
        <v>29</v>
      </c>
      <c r="I1416" t="s">
        <v>23</v>
      </c>
      <c r="J1416" t="s">
        <v>20</v>
      </c>
      <c r="K1416">
        <v>0</v>
      </c>
      <c r="L1416">
        <v>0</v>
      </c>
      <c r="M1416">
        <v>3.66</v>
      </c>
      <c r="N1416">
        <v>0</v>
      </c>
      <c r="O1416" t="str">
        <f>IF(financial_fraud_data[[#This Row],[Risk_Score]]&gt;8,"High",IF(financial_fraud_data[[#This Row],[Risk_Score]]&gt;5,"Med","Low"))</f>
        <v>Low</v>
      </c>
      <c r="P1416" t="str">
        <f>TEXT(financial_fraud_data[[#This Row],[Transaction_Date]],"MMM")</f>
        <v>Feb</v>
      </c>
      <c r="Q1416" t="str">
        <f>IF(financial_fraud_data[[#This Row],[Is_Fraud]]=1,"Yes","No")</f>
        <v>No</v>
      </c>
    </row>
    <row r="1417" spans="1:17" x14ac:dyDescent="0.2">
      <c r="A1417" t="s">
        <v>1926</v>
      </c>
      <c r="B1417" t="s">
        <v>933</v>
      </c>
      <c r="C1417" s="1">
        <v>45350.958333333336</v>
      </c>
      <c r="D1417">
        <v>46833.45</v>
      </c>
      <c r="E1417" t="s">
        <v>80</v>
      </c>
      <c r="F1417" t="s">
        <v>27</v>
      </c>
      <c r="G1417" t="s">
        <v>18</v>
      </c>
      <c r="H1417" t="s">
        <v>36</v>
      </c>
      <c r="I1417" t="s">
        <v>29</v>
      </c>
      <c r="J1417" t="s">
        <v>51</v>
      </c>
      <c r="K1417">
        <v>0</v>
      </c>
      <c r="L1417">
        <v>2</v>
      </c>
      <c r="M1417">
        <v>8.68</v>
      </c>
      <c r="N1417">
        <v>1</v>
      </c>
      <c r="O1417" t="str">
        <f>IF(financial_fraud_data[[#This Row],[Risk_Score]]&gt;8,"High",IF(financial_fraud_data[[#This Row],[Risk_Score]]&gt;5,"Med","Low"))</f>
        <v>High</v>
      </c>
      <c r="P1417" t="str">
        <f>TEXT(financial_fraud_data[[#This Row],[Transaction_Date]],"MMM")</f>
        <v>Feb</v>
      </c>
      <c r="Q1417" t="str">
        <f>IF(financial_fraud_data[[#This Row],[Is_Fraud]]=1,"Yes","No")</f>
        <v>Yes</v>
      </c>
    </row>
    <row r="1418" spans="1:17" x14ac:dyDescent="0.2">
      <c r="A1418" t="s">
        <v>1927</v>
      </c>
      <c r="B1418" t="s">
        <v>1928</v>
      </c>
      <c r="C1418" s="1">
        <v>45351</v>
      </c>
      <c r="D1418">
        <v>2015.21</v>
      </c>
      <c r="E1418" t="s">
        <v>42</v>
      </c>
      <c r="F1418" t="s">
        <v>27</v>
      </c>
      <c r="G1418" t="s">
        <v>35</v>
      </c>
      <c r="H1418" t="s">
        <v>23</v>
      </c>
      <c r="I1418" t="s">
        <v>23</v>
      </c>
      <c r="J1418" t="s">
        <v>37</v>
      </c>
      <c r="K1418">
        <v>0</v>
      </c>
      <c r="L1418">
        <v>2</v>
      </c>
      <c r="M1418">
        <v>3.2</v>
      </c>
      <c r="N1418">
        <v>0</v>
      </c>
      <c r="O1418" t="str">
        <f>IF(financial_fraud_data[[#This Row],[Risk_Score]]&gt;8,"High",IF(financial_fraud_data[[#This Row],[Risk_Score]]&gt;5,"Med","Low"))</f>
        <v>Low</v>
      </c>
      <c r="P1418" t="str">
        <f>TEXT(financial_fraud_data[[#This Row],[Transaction_Date]],"MMM")</f>
        <v>Feb</v>
      </c>
      <c r="Q1418" t="str">
        <f>IF(financial_fraud_data[[#This Row],[Is_Fraud]]=1,"Yes","No")</f>
        <v>No</v>
      </c>
    </row>
    <row r="1419" spans="1:17" x14ac:dyDescent="0.2">
      <c r="A1419" t="s">
        <v>1929</v>
      </c>
      <c r="B1419" t="s">
        <v>300</v>
      </c>
      <c r="C1419" s="1">
        <v>45351.041666666664</v>
      </c>
      <c r="D1419">
        <v>6149.39</v>
      </c>
      <c r="E1419" t="s">
        <v>16</v>
      </c>
      <c r="F1419" t="s">
        <v>17</v>
      </c>
      <c r="G1419" t="s">
        <v>56</v>
      </c>
      <c r="H1419" t="s">
        <v>24</v>
      </c>
      <c r="I1419" t="s">
        <v>24</v>
      </c>
      <c r="J1419" t="s">
        <v>37</v>
      </c>
      <c r="K1419">
        <v>0</v>
      </c>
      <c r="L1419">
        <v>0</v>
      </c>
      <c r="M1419">
        <v>0.61</v>
      </c>
      <c r="N1419">
        <v>0</v>
      </c>
      <c r="O1419" t="str">
        <f>IF(financial_fraud_data[[#This Row],[Risk_Score]]&gt;8,"High",IF(financial_fraud_data[[#This Row],[Risk_Score]]&gt;5,"Med","Low"))</f>
        <v>Low</v>
      </c>
      <c r="P1419" t="str">
        <f>TEXT(financial_fraud_data[[#This Row],[Transaction_Date]],"MMM")</f>
        <v>Feb</v>
      </c>
      <c r="Q1419" t="str">
        <f>IF(financial_fraud_data[[#This Row],[Is_Fraud]]=1,"Yes","No")</f>
        <v>No</v>
      </c>
    </row>
    <row r="1420" spans="1:17" x14ac:dyDescent="0.2">
      <c r="A1420" t="s">
        <v>1930</v>
      </c>
      <c r="B1420" t="s">
        <v>243</v>
      </c>
      <c r="C1420" s="1">
        <v>45351.083333333336</v>
      </c>
      <c r="D1420">
        <v>22637.34</v>
      </c>
      <c r="E1420" t="s">
        <v>80</v>
      </c>
      <c r="F1420" t="s">
        <v>17</v>
      </c>
      <c r="G1420" t="s">
        <v>65</v>
      </c>
      <c r="H1420" t="s">
        <v>29</v>
      </c>
      <c r="I1420" t="s">
        <v>29</v>
      </c>
      <c r="J1420" t="s">
        <v>20</v>
      </c>
      <c r="K1420">
        <v>0</v>
      </c>
      <c r="L1420">
        <v>3</v>
      </c>
      <c r="M1420">
        <v>6.76</v>
      </c>
      <c r="N1420">
        <v>1</v>
      </c>
      <c r="O1420" t="str">
        <f>IF(financial_fraud_data[[#This Row],[Risk_Score]]&gt;8,"High",IF(financial_fraud_data[[#This Row],[Risk_Score]]&gt;5,"Med","Low"))</f>
        <v>Med</v>
      </c>
      <c r="P1420" t="str">
        <f>TEXT(financial_fraud_data[[#This Row],[Transaction_Date]],"MMM")</f>
        <v>Feb</v>
      </c>
      <c r="Q1420" t="str">
        <f>IF(financial_fraud_data[[#This Row],[Is_Fraud]]=1,"Yes","No")</f>
        <v>Yes</v>
      </c>
    </row>
    <row r="1421" spans="1:17" x14ac:dyDescent="0.2">
      <c r="A1421" t="s">
        <v>1931</v>
      </c>
      <c r="B1421" t="s">
        <v>1590</v>
      </c>
      <c r="C1421" s="1">
        <v>45351.125</v>
      </c>
      <c r="D1421">
        <v>46697.06</v>
      </c>
      <c r="E1421" t="s">
        <v>42</v>
      </c>
      <c r="F1421" t="s">
        <v>50</v>
      </c>
      <c r="G1421" t="s">
        <v>28</v>
      </c>
      <c r="H1421" t="s">
        <v>19</v>
      </c>
      <c r="I1421" t="s">
        <v>24</v>
      </c>
      <c r="J1421" t="s">
        <v>20</v>
      </c>
      <c r="K1421">
        <v>0</v>
      </c>
      <c r="L1421">
        <v>0</v>
      </c>
      <c r="M1421">
        <v>5.67</v>
      </c>
      <c r="N1421">
        <v>1</v>
      </c>
      <c r="O1421" t="str">
        <f>IF(financial_fraud_data[[#This Row],[Risk_Score]]&gt;8,"High",IF(financial_fraud_data[[#This Row],[Risk_Score]]&gt;5,"Med","Low"))</f>
        <v>Med</v>
      </c>
      <c r="P1421" t="str">
        <f>TEXT(financial_fraud_data[[#This Row],[Transaction_Date]],"MMM")</f>
        <v>Feb</v>
      </c>
      <c r="Q1421" t="str">
        <f>IF(financial_fraud_data[[#This Row],[Is_Fraud]]=1,"Yes","No")</f>
        <v>Yes</v>
      </c>
    </row>
    <row r="1422" spans="1:17" x14ac:dyDescent="0.2">
      <c r="A1422" t="s">
        <v>1932</v>
      </c>
      <c r="B1422" t="s">
        <v>570</v>
      </c>
      <c r="C1422" s="1">
        <v>45351.166666666664</v>
      </c>
      <c r="D1422">
        <v>15842</v>
      </c>
      <c r="E1422" t="s">
        <v>42</v>
      </c>
      <c r="F1422" t="s">
        <v>47</v>
      </c>
      <c r="G1422" t="s">
        <v>56</v>
      </c>
      <c r="H1422" t="s">
        <v>29</v>
      </c>
      <c r="I1422" t="s">
        <v>19</v>
      </c>
      <c r="J1422" t="s">
        <v>20</v>
      </c>
      <c r="K1422">
        <v>0</v>
      </c>
      <c r="L1422">
        <v>1</v>
      </c>
      <c r="M1422">
        <v>4.08</v>
      </c>
      <c r="N1422">
        <v>0</v>
      </c>
      <c r="O1422" t="str">
        <f>IF(financial_fraud_data[[#This Row],[Risk_Score]]&gt;8,"High",IF(financial_fraud_data[[#This Row],[Risk_Score]]&gt;5,"Med","Low"))</f>
        <v>Low</v>
      </c>
      <c r="P1422" t="str">
        <f>TEXT(financial_fraud_data[[#This Row],[Transaction_Date]],"MMM")</f>
        <v>Feb</v>
      </c>
      <c r="Q1422" t="str">
        <f>IF(financial_fraud_data[[#This Row],[Is_Fraud]]=1,"Yes","No")</f>
        <v>No</v>
      </c>
    </row>
    <row r="1423" spans="1:17" x14ac:dyDescent="0.2">
      <c r="A1423" t="s">
        <v>1933</v>
      </c>
      <c r="B1423" t="s">
        <v>1934</v>
      </c>
      <c r="C1423" s="1">
        <v>45351.208333333336</v>
      </c>
      <c r="D1423">
        <v>25386.38</v>
      </c>
      <c r="E1423" t="s">
        <v>16</v>
      </c>
      <c r="F1423" t="s">
        <v>50</v>
      </c>
      <c r="G1423" t="s">
        <v>35</v>
      </c>
      <c r="H1423" t="s">
        <v>19</v>
      </c>
      <c r="I1423" t="s">
        <v>23</v>
      </c>
      <c r="J1423" t="s">
        <v>37</v>
      </c>
      <c r="K1423">
        <v>0</v>
      </c>
      <c r="L1423">
        <v>2</v>
      </c>
      <c r="M1423">
        <v>6.54</v>
      </c>
      <c r="N1423">
        <v>1</v>
      </c>
      <c r="O1423" t="str">
        <f>IF(financial_fraud_data[[#This Row],[Risk_Score]]&gt;8,"High",IF(financial_fraud_data[[#This Row],[Risk_Score]]&gt;5,"Med","Low"))</f>
        <v>Med</v>
      </c>
      <c r="P1423" t="str">
        <f>TEXT(financial_fraud_data[[#This Row],[Transaction_Date]],"MMM")</f>
        <v>Feb</v>
      </c>
      <c r="Q1423" t="str">
        <f>IF(financial_fraud_data[[#This Row],[Is_Fraud]]=1,"Yes","No")</f>
        <v>Yes</v>
      </c>
    </row>
    <row r="1424" spans="1:17" x14ac:dyDescent="0.2">
      <c r="A1424" t="s">
        <v>1935</v>
      </c>
      <c r="B1424" t="s">
        <v>512</v>
      </c>
      <c r="C1424" s="1">
        <v>45351.25</v>
      </c>
      <c r="D1424">
        <v>2126.56</v>
      </c>
      <c r="E1424" t="s">
        <v>42</v>
      </c>
      <c r="F1424" t="s">
        <v>27</v>
      </c>
      <c r="G1424" t="s">
        <v>18</v>
      </c>
      <c r="H1424" t="s">
        <v>24</v>
      </c>
      <c r="I1424" t="s">
        <v>29</v>
      </c>
      <c r="J1424" t="s">
        <v>20</v>
      </c>
      <c r="K1424">
        <v>0</v>
      </c>
      <c r="L1424">
        <v>4</v>
      </c>
      <c r="M1424">
        <v>7.21</v>
      </c>
      <c r="N1424">
        <v>1</v>
      </c>
      <c r="O1424" t="str">
        <f>IF(financial_fraud_data[[#This Row],[Risk_Score]]&gt;8,"High",IF(financial_fraud_data[[#This Row],[Risk_Score]]&gt;5,"Med","Low"))</f>
        <v>Med</v>
      </c>
      <c r="P1424" t="str">
        <f>TEXT(financial_fraud_data[[#This Row],[Transaction_Date]],"MMM")</f>
        <v>Feb</v>
      </c>
      <c r="Q1424" t="str">
        <f>IF(financial_fraud_data[[#This Row],[Is_Fraud]]=1,"Yes","No")</f>
        <v>Yes</v>
      </c>
    </row>
    <row r="1425" spans="1:17" x14ac:dyDescent="0.2">
      <c r="A1425" t="s">
        <v>1936</v>
      </c>
      <c r="B1425" t="s">
        <v>618</v>
      </c>
      <c r="C1425" s="1">
        <v>45351.291666666664</v>
      </c>
      <c r="D1425">
        <v>7459.74</v>
      </c>
      <c r="E1425" t="s">
        <v>16</v>
      </c>
      <c r="F1425" t="s">
        <v>17</v>
      </c>
      <c r="G1425" t="s">
        <v>65</v>
      </c>
      <c r="H1425" t="s">
        <v>36</v>
      </c>
      <c r="I1425" t="s">
        <v>29</v>
      </c>
      <c r="J1425" t="s">
        <v>51</v>
      </c>
      <c r="K1425">
        <v>0</v>
      </c>
      <c r="L1425">
        <v>2</v>
      </c>
      <c r="M1425">
        <v>4.75</v>
      </c>
      <c r="N1425">
        <v>0</v>
      </c>
      <c r="O1425" t="str">
        <f>IF(financial_fraud_data[[#This Row],[Risk_Score]]&gt;8,"High",IF(financial_fraud_data[[#This Row],[Risk_Score]]&gt;5,"Med","Low"))</f>
        <v>Low</v>
      </c>
      <c r="P1425" t="str">
        <f>TEXT(financial_fraud_data[[#This Row],[Transaction_Date]],"MMM")</f>
        <v>Feb</v>
      </c>
      <c r="Q1425" t="str">
        <f>IF(financial_fraud_data[[#This Row],[Is_Fraud]]=1,"Yes","No")</f>
        <v>No</v>
      </c>
    </row>
    <row r="1426" spans="1:17" x14ac:dyDescent="0.2">
      <c r="A1426" t="s">
        <v>1937</v>
      </c>
      <c r="B1426" t="s">
        <v>1038</v>
      </c>
      <c r="C1426" s="1">
        <v>45351.333333333336</v>
      </c>
      <c r="D1426">
        <v>49332.17</v>
      </c>
      <c r="E1426" t="s">
        <v>42</v>
      </c>
      <c r="F1426" t="s">
        <v>50</v>
      </c>
      <c r="G1426" t="s">
        <v>18</v>
      </c>
      <c r="H1426" t="s">
        <v>19</v>
      </c>
      <c r="I1426" t="s">
        <v>23</v>
      </c>
      <c r="J1426" t="s">
        <v>37</v>
      </c>
      <c r="K1426">
        <v>1</v>
      </c>
      <c r="L1426">
        <v>4</v>
      </c>
      <c r="M1426">
        <v>13.93</v>
      </c>
      <c r="N1426">
        <v>1</v>
      </c>
      <c r="O1426" t="str">
        <f>IF(financial_fraud_data[[#This Row],[Risk_Score]]&gt;8,"High",IF(financial_fraud_data[[#This Row],[Risk_Score]]&gt;5,"Med","Low"))</f>
        <v>High</v>
      </c>
      <c r="P1426" t="str">
        <f>TEXT(financial_fraud_data[[#This Row],[Transaction_Date]],"MMM")</f>
        <v>Feb</v>
      </c>
      <c r="Q1426" t="str">
        <f>IF(financial_fraud_data[[#This Row],[Is_Fraud]]=1,"Yes","No")</f>
        <v>Yes</v>
      </c>
    </row>
    <row r="1427" spans="1:17" x14ac:dyDescent="0.2">
      <c r="A1427" t="s">
        <v>1938</v>
      </c>
      <c r="B1427" t="s">
        <v>1168</v>
      </c>
      <c r="C1427" s="1">
        <v>45351.375</v>
      </c>
      <c r="D1427">
        <v>48257.68</v>
      </c>
      <c r="E1427" t="s">
        <v>34</v>
      </c>
      <c r="F1427" t="s">
        <v>50</v>
      </c>
      <c r="G1427" t="s">
        <v>28</v>
      </c>
      <c r="H1427" t="s">
        <v>36</v>
      </c>
      <c r="I1427" t="s">
        <v>36</v>
      </c>
      <c r="J1427" t="s">
        <v>20</v>
      </c>
      <c r="K1427">
        <v>0</v>
      </c>
      <c r="L1427">
        <v>1</v>
      </c>
      <c r="M1427">
        <v>6.33</v>
      </c>
      <c r="N1427">
        <v>1</v>
      </c>
      <c r="O1427" t="str">
        <f>IF(financial_fraud_data[[#This Row],[Risk_Score]]&gt;8,"High",IF(financial_fraud_data[[#This Row],[Risk_Score]]&gt;5,"Med","Low"))</f>
        <v>Med</v>
      </c>
      <c r="P1427" t="str">
        <f>TEXT(financial_fraud_data[[#This Row],[Transaction_Date]],"MMM")</f>
        <v>Feb</v>
      </c>
      <c r="Q1427" t="str">
        <f>IF(financial_fraud_data[[#This Row],[Is_Fraud]]=1,"Yes","No")</f>
        <v>Yes</v>
      </c>
    </row>
    <row r="1428" spans="1:17" x14ac:dyDescent="0.2">
      <c r="A1428" t="s">
        <v>1939</v>
      </c>
      <c r="B1428" t="s">
        <v>164</v>
      </c>
      <c r="C1428" s="1">
        <v>45351.416666666664</v>
      </c>
      <c r="D1428">
        <v>296.75</v>
      </c>
      <c r="E1428" t="s">
        <v>80</v>
      </c>
      <c r="F1428" t="s">
        <v>17</v>
      </c>
      <c r="G1428" t="s">
        <v>56</v>
      </c>
      <c r="H1428" t="s">
        <v>29</v>
      </c>
      <c r="I1428" t="s">
        <v>36</v>
      </c>
      <c r="J1428" t="s">
        <v>51</v>
      </c>
      <c r="K1428">
        <v>1</v>
      </c>
      <c r="L1428">
        <v>1</v>
      </c>
      <c r="M1428">
        <v>4.53</v>
      </c>
      <c r="N1428">
        <v>0</v>
      </c>
      <c r="O1428" t="str">
        <f>IF(financial_fraud_data[[#This Row],[Risk_Score]]&gt;8,"High",IF(financial_fraud_data[[#This Row],[Risk_Score]]&gt;5,"Med","Low"))</f>
        <v>Low</v>
      </c>
      <c r="P1428" t="str">
        <f>TEXT(financial_fraud_data[[#This Row],[Transaction_Date]],"MMM")</f>
        <v>Feb</v>
      </c>
      <c r="Q1428" t="str">
        <f>IF(financial_fraud_data[[#This Row],[Is_Fraud]]=1,"Yes","No")</f>
        <v>No</v>
      </c>
    </row>
    <row r="1429" spans="1:17" x14ac:dyDescent="0.2">
      <c r="A1429" t="s">
        <v>1940</v>
      </c>
      <c r="B1429" t="s">
        <v>638</v>
      </c>
      <c r="C1429" s="1">
        <v>45351.458333333336</v>
      </c>
      <c r="D1429">
        <v>47593</v>
      </c>
      <c r="E1429" t="s">
        <v>34</v>
      </c>
      <c r="F1429" t="s">
        <v>17</v>
      </c>
      <c r="G1429" t="s">
        <v>56</v>
      </c>
      <c r="H1429" t="s">
        <v>24</v>
      </c>
      <c r="I1429" t="s">
        <v>24</v>
      </c>
      <c r="J1429" t="s">
        <v>51</v>
      </c>
      <c r="K1429">
        <v>0</v>
      </c>
      <c r="L1429">
        <v>1</v>
      </c>
      <c r="M1429">
        <v>6.26</v>
      </c>
      <c r="N1429">
        <v>1</v>
      </c>
      <c r="O1429" t="str">
        <f>IF(financial_fraud_data[[#This Row],[Risk_Score]]&gt;8,"High",IF(financial_fraud_data[[#This Row],[Risk_Score]]&gt;5,"Med","Low"))</f>
        <v>Med</v>
      </c>
      <c r="P1429" t="str">
        <f>TEXT(financial_fraud_data[[#This Row],[Transaction_Date]],"MMM")</f>
        <v>Feb</v>
      </c>
      <c r="Q1429" t="str">
        <f>IF(financial_fraud_data[[#This Row],[Is_Fraud]]=1,"Yes","No")</f>
        <v>Yes</v>
      </c>
    </row>
    <row r="1430" spans="1:17" x14ac:dyDescent="0.2">
      <c r="A1430" t="s">
        <v>1941</v>
      </c>
      <c r="B1430" t="s">
        <v>574</v>
      </c>
      <c r="C1430" s="1">
        <v>45351.5</v>
      </c>
      <c r="D1430">
        <v>31974.04</v>
      </c>
      <c r="E1430" t="s">
        <v>16</v>
      </c>
      <c r="F1430" t="s">
        <v>17</v>
      </c>
      <c r="G1430" t="s">
        <v>35</v>
      </c>
      <c r="H1430" t="s">
        <v>19</v>
      </c>
      <c r="I1430" t="s">
        <v>23</v>
      </c>
      <c r="J1430" t="s">
        <v>20</v>
      </c>
      <c r="K1430">
        <v>0</v>
      </c>
      <c r="L1430">
        <v>0</v>
      </c>
      <c r="M1430">
        <v>4.2</v>
      </c>
      <c r="N1430">
        <v>0</v>
      </c>
      <c r="O1430" t="str">
        <f>IF(financial_fraud_data[[#This Row],[Risk_Score]]&gt;8,"High",IF(financial_fraud_data[[#This Row],[Risk_Score]]&gt;5,"Med","Low"))</f>
        <v>Low</v>
      </c>
      <c r="P1430" t="str">
        <f>TEXT(financial_fraud_data[[#This Row],[Transaction_Date]],"MMM")</f>
        <v>Feb</v>
      </c>
      <c r="Q1430" t="str">
        <f>IF(financial_fraud_data[[#This Row],[Is_Fraud]]=1,"Yes","No")</f>
        <v>No</v>
      </c>
    </row>
    <row r="1431" spans="1:17" x14ac:dyDescent="0.2">
      <c r="A1431" t="s">
        <v>1942</v>
      </c>
      <c r="B1431" t="s">
        <v>415</v>
      </c>
      <c r="C1431" s="1">
        <v>45351.541666666664</v>
      </c>
      <c r="D1431">
        <v>43402.52</v>
      </c>
      <c r="E1431" t="s">
        <v>34</v>
      </c>
      <c r="F1431" t="s">
        <v>27</v>
      </c>
      <c r="G1431" t="s">
        <v>56</v>
      </c>
      <c r="H1431" t="s">
        <v>29</v>
      </c>
      <c r="I1431" t="s">
        <v>23</v>
      </c>
      <c r="J1431" t="s">
        <v>51</v>
      </c>
      <c r="K1431">
        <v>0</v>
      </c>
      <c r="L1431">
        <v>2</v>
      </c>
      <c r="M1431">
        <v>8.34</v>
      </c>
      <c r="N1431">
        <v>1</v>
      </c>
      <c r="O1431" t="str">
        <f>IF(financial_fraud_data[[#This Row],[Risk_Score]]&gt;8,"High",IF(financial_fraud_data[[#This Row],[Risk_Score]]&gt;5,"Med","Low"))</f>
        <v>High</v>
      </c>
      <c r="P1431" t="str">
        <f>TEXT(financial_fraud_data[[#This Row],[Transaction_Date]],"MMM")</f>
        <v>Feb</v>
      </c>
      <c r="Q1431" t="str">
        <f>IF(financial_fraud_data[[#This Row],[Is_Fraud]]=1,"Yes","No")</f>
        <v>Yes</v>
      </c>
    </row>
    <row r="1432" spans="1:17" x14ac:dyDescent="0.2">
      <c r="A1432" t="s">
        <v>1943</v>
      </c>
      <c r="B1432" t="s">
        <v>547</v>
      </c>
      <c r="C1432" s="1">
        <v>45351.583333333336</v>
      </c>
      <c r="D1432">
        <v>22764.26</v>
      </c>
      <c r="E1432" t="s">
        <v>16</v>
      </c>
      <c r="F1432" t="s">
        <v>17</v>
      </c>
      <c r="G1432" t="s">
        <v>65</v>
      </c>
      <c r="H1432" t="s">
        <v>23</v>
      </c>
      <c r="I1432" t="s">
        <v>19</v>
      </c>
      <c r="J1432" t="s">
        <v>37</v>
      </c>
      <c r="K1432">
        <v>1</v>
      </c>
      <c r="L1432">
        <v>4</v>
      </c>
      <c r="M1432">
        <v>11.28</v>
      </c>
      <c r="N1432">
        <v>1</v>
      </c>
      <c r="O1432" t="str">
        <f>IF(financial_fraud_data[[#This Row],[Risk_Score]]&gt;8,"High",IF(financial_fraud_data[[#This Row],[Risk_Score]]&gt;5,"Med","Low"))</f>
        <v>High</v>
      </c>
      <c r="P1432" t="str">
        <f>TEXT(financial_fraud_data[[#This Row],[Transaction_Date]],"MMM")</f>
        <v>Feb</v>
      </c>
      <c r="Q1432" t="str">
        <f>IF(financial_fraud_data[[#This Row],[Is_Fraud]]=1,"Yes","No")</f>
        <v>Yes</v>
      </c>
    </row>
    <row r="1433" spans="1:17" x14ac:dyDescent="0.2">
      <c r="A1433" t="s">
        <v>1944</v>
      </c>
      <c r="B1433" t="s">
        <v>274</v>
      </c>
      <c r="C1433" s="1">
        <v>45351.625</v>
      </c>
      <c r="D1433">
        <v>25804.02</v>
      </c>
      <c r="E1433" t="s">
        <v>42</v>
      </c>
      <c r="F1433" t="s">
        <v>47</v>
      </c>
      <c r="G1433" t="s">
        <v>28</v>
      </c>
      <c r="H1433" t="s">
        <v>29</v>
      </c>
      <c r="I1433" t="s">
        <v>36</v>
      </c>
      <c r="J1433" t="s">
        <v>37</v>
      </c>
      <c r="K1433">
        <v>1</v>
      </c>
      <c r="L1433">
        <v>1</v>
      </c>
      <c r="M1433">
        <v>7.08</v>
      </c>
      <c r="N1433">
        <v>1</v>
      </c>
      <c r="O1433" t="str">
        <f>IF(financial_fraud_data[[#This Row],[Risk_Score]]&gt;8,"High",IF(financial_fraud_data[[#This Row],[Risk_Score]]&gt;5,"Med","Low"))</f>
        <v>Med</v>
      </c>
      <c r="P1433" t="str">
        <f>TEXT(financial_fraud_data[[#This Row],[Transaction_Date]],"MMM")</f>
        <v>Feb</v>
      </c>
      <c r="Q1433" t="str">
        <f>IF(financial_fraud_data[[#This Row],[Is_Fraud]]=1,"Yes","No")</f>
        <v>Yes</v>
      </c>
    </row>
    <row r="1434" spans="1:17" x14ac:dyDescent="0.2">
      <c r="A1434" t="s">
        <v>1945</v>
      </c>
      <c r="B1434" t="s">
        <v>1389</v>
      </c>
      <c r="C1434" s="1">
        <v>45351.666666666664</v>
      </c>
      <c r="D1434">
        <v>24467.89</v>
      </c>
      <c r="E1434" t="s">
        <v>42</v>
      </c>
      <c r="F1434" t="s">
        <v>50</v>
      </c>
      <c r="G1434" t="s">
        <v>18</v>
      </c>
      <c r="H1434" t="s">
        <v>36</v>
      </c>
      <c r="I1434" t="s">
        <v>36</v>
      </c>
      <c r="J1434" t="s">
        <v>51</v>
      </c>
      <c r="K1434">
        <v>0</v>
      </c>
      <c r="L1434">
        <v>1</v>
      </c>
      <c r="M1434">
        <v>3.95</v>
      </c>
      <c r="N1434">
        <v>0</v>
      </c>
      <c r="O1434" t="str">
        <f>IF(financial_fraud_data[[#This Row],[Risk_Score]]&gt;8,"High",IF(financial_fraud_data[[#This Row],[Risk_Score]]&gt;5,"Med","Low"))</f>
        <v>Low</v>
      </c>
      <c r="P1434" t="str">
        <f>TEXT(financial_fraud_data[[#This Row],[Transaction_Date]],"MMM")</f>
        <v>Feb</v>
      </c>
      <c r="Q1434" t="str">
        <f>IF(financial_fraud_data[[#This Row],[Is_Fraud]]=1,"Yes","No")</f>
        <v>No</v>
      </c>
    </row>
    <row r="1435" spans="1:17" x14ac:dyDescent="0.2">
      <c r="A1435" t="s">
        <v>1946</v>
      </c>
      <c r="B1435" t="s">
        <v>742</v>
      </c>
      <c r="C1435" s="1">
        <v>45351.708333333336</v>
      </c>
      <c r="D1435">
        <v>33359.870000000003</v>
      </c>
      <c r="E1435" t="s">
        <v>16</v>
      </c>
      <c r="F1435" t="s">
        <v>17</v>
      </c>
      <c r="G1435" t="s">
        <v>28</v>
      </c>
      <c r="H1435" t="s">
        <v>24</v>
      </c>
      <c r="I1435" t="s">
        <v>23</v>
      </c>
      <c r="J1435" t="s">
        <v>37</v>
      </c>
      <c r="K1435">
        <v>0</v>
      </c>
      <c r="L1435">
        <v>4</v>
      </c>
      <c r="M1435">
        <v>10.34</v>
      </c>
      <c r="N1435">
        <v>1</v>
      </c>
      <c r="O1435" t="str">
        <f>IF(financial_fraud_data[[#This Row],[Risk_Score]]&gt;8,"High",IF(financial_fraud_data[[#This Row],[Risk_Score]]&gt;5,"Med","Low"))</f>
        <v>High</v>
      </c>
      <c r="P1435" t="str">
        <f>TEXT(financial_fraud_data[[#This Row],[Transaction_Date]],"MMM")</f>
        <v>Feb</v>
      </c>
      <c r="Q1435" t="str">
        <f>IF(financial_fraud_data[[#This Row],[Is_Fraud]]=1,"Yes","No")</f>
        <v>Yes</v>
      </c>
    </row>
    <row r="1436" spans="1:17" x14ac:dyDescent="0.2">
      <c r="A1436" t="s">
        <v>1947</v>
      </c>
      <c r="B1436" t="s">
        <v>560</v>
      </c>
      <c r="C1436" s="1">
        <v>45351.75</v>
      </c>
      <c r="D1436">
        <v>7025.58</v>
      </c>
      <c r="E1436" t="s">
        <v>34</v>
      </c>
      <c r="F1436" t="s">
        <v>17</v>
      </c>
      <c r="G1436" t="s">
        <v>56</v>
      </c>
      <c r="H1436" t="s">
        <v>24</v>
      </c>
      <c r="I1436" t="s">
        <v>24</v>
      </c>
      <c r="J1436" t="s">
        <v>20</v>
      </c>
      <c r="K1436">
        <v>0</v>
      </c>
      <c r="L1436">
        <v>2</v>
      </c>
      <c r="M1436">
        <v>3.7</v>
      </c>
      <c r="N1436">
        <v>0</v>
      </c>
      <c r="O1436" t="str">
        <f>IF(financial_fraud_data[[#This Row],[Risk_Score]]&gt;8,"High",IF(financial_fraud_data[[#This Row],[Risk_Score]]&gt;5,"Med","Low"))</f>
        <v>Low</v>
      </c>
      <c r="P1436" t="str">
        <f>TEXT(financial_fraud_data[[#This Row],[Transaction_Date]],"MMM")</f>
        <v>Feb</v>
      </c>
      <c r="Q1436" t="str">
        <f>IF(financial_fraud_data[[#This Row],[Is_Fraud]]=1,"Yes","No")</f>
        <v>No</v>
      </c>
    </row>
    <row r="1437" spans="1:17" x14ac:dyDescent="0.2">
      <c r="A1437" t="s">
        <v>1948</v>
      </c>
      <c r="B1437" t="s">
        <v>477</v>
      </c>
      <c r="C1437" s="1">
        <v>45351.791666666664</v>
      </c>
      <c r="D1437">
        <v>1547.18</v>
      </c>
      <c r="E1437" t="s">
        <v>42</v>
      </c>
      <c r="F1437" t="s">
        <v>27</v>
      </c>
      <c r="G1437" t="s">
        <v>18</v>
      </c>
      <c r="H1437" t="s">
        <v>29</v>
      </c>
      <c r="I1437" t="s">
        <v>23</v>
      </c>
      <c r="J1437" t="s">
        <v>51</v>
      </c>
      <c r="K1437">
        <v>0</v>
      </c>
      <c r="L1437">
        <v>2</v>
      </c>
      <c r="M1437">
        <v>4.1500000000000004</v>
      </c>
      <c r="N1437">
        <v>0</v>
      </c>
      <c r="O1437" t="str">
        <f>IF(financial_fraud_data[[#This Row],[Risk_Score]]&gt;8,"High",IF(financial_fraud_data[[#This Row],[Risk_Score]]&gt;5,"Med","Low"))</f>
        <v>Low</v>
      </c>
      <c r="P1437" t="str">
        <f>TEXT(financial_fraud_data[[#This Row],[Transaction_Date]],"MMM")</f>
        <v>Feb</v>
      </c>
      <c r="Q1437" t="str">
        <f>IF(financial_fraud_data[[#This Row],[Is_Fraud]]=1,"Yes","No")</f>
        <v>No</v>
      </c>
    </row>
    <row r="1438" spans="1:17" x14ac:dyDescent="0.2">
      <c r="A1438" t="s">
        <v>1949</v>
      </c>
      <c r="B1438" t="s">
        <v>593</v>
      </c>
      <c r="C1438" s="1">
        <v>45351.833333333336</v>
      </c>
      <c r="D1438">
        <v>15431.1</v>
      </c>
      <c r="E1438" t="s">
        <v>80</v>
      </c>
      <c r="F1438" t="s">
        <v>27</v>
      </c>
      <c r="G1438" t="s">
        <v>35</v>
      </c>
      <c r="H1438" t="s">
        <v>23</v>
      </c>
      <c r="I1438" t="s">
        <v>24</v>
      </c>
      <c r="J1438" t="s">
        <v>37</v>
      </c>
      <c r="K1438">
        <v>0</v>
      </c>
      <c r="L1438">
        <v>4</v>
      </c>
      <c r="M1438">
        <v>8.5399999999999991</v>
      </c>
      <c r="N1438">
        <v>1</v>
      </c>
      <c r="O1438" t="str">
        <f>IF(financial_fraud_data[[#This Row],[Risk_Score]]&gt;8,"High",IF(financial_fraud_data[[#This Row],[Risk_Score]]&gt;5,"Med","Low"))</f>
        <v>High</v>
      </c>
      <c r="P1438" t="str">
        <f>TEXT(financial_fraud_data[[#This Row],[Transaction_Date]],"MMM")</f>
        <v>Feb</v>
      </c>
      <c r="Q1438" t="str">
        <f>IF(financial_fraud_data[[#This Row],[Is_Fraud]]=1,"Yes","No")</f>
        <v>Yes</v>
      </c>
    </row>
    <row r="1439" spans="1:17" x14ac:dyDescent="0.2">
      <c r="A1439" t="s">
        <v>1950</v>
      </c>
      <c r="B1439" t="s">
        <v>1243</v>
      </c>
      <c r="C1439" s="1">
        <v>45351.875</v>
      </c>
      <c r="D1439">
        <v>35248.800000000003</v>
      </c>
      <c r="E1439" t="s">
        <v>42</v>
      </c>
      <c r="F1439" t="s">
        <v>50</v>
      </c>
      <c r="G1439" t="s">
        <v>28</v>
      </c>
      <c r="H1439" t="s">
        <v>36</v>
      </c>
      <c r="I1439" t="s">
        <v>36</v>
      </c>
      <c r="J1439" t="s">
        <v>20</v>
      </c>
      <c r="K1439">
        <v>0</v>
      </c>
      <c r="L1439">
        <v>3</v>
      </c>
      <c r="M1439">
        <v>8.02</v>
      </c>
      <c r="N1439">
        <v>1</v>
      </c>
      <c r="O1439" t="str">
        <f>IF(financial_fraud_data[[#This Row],[Risk_Score]]&gt;8,"High",IF(financial_fraud_data[[#This Row],[Risk_Score]]&gt;5,"Med","Low"))</f>
        <v>High</v>
      </c>
      <c r="P1439" t="str">
        <f>TEXT(financial_fraud_data[[#This Row],[Transaction_Date]],"MMM")</f>
        <v>Feb</v>
      </c>
      <c r="Q1439" t="str">
        <f>IF(financial_fraud_data[[#This Row],[Is_Fraud]]=1,"Yes","No")</f>
        <v>Yes</v>
      </c>
    </row>
    <row r="1440" spans="1:17" x14ac:dyDescent="0.2">
      <c r="A1440" t="s">
        <v>1951</v>
      </c>
      <c r="B1440" t="s">
        <v>868</v>
      </c>
      <c r="C1440" s="1">
        <v>45351.916666666664</v>
      </c>
      <c r="D1440">
        <v>10132.58</v>
      </c>
      <c r="E1440" t="s">
        <v>80</v>
      </c>
      <c r="F1440" t="s">
        <v>47</v>
      </c>
      <c r="G1440" t="s">
        <v>18</v>
      </c>
      <c r="H1440" t="s">
        <v>29</v>
      </c>
      <c r="I1440" t="s">
        <v>19</v>
      </c>
      <c r="J1440" t="s">
        <v>20</v>
      </c>
      <c r="K1440">
        <v>1</v>
      </c>
      <c r="L1440">
        <v>2</v>
      </c>
      <c r="M1440">
        <v>7.01</v>
      </c>
      <c r="N1440">
        <v>1</v>
      </c>
      <c r="O1440" t="str">
        <f>IF(financial_fraud_data[[#This Row],[Risk_Score]]&gt;8,"High",IF(financial_fraud_data[[#This Row],[Risk_Score]]&gt;5,"Med","Low"))</f>
        <v>Med</v>
      </c>
      <c r="P1440" t="str">
        <f>TEXT(financial_fraud_data[[#This Row],[Transaction_Date]],"MMM")</f>
        <v>Feb</v>
      </c>
      <c r="Q1440" t="str">
        <f>IF(financial_fraud_data[[#This Row],[Is_Fraud]]=1,"Yes","No")</f>
        <v>Yes</v>
      </c>
    </row>
    <row r="1441" spans="1:17" x14ac:dyDescent="0.2">
      <c r="A1441" t="s">
        <v>1952</v>
      </c>
      <c r="B1441" t="s">
        <v>625</v>
      </c>
      <c r="C1441" s="1">
        <v>45351.958333333336</v>
      </c>
      <c r="D1441">
        <v>33687.949999999997</v>
      </c>
      <c r="E1441" t="s">
        <v>34</v>
      </c>
      <c r="F1441" t="s">
        <v>50</v>
      </c>
      <c r="G1441" t="s">
        <v>18</v>
      </c>
      <c r="H1441" t="s">
        <v>29</v>
      </c>
      <c r="I1441" t="s">
        <v>29</v>
      </c>
      <c r="J1441" t="s">
        <v>37</v>
      </c>
      <c r="K1441">
        <v>0</v>
      </c>
      <c r="L1441">
        <v>4</v>
      </c>
      <c r="M1441">
        <v>9.3699999999999992</v>
      </c>
      <c r="N1441">
        <v>1</v>
      </c>
      <c r="O1441" t="str">
        <f>IF(financial_fraud_data[[#This Row],[Risk_Score]]&gt;8,"High",IF(financial_fraud_data[[#This Row],[Risk_Score]]&gt;5,"Med","Low"))</f>
        <v>High</v>
      </c>
      <c r="P1441" t="str">
        <f>TEXT(financial_fraud_data[[#This Row],[Transaction_Date]],"MMM")</f>
        <v>Feb</v>
      </c>
      <c r="Q1441" t="str">
        <f>IF(financial_fraud_data[[#This Row],[Is_Fraud]]=1,"Yes","No")</f>
        <v>Yes</v>
      </c>
    </row>
    <row r="1442" spans="1:17" x14ac:dyDescent="0.2">
      <c r="A1442" t="s">
        <v>1953</v>
      </c>
      <c r="B1442" t="s">
        <v>64</v>
      </c>
      <c r="C1442" s="1">
        <v>45352</v>
      </c>
      <c r="D1442">
        <v>48497.11</v>
      </c>
      <c r="E1442" t="s">
        <v>80</v>
      </c>
      <c r="F1442" t="s">
        <v>17</v>
      </c>
      <c r="G1442" t="s">
        <v>18</v>
      </c>
      <c r="H1442" t="s">
        <v>24</v>
      </c>
      <c r="I1442" t="s">
        <v>36</v>
      </c>
      <c r="J1442" t="s">
        <v>51</v>
      </c>
      <c r="K1442">
        <v>0</v>
      </c>
      <c r="L1442">
        <v>4</v>
      </c>
      <c r="M1442">
        <v>11.85</v>
      </c>
      <c r="N1442">
        <v>1</v>
      </c>
      <c r="O1442" t="str">
        <f>IF(financial_fraud_data[[#This Row],[Risk_Score]]&gt;8,"High",IF(financial_fraud_data[[#This Row],[Risk_Score]]&gt;5,"Med","Low"))</f>
        <v>High</v>
      </c>
      <c r="P1442" t="str">
        <f>TEXT(financial_fraud_data[[#This Row],[Transaction_Date]],"MMM")</f>
        <v>Mar</v>
      </c>
      <c r="Q1442" t="str">
        <f>IF(financial_fraud_data[[#This Row],[Is_Fraud]]=1,"Yes","No")</f>
        <v>Yes</v>
      </c>
    </row>
    <row r="1443" spans="1:17" x14ac:dyDescent="0.2">
      <c r="A1443" t="s">
        <v>1954</v>
      </c>
      <c r="B1443" t="s">
        <v>94</v>
      </c>
      <c r="C1443" s="1">
        <v>45352.041666666664</v>
      </c>
      <c r="D1443">
        <v>4740.34</v>
      </c>
      <c r="E1443" t="s">
        <v>80</v>
      </c>
      <c r="F1443" t="s">
        <v>47</v>
      </c>
      <c r="G1443" t="s">
        <v>65</v>
      </c>
      <c r="H1443" t="s">
        <v>36</v>
      </c>
      <c r="I1443" t="s">
        <v>24</v>
      </c>
      <c r="J1443" t="s">
        <v>20</v>
      </c>
      <c r="K1443">
        <v>0</v>
      </c>
      <c r="L1443">
        <v>1</v>
      </c>
      <c r="M1443">
        <v>2.97</v>
      </c>
      <c r="N1443">
        <v>0</v>
      </c>
      <c r="O1443" t="str">
        <f>IF(financial_fraud_data[[#This Row],[Risk_Score]]&gt;8,"High",IF(financial_fraud_data[[#This Row],[Risk_Score]]&gt;5,"Med","Low"))</f>
        <v>Low</v>
      </c>
      <c r="P1443" t="str">
        <f>TEXT(financial_fraud_data[[#This Row],[Transaction_Date]],"MMM")</f>
        <v>Mar</v>
      </c>
      <c r="Q1443" t="str">
        <f>IF(financial_fraud_data[[#This Row],[Is_Fraud]]=1,"Yes","No")</f>
        <v>No</v>
      </c>
    </row>
    <row r="1444" spans="1:17" x14ac:dyDescent="0.2">
      <c r="A1444" t="s">
        <v>1955</v>
      </c>
      <c r="B1444" t="s">
        <v>265</v>
      </c>
      <c r="C1444" s="1">
        <v>45352.083333333336</v>
      </c>
      <c r="D1444">
        <v>33646.480000000003</v>
      </c>
      <c r="E1444" t="s">
        <v>80</v>
      </c>
      <c r="F1444" t="s">
        <v>47</v>
      </c>
      <c r="G1444" t="s">
        <v>28</v>
      </c>
      <c r="H1444" t="s">
        <v>23</v>
      </c>
      <c r="I1444" t="s">
        <v>23</v>
      </c>
      <c r="J1444" t="s">
        <v>20</v>
      </c>
      <c r="K1444">
        <v>0</v>
      </c>
      <c r="L1444">
        <v>4</v>
      </c>
      <c r="M1444">
        <v>9.36</v>
      </c>
      <c r="N1444">
        <v>1</v>
      </c>
      <c r="O1444" t="str">
        <f>IF(financial_fraud_data[[#This Row],[Risk_Score]]&gt;8,"High",IF(financial_fraud_data[[#This Row],[Risk_Score]]&gt;5,"Med","Low"))</f>
        <v>High</v>
      </c>
      <c r="P1444" t="str">
        <f>TEXT(financial_fraud_data[[#This Row],[Transaction_Date]],"MMM")</f>
        <v>Mar</v>
      </c>
      <c r="Q1444" t="str">
        <f>IF(financial_fraud_data[[#This Row],[Is_Fraud]]=1,"Yes","No")</f>
        <v>Yes</v>
      </c>
    </row>
    <row r="1445" spans="1:17" x14ac:dyDescent="0.2">
      <c r="A1445" t="s">
        <v>1956</v>
      </c>
      <c r="B1445" t="s">
        <v>235</v>
      </c>
      <c r="C1445" s="1">
        <v>45352.125</v>
      </c>
      <c r="D1445">
        <v>22215.32</v>
      </c>
      <c r="E1445" t="s">
        <v>80</v>
      </c>
      <c r="F1445" t="s">
        <v>47</v>
      </c>
      <c r="G1445" t="s">
        <v>18</v>
      </c>
      <c r="H1445" t="s">
        <v>24</v>
      </c>
      <c r="I1445" t="s">
        <v>36</v>
      </c>
      <c r="J1445" t="s">
        <v>20</v>
      </c>
      <c r="K1445">
        <v>0</v>
      </c>
      <c r="L1445">
        <v>0</v>
      </c>
      <c r="M1445">
        <v>3.22</v>
      </c>
      <c r="N1445">
        <v>0</v>
      </c>
      <c r="O1445" t="str">
        <f>IF(financial_fraud_data[[#This Row],[Risk_Score]]&gt;8,"High",IF(financial_fraud_data[[#This Row],[Risk_Score]]&gt;5,"Med","Low"))</f>
        <v>Low</v>
      </c>
      <c r="P1445" t="str">
        <f>TEXT(financial_fraud_data[[#This Row],[Transaction_Date]],"MMM")</f>
        <v>Mar</v>
      </c>
      <c r="Q1445" t="str">
        <f>IF(financial_fraud_data[[#This Row],[Is_Fraud]]=1,"Yes","No")</f>
        <v>No</v>
      </c>
    </row>
    <row r="1446" spans="1:17" x14ac:dyDescent="0.2">
      <c r="A1446" t="s">
        <v>1957</v>
      </c>
      <c r="B1446" t="s">
        <v>1636</v>
      </c>
      <c r="C1446" s="1">
        <v>45352.166666666664</v>
      </c>
      <c r="D1446">
        <v>43413.71</v>
      </c>
      <c r="E1446" t="s">
        <v>42</v>
      </c>
      <c r="F1446" t="s">
        <v>47</v>
      </c>
      <c r="G1446" t="s">
        <v>28</v>
      </c>
      <c r="H1446" t="s">
        <v>29</v>
      </c>
      <c r="I1446" t="s">
        <v>19</v>
      </c>
      <c r="J1446" t="s">
        <v>20</v>
      </c>
      <c r="K1446">
        <v>0</v>
      </c>
      <c r="L1446">
        <v>1</v>
      </c>
      <c r="M1446">
        <v>6.84</v>
      </c>
      <c r="N1446">
        <v>1</v>
      </c>
      <c r="O1446" t="str">
        <f>IF(financial_fraud_data[[#This Row],[Risk_Score]]&gt;8,"High",IF(financial_fraud_data[[#This Row],[Risk_Score]]&gt;5,"Med","Low"))</f>
        <v>Med</v>
      </c>
      <c r="P1446" t="str">
        <f>TEXT(financial_fraud_data[[#This Row],[Transaction_Date]],"MMM")</f>
        <v>Mar</v>
      </c>
      <c r="Q1446" t="str">
        <f>IF(financial_fraud_data[[#This Row],[Is_Fraud]]=1,"Yes","No")</f>
        <v>Yes</v>
      </c>
    </row>
    <row r="1447" spans="1:17" x14ac:dyDescent="0.2">
      <c r="A1447" t="s">
        <v>1958</v>
      </c>
      <c r="B1447" t="s">
        <v>483</v>
      </c>
      <c r="C1447" s="1">
        <v>45352.208333333336</v>
      </c>
      <c r="D1447">
        <v>8898.6299999999992</v>
      </c>
      <c r="E1447" t="s">
        <v>80</v>
      </c>
      <c r="F1447" t="s">
        <v>50</v>
      </c>
      <c r="G1447" t="s">
        <v>18</v>
      </c>
      <c r="H1447" t="s">
        <v>24</v>
      </c>
      <c r="I1447" t="s">
        <v>24</v>
      </c>
      <c r="J1447" t="s">
        <v>51</v>
      </c>
      <c r="K1447">
        <v>0</v>
      </c>
      <c r="L1447">
        <v>1</v>
      </c>
      <c r="M1447">
        <v>2.39</v>
      </c>
      <c r="N1447">
        <v>0</v>
      </c>
      <c r="O1447" t="str">
        <f>IF(financial_fraud_data[[#This Row],[Risk_Score]]&gt;8,"High",IF(financial_fraud_data[[#This Row],[Risk_Score]]&gt;5,"Med","Low"))</f>
        <v>Low</v>
      </c>
      <c r="P1447" t="str">
        <f>TEXT(financial_fraud_data[[#This Row],[Transaction_Date]],"MMM")</f>
        <v>Mar</v>
      </c>
      <c r="Q1447" t="str">
        <f>IF(financial_fraud_data[[#This Row],[Is_Fraud]]=1,"Yes","No")</f>
        <v>No</v>
      </c>
    </row>
    <row r="1448" spans="1:17" x14ac:dyDescent="0.2">
      <c r="A1448" t="s">
        <v>1959</v>
      </c>
      <c r="B1448" t="s">
        <v>180</v>
      </c>
      <c r="C1448" s="1">
        <v>45352.25</v>
      </c>
      <c r="D1448">
        <v>34646.67</v>
      </c>
      <c r="E1448" t="s">
        <v>42</v>
      </c>
      <c r="F1448" t="s">
        <v>27</v>
      </c>
      <c r="G1448" t="s">
        <v>35</v>
      </c>
      <c r="H1448" t="s">
        <v>24</v>
      </c>
      <c r="I1448" t="s">
        <v>23</v>
      </c>
      <c r="J1448" t="s">
        <v>37</v>
      </c>
      <c r="K1448">
        <v>0</v>
      </c>
      <c r="L1448">
        <v>2</v>
      </c>
      <c r="M1448">
        <v>7.46</v>
      </c>
      <c r="N1448">
        <v>1</v>
      </c>
      <c r="O1448" t="str">
        <f>IF(financial_fraud_data[[#This Row],[Risk_Score]]&gt;8,"High",IF(financial_fraud_data[[#This Row],[Risk_Score]]&gt;5,"Med","Low"))</f>
        <v>Med</v>
      </c>
      <c r="P1448" t="str">
        <f>TEXT(financial_fraud_data[[#This Row],[Transaction_Date]],"MMM")</f>
        <v>Mar</v>
      </c>
      <c r="Q1448" t="str">
        <f>IF(financial_fraud_data[[#This Row],[Is_Fraud]]=1,"Yes","No")</f>
        <v>Yes</v>
      </c>
    </row>
    <row r="1449" spans="1:17" x14ac:dyDescent="0.2">
      <c r="A1449" t="s">
        <v>1960</v>
      </c>
      <c r="B1449" t="s">
        <v>154</v>
      </c>
      <c r="C1449" s="1">
        <v>45352.291666666664</v>
      </c>
      <c r="D1449">
        <v>41913.86</v>
      </c>
      <c r="E1449" t="s">
        <v>80</v>
      </c>
      <c r="F1449" t="s">
        <v>27</v>
      </c>
      <c r="G1449" t="s">
        <v>35</v>
      </c>
      <c r="H1449" t="s">
        <v>19</v>
      </c>
      <c r="I1449" t="s">
        <v>29</v>
      </c>
      <c r="J1449" t="s">
        <v>37</v>
      </c>
      <c r="K1449">
        <v>1</v>
      </c>
      <c r="L1449">
        <v>3</v>
      </c>
      <c r="M1449">
        <v>11.69</v>
      </c>
      <c r="N1449">
        <v>1</v>
      </c>
      <c r="O1449" t="str">
        <f>IF(financial_fraud_data[[#This Row],[Risk_Score]]&gt;8,"High",IF(financial_fraud_data[[#This Row],[Risk_Score]]&gt;5,"Med","Low"))</f>
        <v>High</v>
      </c>
      <c r="P1449" t="str">
        <f>TEXT(financial_fraud_data[[#This Row],[Transaction_Date]],"MMM")</f>
        <v>Mar</v>
      </c>
      <c r="Q1449" t="str">
        <f>IF(financial_fraud_data[[#This Row],[Is_Fraud]]=1,"Yes","No")</f>
        <v>Yes</v>
      </c>
    </row>
    <row r="1450" spans="1:17" x14ac:dyDescent="0.2">
      <c r="A1450" t="s">
        <v>1961</v>
      </c>
      <c r="B1450" t="s">
        <v>999</v>
      </c>
      <c r="C1450" s="1">
        <v>45352.333333333336</v>
      </c>
      <c r="D1450">
        <v>47233.48</v>
      </c>
      <c r="E1450" t="s">
        <v>16</v>
      </c>
      <c r="F1450" t="s">
        <v>17</v>
      </c>
      <c r="G1450" t="s">
        <v>35</v>
      </c>
      <c r="H1450" t="s">
        <v>24</v>
      </c>
      <c r="I1450" t="s">
        <v>24</v>
      </c>
      <c r="J1450" t="s">
        <v>37</v>
      </c>
      <c r="K1450">
        <v>0</v>
      </c>
      <c r="L1450">
        <v>2</v>
      </c>
      <c r="M1450">
        <v>7.72</v>
      </c>
      <c r="N1450">
        <v>1</v>
      </c>
      <c r="O1450" t="str">
        <f>IF(financial_fraud_data[[#This Row],[Risk_Score]]&gt;8,"High",IF(financial_fraud_data[[#This Row],[Risk_Score]]&gt;5,"Med","Low"))</f>
        <v>Med</v>
      </c>
      <c r="P1450" t="str">
        <f>TEXT(financial_fraud_data[[#This Row],[Transaction_Date]],"MMM")</f>
        <v>Mar</v>
      </c>
      <c r="Q1450" t="str">
        <f>IF(financial_fraud_data[[#This Row],[Is_Fraud]]=1,"Yes","No")</f>
        <v>Yes</v>
      </c>
    </row>
    <row r="1451" spans="1:17" x14ac:dyDescent="0.2">
      <c r="A1451" t="s">
        <v>1962</v>
      </c>
      <c r="B1451" t="s">
        <v>920</v>
      </c>
      <c r="C1451" s="1">
        <v>45352.375</v>
      </c>
      <c r="D1451">
        <v>34178.239999999998</v>
      </c>
      <c r="E1451" t="s">
        <v>34</v>
      </c>
      <c r="F1451" t="s">
        <v>27</v>
      </c>
      <c r="G1451" t="s">
        <v>56</v>
      </c>
      <c r="H1451" t="s">
        <v>24</v>
      </c>
      <c r="I1451" t="s">
        <v>23</v>
      </c>
      <c r="J1451" t="s">
        <v>20</v>
      </c>
      <c r="K1451">
        <v>0</v>
      </c>
      <c r="L1451">
        <v>0</v>
      </c>
      <c r="M1451">
        <v>4.42</v>
      </c>
      <c r="N1451">
        <v>0</v>
      </c>
      <c r="O1451" t="str">
        <f>IF(financial_fraud_data[[#This Row],[Risk_Score]]&gt;8,"High",IF(financial_fraud_data[[#This Row],[Risk_Score]]&gt;5,"Med","Low"))</f>
        <v>Low</v>
      </c>
      <c r="P1451" t="str">
        <f>TEXT(financial_fraud_data[[#This Row],[Transaction_Date]],"MMM")</f>
        <v>Mar</v>
      </c>
      <c r="Q1451" t="str">
        <f>IF(financial_fraud_data[[#This Row],[Is_Fraud]]=1,"Yes","No")</f>
        <v>No</v>
      </c>
    </row>
    <row r="1452" spans="1:17" x14ac:dyDescent="0.2">
      <c r="A1452" t="s">
        <v>1963</v>
      </c>
      <c r="B1452" t="s">
        <v>261</v>
      </c>
      <c r="C1452" s="1">
        <v>45352.416666666664</v>
      </c>
      <c r="D1452">
        <v>24883.88</v>
      </c>
      <c r="E1452" t="s">
        <v>80</v>
      </c>
      <c r="F1452" t="s">
        <v>27</v>
      </c>
      <c r="G1452" t="s">
        <v>18</v>
      </c>
      <c r="H1452" t="s">
        <v>36</v>
      </c>
      <c r="I1452" t="s">
        <v>29</v>
      </c>
      <c r="J1452" t="s">
        <v>51</v>
      </c>
      <c r="K1452">
        <v>0</v>
      </c>
      <c r="L1452">
        <v>1</v>
      </c>
      <c r="M1452">
        <v>4.99</v>
      </c>
      <c r="N1452">
        <v>0</v>
      </c>
      <c r="O1452" t="str">
        <f>IF(financial_fraud_data[[#This Row],[Risk_Score]]&gt;8,"High",IF(financial_fraud_data[[#This Row],[Risk_Score]]&gt;5,"Med","Low"))</f>
        <v>Low</v>
      </c>
      <c r="P1452" t="str">
        <f>TEXT(financial_fraud_data[[#This Row],[Transaction_Date]],"MMM")</f>
        <v>Mar</v>
      </c>
      <c r="Q1452" t="str">
        <f>IF(financial_fraud_data[[#This Row],[Is_Fraud]]=1,"Yes","No")</f>
        <v>No</v>
      </c>
    </row>
    <row r="1453" spans="1:17" x14ac:dyDescent="0.2">
      <c r="A1453" t="s">
        <v>1964</v>
      </c>
      <c r="B1453" t="s">
        <v>1181</v>
      </c>
      <c r="C1453" s="1">
        <v>45352.458333333336</v>
      </c>
      <c r="D1453">
        <v>30911.47</v>
      </c>
      <c r="E1453" t="s">
        <v>16</v>
      </c>
      <c r="F1453" t="s">
        <v>27</v>
      </c>
      <c r="G1453" t="s">
        <v>56</v>
      </c>
      <c r="H1453" t="s">
        <v>24</v>
      </c>
      <c r="I1453" t="s">
        <v>23</v>
      </c>
      <c r="J1453" t="s">
        <v>37</v>
      </c>
      <c r="K1453">
        <v>0</v>
      </c>
      <c r="L1453">
        <v>1</v>
      </c>
      <c r="M1453">
        <v>5.59</v>
      </c>
      <c r="N1453">
        <v>1</v>
      </c>
      <c r="O1453" t="str">
        <f>IF(financial_fraud_data[[#This Row],[Risk_Score]]&gt;8,"High",IF(financial_fraud_data[[#This Row],[Risk_Score]]&gt;5,"Med","Low"))</f>
        <v>Med</v>
      </c>
      <c r="P1453" t="str">
        <f>TEXT(financial_fraud_data[[#This Row],[Transaction_Date]],"MMM")</f>
        <v>Mar</v>
      </c>
      <c r="Q1453" t="str">
        <f>IF(financial_fraud_data[[#This Row],[Is_Fraud]]=1,"Yes","No")</f>
        <v>Yes</v>
      </c>
    </row>
    <row r="1454" spans="1:17" x14ac:dyDescent="0.2">
      <c r="A1454" t="s">
        <v>1965</v>
      </c>
      <c r="B1454" t="s">
        <v>92</v>
      </c>
      <c r="C1454" s="1">
        <v>45352.5</v>
      </c>
      <c r="D1454">
        <v>43451.8</v>
      </c>
      <c r="E1454" t="s">
        <v>80</v>
      </c>
      <c r="F1454" t="s">
        <v>27</v>
      </c>
      <c r="G1454" t="s">
        <v>28</v>
      </c>
      <c r="H1454" t="s">
        <v>23</v>
      </c>
      <c r="I1454" t="s">
        <v>29</v>
      </c>
      <c r="J1454" t="s">
        <v>51</v>
      </c>
      <c r="K1454">
        <v>0</v>
      </c>
      <c r="L1454">
        <v>4</v>
      </c>
      <c r="M1454">
        <v>11.35</v>
      </c>
      <c r="N1454">
        <v>1</v>
      </c>
      <c r="O1454" t="str">
        <f>IF(financial_fraud_data[[#This Row],[Risk_Score]]&gt;8,"High",IF(financial_fraud_data[[#This Row],[Risk_Score]]&gt;5,"Med","Low"))</f>
        <v>High</v>
      </c>
      <c r="P1454" t="str">
        <f>TEXT(financial_fraud_data[[#This Row],[Transaction_Date]],"MMM")</f>
        <v>Mar</v>
      </c>
      <c r="Q1454" t="str">
        <f>IF(financial_fraud_data[[#This Row],[Is_Fraud]]=1,"Yes","No")</f>
        <v>Yes</v>
      </c>
    </row>
    <row r="1455" spans="1:17" x14ac:dyDescent="0.2">
      <c r="A1455" t="s">
        <v>1966</v>
      </c>
      <c r="B1455" t="s">
        <v>1088</v>
      </c>
      <c r="C1455" s="1">
        <v>45352.541666666664</v>
      </c>
      <c r="D1455">
        <v>28551.96</v>
      </c>
      <c r="E1455" t="s">
        <v>80</v>
      </c>
      <c r="F1455" t="s">
        <v>17</v>
      </c>
      <c r="G1455" t="s">
        <v>56</v>
      </c>
      <c r="H1455" t="s">
        <v>29</v>
      </c>
      <c r="I1455" t="s">
        <v>29</v>
      </c>
      <c r="J1455" t="s">
        <v>37</v>
      </c>
      <c r="K1455">
        <v>0</v>
      </c>
      <c r="L1455">
        <v>3</v>
      </c>
      <c r="M1455">
        <v>7.36</v>
      </c>
      <c r="N1455">
        <v>1</v>
      </c>
      <c r="O1455" t="str">
        <f>IF(financial_fraud_data[[#This Row],[Risk_Score]]&gt;8,"High",IF(financial_fraud_data[[#This Row],[Risk_Score]]&gt;5,"Med","Low"))</f>
        <v>Med</v>
      </c>
      <c r="P1455" t="str">
        <f>TEXT(financial_fraud_data[[#This Row],[Transaction_Date]],"MMM")</f>
        <v>Mar</v>
      </c>
      <c r="Q1455" t="str">
        <f>IF(financial_fraud_data[[#This Row],[Is_Fraud]]=1,"Yes","No")</f>
        <v>Yes</v>
      </c>
    </row>
    <row r="1456" spans="1:17" x14ac:dyDescent="0.2">
      <c r="A1456" t="s">
        <v>1967</v>
      </c>
      <c r="B1456" t="s">
        <v>1641</v>
      </c>
      <c r="C1456" s="1">
        <v>45352.583333333336</v>
      </c>
      <c r="D1456">
        <v>1567.83</v>
      </c>
      <c r="E1456" t="s">
        <v>80</v>
      </c>
      <c r="F1456" t="s">
        <v>50</v>
      </c>
      <c r="G1456" t="s">
        <v>28</v>
      </c>
      <c r="H1456" t="s">
        <v>36</v>
      </c>
      <c r="I1456" t="s">
        <v>29</v>
      </c>
      <c r="J1456" t="s">
        <v>20</v>
      </c>
      <c r="K1456">
        <v>0</v>
      </c>
      <c r="L1456">
        <v>3</v>
      </c>
      <c r="M1456">
        <v>5.66</v>
      </c>
      <c r="N1456">
        <v>1</v>
      </c>
      <c r="O1456" t="str">
        <f>IF(financial_fraud_data[[#This Row],[Risk_Score]]&gt;8,"High",IF(financial_fraud_data[[#This Row],[Risk_Score]]&gt;5,"Med","Low"))</f>
        <v>Med</v>
      </c>
      <c r="P1456" t="str">
        <f>TEXT(financial_fraud_data[[#This Row],[Transaction_Date]],"MMM")</f>
        <v>Mar</v>
      </c>
      <c r="Q1456" t="str">
        <f>IF(financial_fraud_data[[#This Row],[Is_Fraud]]=1,"Yes","No")</f>
        <v>Yes</v>
      </c>
    </row>
    <row r="1457" spans="1:17" x14ac:dyDescent="0.2">
      <c r="A1457" t="s">
        <v>1968</v>
      </c>
      <c r="B1457" t="s">
        <v>1443</v>
      </c>
      <c r="C1457" s="1">
        <v>45352.625</v>
      </c>
      <c r="D1457">
        <v>46550.89</v>
      </c>
      <c r="E1457" t="s">
        <v>16</v>
      </c>
      <c r="F1457" t="s">
        <v>47</v>
      </c>
      <c r="G1457" t="s">
        <v>28</v>
      </c>
      <c r="H1457" t="s">
        <v>24</v>
      </c>
      <c r="I1457" t="s">
        <v>23</v>
      </c>
      <c r="J1457" t="s">
        <v>37</v>
      </c>
      <c r="K1457">
        <v>1</v>
      </c>
      <c r="L1457">
        <v>4</v>
      </c>
      <c r="M1457">
        <v>13.66</v>
      </c>
      <c r="N1457">
        <v>1</v>
      </c>
      <c r="O1457" t="str">
        <f>IF(financial_fraud_data[[#This Row],[Risk_Score]]&gt;8,"High",IF(financial_fraud_data[[#This Row],[Risk_Score]]&gt;5,"Med","Low"))</f>
        <v>High</v>
      </c>
      <c r="P1457" t="str">
        <f>TEXT(financial_fraud_data[[#This Row],[Transaction_Date]],"MMM")</f>
        <v>Mar</v>
      </c>
      <c r="Q1457" t="str">
        <f>IF(financial_fraud_data[[#This Row],[Is_Fraud]]=1,"Yes","No")</f>
        <v>Yes</v>
      </c>
    </row>
    <row r="1458" spans="1:17" x14ac:dyDescent="0.2">
      <c r="A1458" t="s">
        <v>1969</v>
      </c>
      <c r="B1458" t="s">
        <v>1641</v>
      </c>
      <c r="C1458" s="1">
        <v>45352.666666666664</v>
      </c>
      <c r="D1458">
        <v>34491.86</v>
      </c>
      <c r="E1458" t="s">
        <v>34</v>
      </c>
      <c r="F1458" t="s">
        <v>27</v>
      </c>
      <c r="G1458" t="s">
        <v>28</v>
      </c>
      <c r="H1458" t="s">
        <v>23</v>
      </c>
      <c r="I1458" t="s">
        <v>29</v>
      </c>
      <c r="J1458" t="s">
        <v>20</v>
      </c>
      <c r="K1458">
        <v>0</v>
      </c>
      <c r="L1458">
        <v>0</v>
      </c>
      <c r="M1458">
        <v>4.45</v>
      </c>
      <c r="N1458">
        <v>0</v>
      </c>
      <c r="O1458" t="str">
        <f>IF(financial_fraud_data[[#This Row],[Risk_Score]]&gt;8,"High",IF(financial_fraud_data[[#This Row],[Risk_Score]]&gt;5,"Med","Low"))</f>
        <v>Low</v>
      </c>
      <c r="P1458" t="str">
        <f>TEXT(financial_fraud_data[[#This Row],[Transaction_Date]],"MMM")</f>
        <v>Mar</v>
      </c>
      <c r="Q1458" t="str">
        <f>IF(financial_fraud_data[[#This Row],[Is_Fraud]]=1,"Yes","No")</f>
        <v>No</v>
      </c>
    </row>
    <row r="1459" spans="1:17" x14ac:dyDescent="0.2">
      <c r="A1459" t="s">
        <v>1970</v>
      </c>
      <c r="B1459" t="s">
        <v>794</v>
      </c>
      <c r="C1459" s="1">
        <v>45352.708333333336</v>
      </c>
      <c r="D1459">
        <v>33841.839999999997</v>
      </c>
      <c r="E1459" t="s">
        <v>16</v>
      </c>
      <c r="F1459" t="s">
        <v>50</v>
      </c>
      <c r="G1459" t="s">
        <v>56</v>
      </c>
      <c r="H1459" t="s">
        <v>29</v>
      </c>
      <c r="I1459" t="s">
        <v>24</v>
      </c>
      <c r="J1459" t="s">
        <v>20</v>
      </c>
      <c r="K1459">
        <v>0</v>
      </c>
      <c r="L1459">
        <v>3</v>
      </c>
      <c r="M1459">
        <v>8.8800000000000008</v>
      </c>
      <c r="N1459">
        <v>1</v>
      </c>
      <c r="O1459" t="str">
        <f>IF(financial_fraud_data[[#This Row],[Risk_Score]]&gt;8,"High",IF(financial_fraud_data[[#This Row],[Risk_Score]]&gt;5,"Med","Low"))</f>
        <v>High</v>
      </c>
      <c r="P1459" t="str">
        <f>TEXT(financial_fraud_data[[#This Row],[Transaction_Date]],"MMM")</f>
        <v>Mar</v>
      </c>
      <c r="Q1459" t="str">
        <f>IF(financial_fraud_data[[#This Row],[Is_Fraud]]=1,"Yes","No")</f>
        <v>Yes</v>
      </c>
    </row>
    <row r="1460" spans="1:17" x14ac:dyDescent="0.2">
      <c r="A1460" t="s">
        <v>1971</v>
      </c>
      <c r="B1460" t="s">
        <v>193</v>
      </c>
      <c r="C1460" s="1">
        <v>45352.75</v>
      </c>
      <c r="D1460">
        <v>10822.97</v>
      </c>
      <c r="E1460" t="s">
        <v>34</v>
      </c>
      <c r="F1460" t="s">
        <v>27</v>
      </c>
      <c r="G1460" t="s">
        <v>18</v>
      </c>
      <c r="H1460" t="s">
        <v>36</v>
      </c>
      <c r="I1460" t="s">
        <v>19</v>
      </c>
      <c r="J1460" t="s">
        <v>37</v>
      </c>
      <c r="K1460">
        <v>1</v>
      </c>
      <c r="L1460">
        <v>1</v>
      </c>
      <c r="M1460">
        <v>5.58</v>
      </c>
      <c r="N1460">
        <v>1</v>
      </c>
      <c r="O1460" t="str">
        <f>IF(financial_fraud_data[[#This Row],[Risk_Score]]&gt;8,"High",IF(financial_fraud_data[[#This Row],[Risk_Score]]&gt;5,"Med","Low"))</f>
        <v>Med</v>
      </c>
      <c r="P1460" t="str">
        <f>TEXT(financial_fraud_data[[#This Row],[Transaction_Date]],"MMM")</f>
        <v>Mar</v>
      </c>
      <c r="Q1460" t="str">
        <f>IF(financial_fraud_data[[#This Row],[Is_Fraud]]=1,"Yes","No")</f>
        <v>Yes</v>
      </c>
    </row>
    <row r="1461" spans="1:17" x14ac:dyDescent="0.2">
      <c r="A1461" t="s">
        <v>1972</v>
      </c>
      <c r="B1461" t="s">
        <v>638</v>
      </c>
      <c r="C1461" s="1">
        <v>45352.791666666664</v>
      </c>
      <c r="D1461">
        <v>32961.33</v>
      </c>
      <c r="E1461" t="s">
        <v>80</v>
      </c>
      <c r="F1461" t="s">
        <v>27</v>
      </c>
      <c r="G1461" t="s">
        <v>56</v>
      </c>
      <c r="H1461" t="s">
        <v>23</v>
      </c>
      <c r="I1461" t="s">
        <v>19</v>
      </c>
      <c r="J1461" t="s">
        <v>51</v>
      </c>
      <c r="K1461">
        <v>0</v>
      </c>
      <c r="L1461">
        <v>0</v>
      </c>
      <c r="M1461">
        <v>4.3</v>
      </c>
      <c r="N1461">
        <v>0</v>
      </c>
      <c r="O1461" t="str">
        <f>IF(financial_fraud_data[[#This Row],[Risk_Score]]&gt;8,"High",IF(financial_fraud_data[[#This Row],[Risk_Score]]&gt;5,"Med","Low"))</f>
        <v>Low</v>
      </c>
      <c r="P1461" t="str">
        <f>TEXT(financial_fraud_data[[#This Row],[Transaction_Date]],"MMM")</f>
        <v>Mar</v>
      </c>
      <c r="Q1461" t="str">
        <f>IF(financial_fraud_data[[#This Row],[Is_Fraud]]=1,"Yes","No")</f>
        <v>No</v>
      </c>
    </row>
    <row r="1462" spans="1:17" x14ac:dyDescent="0.2">
      <c r="A1462" t="s">
        <v>1973</v>
      </c>
      <c r="B1462" t="s">
        <v>164</v>
      </c>
      <c r="C1462" s="1">
        <v>45352.833333333336</v>
      </c>
      <c r="D1462">
        <v>19723.53</v>
      </c>
      <c r="E1462" t="s">
        <v>42</v>
      </c>
      <c r="F1462" t="s">
        <v>47</v>
      </c>
      <c r="G1462" t="s">
        <v>18</v>
      </c>
      <c r="H1462" t="s">
        <v>24</v>
      </c>
      <c r="I1462" t="s">
        <v>29</v>
      </c>
      <c r="J1462" t="s">
        <v>20</v>
      </c>
      <c r="K1462">
        <v>0</v>
      </c>
      <c r="L1462">
        <v>2</v>
      </c>
      <c r="M1462">
        <v>5.97</v>
      </c>
      <c r="N1462">
        <v>1</v>
      </c>
      <c r="O1462" t="str">
        <f>IF(financial_fraud_data[[#This Row],[Risk_Score]]&gt;8,"High",IF(financial_fraud_data[[#This Row],[Risk_Score]]&gt;5,"Med","Low"))</f>
        <v>Med</v>
      </c>
      <c r="P1462" t="str">
        <f>TEXT(financial_fraud_data[[#This Row],[Transaction_Date]],"MMM")</f>
        <v>Mar</v>
      </c>
      <c r="Q1462" t="str">
        <f>IF(financial_fraud_data[[#This Row],[Is_Fraud]]=1,"Yes","No")</f>
        <v>Yes</v>
      </c>
    </row>
    <row r="1463" spans="1:17" x14ac:dyDescent="0.2">
      <c r="A1463" t="s">
        <v>1974</v>
      </c>
      <c r="B1463" t="s">
        <v>493</v>
      </c>
      <c r="C1463" s="1">
        <v>45352.875</v>
      </c>
      <c r="D1463">
        <v>32579.09</v>
      </c>
      <c r="E1463" t="s">
        <v>80</v>
      </c>
      <c r="F1463" t="s">
        <v>47</v>
      </c>
      <c r="G1463" t="s">
        <v>18</v>
      </c>
      <c r="H1463" t="s">
        <v>19</v>
      </c>
      <c r="I1463" t="s">
        <v>19</v>
      </c>
      <c r="J1463" t="s">
        <v>51</v>
      </c>
      <c r="K1463">
        <v>0</v>
      </c>
      <c r="L1463">
        <v>2</v>
      </c>
      <c r="M1463">
        <v>6.26</v>
      </c>
      <c r="N1463">
        <v>1</v>
      </c>
      <c r="O1463" t="str">
        <f>IF(financial_fraud_data[[#This Row],[Risk_Score]]&gt;8,"High",IF(financial_fraud_data[[#This Row],[Risk_Score]]&gt;5,"Med","Low"))</f>
        <v>Med</v>
      </c>
      <c r="P1463" t="str">
        <f>TEXT(financial_fraud_data[[#This Row],[Transaction_Date]],"MMM")</f>
        <v>Mar</v>
      </c>
      <c r="Q1463" t="str">
        <f>IF(financial_fraud_data[[#This Row],[Is_Fraud]]=1,"Yes","No")</f>
        <v>Yes</v>
      </c>
    </row>
    <row r="1464" spans="1:17" x14ac:dyDescent="0.2">
      <c r="A1464" t="s">
        <v>1975</v>
      </c>
      <c r="B1464" t="s">
        <v>1757</v>
      </c>
      <c r="C1464" s="1">
        <v>45352.916666666664</v>
      </c>
      <c r="D1464">
        <v>5374.32</v>
      </c>
      <c r="E1464" t="s">
        <v>34</v>
      </c>
      <c r="F1464" t="s">
        <v>47</v>
      </c>
      <c r="G1464" t="s">
        <v>28</v>
      </c>
      <c r="H1464" t="s">
        <v>19</v>
      </c>
      <c r="I1464" t="s">
        <v>19</v>
      </c>
      <c r="J1464" t="s">
        <v>37</v>
      </c>
      <c r="K1464">
        <v>1</v>
      </c>
      <c r="L1464">
        <v>0</v>
      </c>
      <c r="M1464">
        <v>2.54</v>
      </c>
      <c r="N1464">
        <v>0</v>
      </c>
      <c r="O1464" t="str">
        <f>IF(financial_fraud_data[[#This Row],[Risk_Score]]&gt;8,"High",IF(financial_fraud_data[[#This Row],[Risk_Score]]&gt;5,"Med","Low"))</f>
        <v>Low</v>
      </c>
      <c r="P1464" t="str">
        <f>TEXT(financial_fraud_data[[#This Row],[Transaction_Date]],"MMM")</f>
        <v>Mar</v>
      </c>
      <c r="Q1464" t="str">
        <f>IF(financial_fraud_data[[#This Row],[Is_Fraud]]=1,"Yes","No")</f>
        <v>No</v>
      </c>
    </row>
    <row r="1465" spans="1:17" x14ac:dyDescent="0.2">
      <c r="A1465" t="s">
        <v>1976</v>
      </c>
      <c r="B1465" t="s">
        <v>1253</v>
      </c>
      <c r="C1465" s="1">
        <v>45352.958333333336</v>
      </c>
      <c r="D1465">
        <v>32909.370000000003</v>
      </c>
      <c r="E1465" t="s">
        <v>16</v>
      </c>
      <c r="F1465" t="s">
        <v>27</v>
      </c>
      <c r="G1465" t="s">
        <v>56</v>
      </c>
      <c r="H1465" t="s">
        <v>36</v>
      </c>
      <c r="I1465" t="s">
        <v>29</v>
      </c>
      <c r="J1465" t="s">
        <v>20</v>
      </c>
      <c r="K1465">
        <v>0</v>
      </c>
      <c r="L1465">
        <v>1</v>
      </c>
      <c r="M1465">
        <v>5.79</v>
      </c>
      <c r="N1465">
        <v>1</v>
      </c>
      <c r="O1465" t="str">
        <f>IF(financial_fraud_data[[#This Row],[Risk_Score]]&gt;8,"High",IF(financial_fraud_data[[#This Row],[Risk_Score]]&gt;5,"Med","Low"))</f>
        <v>Med</v>
      </c>
      <c r="P1465" t="str">
        <f>TEXT(financial_fraud_data[[#This Row],[Transaction_Date]],"MMM")</f>
        <v>Mar</v>
      </c>
      <c r="Q1465" t="str">
        <f>IF(financial_fraud_data[[#This Row],[Is_Fraud]]=1,"Yes","No")</f>
        <v>Yes</v>
      </c>
    </row>
    <row r="1466" spans="1:17" x14ac:dyDescent="0.2">
      <c r="A1466" t="s">
        <v>1977</v>
      </c>
      <c r="B1466" t="s">
        <v>863</v>
      </c>
      <c r="C1466" s="1">
        <v>45353</v>
      </c>
      <c r="D1466">
        <v>49970.720000000001</v>
      </c>
      <c r="E1466" t="s">
        <v>80</v>
      </c>
      <c r="F1466" t="s">
        <v>27</v>
      </c>
      <c r="G1466" t="s">
        <v>18</v>
      </c>
      <c r="H1466" t="s">
        <v>23</v>
      </c>
      <c r="I1466" t="s">
        <v>29</v>
      </c>
      <c r="J1466" t="s">
        <v>51</v>
      </c>
      <c r="K1466">
        <v>1</v>
      </c>
      <c r="L1466">
        <v>2</v>
      </c>
      <c r="M1466">
        <v>11</v>
      </c>
      <c r="N1466">
        <v>1</v>
      </c>
      <c r="O1466" t="str">
        <f>IF(financial_fraud_data[[#This Row],[Risk_Score]]&gt;8,"High",IF(financial_fraud_data[[#This Row],[Risk_Score]]&gt;5,"Med","Low"))</f>
        <v>High</v>
      </c>
      <c r="P1466" t="str">
        <f>TEXT(financial_fraud_data[[#This Row],[Transaction_Date]],"MMM")</f>
        <v>Mar</v>
      </c>
      <c r="Q1466" t="str">
        <f>IF(financial_fraud_data[[#This Row],[Is_Fraud]]=1,"Yes","No")</f>
        <v>Yes</v>
      </c>
    </row>
    <row r="1467" spans="1:17" x14ac:dyDescent="0.2">
      <c r="A1467" t="s">
        <v>1978</v>
      </c>
      <c r="B1467" t="s">
        <v>1928</v>
      </c>
      <c r="C1467" s="1">
        <v>45353.041666666664</v>
      </c>
      <c r="D1467">
        <v>2458.19</v>
      </c>
      <c r="E1467" t="s">
        <v>16</v>
      </c>
      <c r="F1467" t="s">
        <v>27</v>
      </c>
      <c r="G1467" t="s">
        <v>35</v>
      </c>
      <c r="H1467" t="s">
        <v>29</v>
      </c>
      <c r="I1467" t="s">
        <v>24</v>
      </c>
      <c r="J1467" t="s">
        <v>20</v>
      </c>
      <c r="K1467">
        <v>0</v>
      </c>
      <c r="L1467">
        <v>1</v>
      </c>
      <c r="M1467">
        <v>2.75</v>
      </c>
      <c r="N1467">
        <v>0</v>
      </c>
      <c r="O1467" t="str">
        <f>IF(financial_fraud_data[[#This Row],[Risk_Score]]&gt;8,"High",IF(financial_fraud_data[[#This Row],[Risk_Score]]&gt;5,"Med","Low"))</f>
        <v>Low</v>
      </c>
      <c r="P1467" t="str">
        <f>TEXT(financial_fraud_data[[#This Row],[Transaction_Date]],"MMM")</f>
        <v>Mar</v>
      </c>
      <c r="Q1467" t="str">
        <f>IF(financial_fraud_data[[#This Row],[Is_Fraud]]=1,"Yes","No")</f>
        <v>No</v>
      </c>
    </row>
    <row r="1468" spans="1:17" x14ac:dyDescent="0.2">
      <c r="A1468" t="s">
        <v>1979</v>
      </c>
      <c r="B1468" t="s">
        <v>205</v>
      </c>
      <c r="C1468" s="1">
        <v>45353.083333333336</v>
      </c>
      <c r="D1468">
        <v>48859.85</v>
      </c>
      <c r="E1468" t="s">
        <v>16</v>
      </c>
      <c r="F1468" t="s">
        <v>47</v>
      </c>
      <c r="G1468" t="s">
        <v>18</v>
      </c>
      <c r="H1468" t="s">
        <v>23</v>
      </c>
      <c r="I1468" t="s">
        <v>36</v>
      </c>
      <c r="J1468" t="s">
        <v>37</v>
      </c>
      <c r="K1468">
        <v>0</v>
      </c>
      <c r="L1468">
        <v>4</v>
      </c>
      <c r="M1468">
        <v>11.89</v>
      </c>
      <c r="N1468">
        <v>1</v>
      </c>
      <c r="O1468" t="str">
        <f>IF(financial_fraud_data[[#This Row],[Risk_Score]]&gt;8,"High",IF(financial_fraud_data[[#This Row],[Risk_Score]]&gt;5,"Med","Low"))</f>
        <v>High</v>
      </c>
      <c r="P1468" t="str">
        <f>TEXT(financial_fraud_data[[#This Row],[Transaction_Date]],"MMM")</f>
        <v>Mar</v>
      </c>
      <c r="Q1468" t="str">
        <f>IF(financial_fraud_data[[#This Row],[Is_Fraud]]=1,"Yes","No")</f>
        <v>Yes</v>
      </c>
    </row>
    <row r="1469" spans="1:17" x14ac:dyDescent="0.2">
      <c r="A1469" t="s">
        <v>1980</v>
      </c>
      <c r="B1469" t="s">
        <v>1112</v>
      </c>
      <c r="C1469" s="1">
        <v>45353.125</v>
      </c>
      <c r="D1469">
        <v>20375.05</v>
      </c>
      <c r="E1469" t="s">
        <v>16</v>
      </c>
      <c r="F1469" t="s">
        <v>17</v>
      </c>
      <c r="G1469" t="s">
        <v>35</v>
      </c>
      <c r="H1469" t="s">
        <v>19</v>
      </c>
      <c r="I1469" t="s">
        <v>23</v>
      </c>
      <c r="J1469" t="s">
        <v>20</v>
      </c>
      <c r="K1469">
        <v>0</v>
      </c>
      <c r="L1469">
        <v>3</v>
      </c>
      <c r="M1469">
        <v>7.54</v>
      </c>
      <c r="N1469">
        <v>1</v>
      </c>
      <c r="O1469" t="str">
        <f>IF(financial_fraud_data[[#This Row],[Risk_Score]]&gt;8,"High",IF(financial_fraud_data[[#This Row],[Risk_Score]]&gt;5,"Med","Low"))</f>
        <v>Med</v>
      </c>
      <c r="P1469" t="str">
        <f>TEXT(financial_fraud_data[[#This Row],[Transaction_Date]],"MMM")</f>
        <v>Mar</v>
      </c>
      <c r="Q1469" t="str">
        <f>IF(financial_fraud_data[[#This Row],[Is_Fraud]]=1,"Yes","No")</f>
        <v>Yes</v>
      </c>
    </row>
    <row r="1470" spans="1:17" x14ac:dyDescent="0.2">
      <c r="A1470" t="s">
        <v>1981</v>
      </c>
      <c r="B1470" t="s">
        <v>154</v>
      </c>
      <c r="C1470" s="1">
        <v>45353.166666666664</v>
      </c>
      <c r="D1470">
        <v>43544.13</v>
      </c>
      <c r="E1470" t="s">
        <v>80</v>
      </c>
      <c r="F1470" t="s">
        <v>50</v>
      </c>
      <c r="G1470" t="s">
        <v>56</v>
      </c>
      <c r="H1470" t="s">
        <v>36</v>
      </c>
      <c r="I1470" t="s">
        <v>29</v>
      </c>
      <c r="J1470" t="s">
        <v>37</v>
      </c>
      <c r="K1470">
        <v>0</v>
      </c>
      <c r="L1470">
        <v>0</v>
      </c>
      <c r="M1470">
        <v>5.35</v>
      </c>
      <c r="N1470">
        <v>1</v>
      </c>
      <c r="O1470" t="str">
        <f>IF(financial_fraud_data[[#This Row],[Risk_Score]]&gt;8,"High",IF(financial_fraud_data[[#This Row],[Risk_Score]]&gt;5,"Med","Low"))</f>
        <v>Med</v>
      </c>
      <c r="P1470" t="str">
        <f>TEXT(financial_fraud_data[[#This Row],[Transaction_Date]],"MMM")</f>
        <v>Mar</v>
      </c>
      <c r="Q1470" t="str">
        <f>IF(financial_fraud_data[[#This Row],[Is_Fraud]]=1,"Yes","No")</f>
        <v>Yes</v>
      </c>
    </row>
    <row r="1471" spans="1:17" x14ac:dyDescent="0.2">
      <c r="A1471" t="s">
        <v>1982</v>
      </c>
      <c r="B1471" t="s">
        <v>369</v>
      </c>
      <c r="C1471" s="1">
        <v>45353.208333333336</v>
      </c>
      <c r="D1471">
        <v>39130.15</v>
      </c>
      <c r="E1471" t="s">
        <v>16</v>
      </c>
      <c r="F1471" t="s">
        <v>17</v>
      </c>
      <c r="G1471" t="s">
        <v>56</v>
      </c>
      <c r="H1471" t="s">
        <v>24</v>
      </c>
      <c r="I1471" t="s">
        <v>29</v>
      </c>
      <c r="J1471" t="s">
        <v>51</v>
      </c>
      <c r="K1471">
        <v>0</v>
      </c>
      <c r="L1471">
        <v>3</v>
      </c>
      <c r="M1471">
        <v>9.41</v>
      </c>
      <c r="N1471">
        <v>1</v>
      </c>
      <c r="O1471" t="str">
        <f>IF(financial_fraud_data[[#This Row],[Risk_Score]]&gt;8,"High",IF(financial_fraud_data[[#This Row],[Risk_Score]]&gt;5,"Med","Low"))</f>
        <v>High</v>
      </c>
      <c r="P1471" t="str">
        <f>TEXT(financial_fraud_data[[#This Row],[Transaction_Date]],"MMM")</f>
        <v>Mar</v>
      </c>
      <c r="Q1471" t="str">
        <f>IF(financial_fraud_data[[#This Row],[Is_Fraud]]=1,"Yes","No")</f>
        <v>Yes</v>
      </c>
    </row>
    <row r="1472" spans="1:17" x14ac:dyDescent="0.2">
      <c r="A1472" t="s">
        <v>1983</v>
      </c>
      <c r="B1472" t="s">
        <v>1150</v>
      </c>
      <c r="C1472" s="1">
        <v>45353.25</v>
      </c>
      <c r="D1472">
        <v>28372.46</v>
      </c>
      <c r="E1472" t="s">
        <v>16</v>
      </c>
      <c r="F1472" t="s">
        <v>27</v>
      </c>
      <c r="G1472" t="s">
        <v>56</v>
      </c>
      <c r="H1472" t="s">
        <v>23</v>
      </c>
      <c r="I1472" t="s">
        <v>19</v>
      </c>
      <c r="J1472" t="s">
        <v>20</v>
      </c>
      <c r="K1472">
        <v>0</v>
      </c>
      <c r="L1472">
        <v>4</v>
      </c>
      <c r="M1472">
        <v>9.84</v>
      </c>
      <c r="N1472">
        <v>1</v>
      </c>
      <c r="O1472" t="str">
        <f>IF(financial_fraud_data[[#This Row],[Risk_Score]]&gt;8,"High",IF(financial_fraud_data[[#This Row],[Risk_Score]]&gt;5,"Med","Low"))</f>
        <v>High</v>
      </c>
      <c r="P1472" t="str">
        <f>TEXT(financial_fraud_data[[#This Row],[Transaction_Date]],"MMM")</f>
        <v>Mar</v>
      </c>
      <c r="Q1472" t="str">
        <f>IF(financial_fraud_data[[#This Row],[Is_Fraud]]=1,"Yes","No")</f>
        <v>Yes</v>
      </c>
    </row>
    <row r="1473" spans="1:17" x14ac:dyDescent="0.2">
      <c r="A1473" t="s">
        <v>1984</v>
      </c>
      <c r="B1473" t="s">
        <v>1560</v>
      </c>
      <c r="C1473" s="1">
        <v>45353.291666666664</v>
      </c>
      <c r="D1473">
        <v>36935.54</v>
      </c>
      <c r="E1473" t="s">
        <v>80</v>
      </c>
      <c r="F1473" t="s">
        <v>27</v>
      </c>
      <c r="G1473" t="s">
        <v>18</v>
      </c>
      <c r="H1473" t="s">
        <v>19</v>
      </c>
      <c r="I1473" t="s">
        <v>24</v>
      </c>
      <c r="J1473" t="s">
        <v>51</v>
      </c>
      <c r="K1473">
        <v>0</v>
      </c>
      <c r="L1473">
        <v>2</v>
      </c>
      <c r="M1473">
        <v>7.69</v>
      </c>
      <c r="N1473">
        <v>1</v>
      </c>
      <c r="O1473" t="str">
        <f>IF(financial_fraud_data[[#This Row],[Risk_Score]]&gt;8,"High",IF(financial_fraud_data[[#This Row],[Risk_Score]]&gt;5,"Med","Low"))</f>
        <v>Med</v>
      </c>
      <c r="P1473" t="str">
        <f>TEXT(financial_fraud_data[[#This Row],[Transaction_Date]],"MMM")</f>
        <v>Mar</v>
      </c>
      <c r="Q1473" t="str">
        <f>IF(financial_fraud_data[[#This Row],[Is_Fraud]]=1,"Yes","No")</f>
        <v>Yes</v>
      </c>
    </row>
    <row r="1474" spans="1:17" x14ac:dyDescent="0.2">
      <c r="A1474" t="s">
        <v>1985</v>
      </c>
      <c r="B1474" t="s">
        <v>69</v>
      </c>
      <c r="C1474" s="1">
        <v>45353.333333333336</v>
      </c>
      <c r="D1474">
        <v>43931.85</v>
      </c>
      <c r="E1474" t="s">
        <v>16</v>
      </c>
      <c r="F1474" t="s">
        <v>17</v>
      </c>
      <c r="G1474" t="s">
        <v>65</v>
      </c>
      <c r="H1474" t="s">
        <v>29</v>
      </c>
      <c r="I1474" t="s">
        <v>19</v>
      </c>
      <c r="J1474" t="s">
        <v>37</v>
      </c>
      <c r="K1474">
        <v>0</v>
      </c>
      <c r="L1474">
        <v>1</v>
      </c>
      <c r="M1474">
        <v>6.89</v>
      </c>
      <c r="N1474">
        <v>1</v>
      </c>
      <c r="O1474" t="str">
        <f>IF(financial_fraud_data[[#This Row],[Risk_Score]]&gt;8,"High",IF(financial_fraud_data[[#This Row],[Risk_Score]]&gt;5,"Med","Low"))</f>
        <v>Med</v>
      </c>
      <c r="P1474" t="str">
        <f>TEXT(financial_fraud_data[[#This Row],[Transaction_Date]],"MMM")</f>
        <v>Mar</v>
      </c>
      <c r="Q1474" t="str">
        <f>IF(financial_fraud_data[[#This Row],[Is_Fraud]]=1,"Yes","No")</f>
        <v>Yes</v>
      </c>
    </row>
    <row r="1475" spans="1:17" x14ac:dyDescent="0.2">
      <c r="A1475" t="s">
        <v>1986</v>
      </c>
      <c r="B1475" t="s">
        <v>1027</v>
      </c>
      <c r="C1475" s="1">
        <v>45353.375</v>
      </c>
      <c r="D1475">
        <v>20236.810000000001</v>
      </c>
      <c r="E1475" t="s">
        <v>80</v>
      </c>
      <c r="F1475" t="s">
        <v>27</v>
      </c>
      <c r="G1475" t="s">
        <v>18</v>
      </c>
      <c r="H1475" t="s">
        <v>36</v>
      </c>
      <c r="I1475" t="s">
        <v>29</v>
      </c>
      <c r="J1475" t="s">
        <v>37</v>
      </c>
      <c r="K1475">
        <v>0</v>
      </c>
      <c r="L1475">
        <v>1</v>
      </c>
      <c r="M1475">
        <v>4.5199999999999996</v>
      </c>
      <c r="N1475">
        <v>0</v>
      </c>
      <c r="O1475" t="str">
        <f>IF(financial_fraud_data[[#This Row],[Risk_Score]]&gt;8,"High",IF(financial_fraud_data[[#This Row],[Risk_Score]]&gt;5,"Med","Low"))</f>
        <v>Low</v>
      </c>
      <c r="P1475" t="str">
        <f>TEXT(financial_fraud_data[[#This Row],[Transaction_Date]],"MMM")</f>
        <v>Mar</v>
      </c>
      <c r="Q1475" t="str">
        <f>IF(financial_fraud_data[[#This Row],[Is_Fraud]]=1,"Yes","No")</f>
        <v>No</v>
      </c>
    </row>
    <row r="1476" spans="1:17" x14ac:dyDescent="0.2">
      <c r="A1476" t="s">
        <v>1987</v>
      </c>
      <c r="B1476" t="s">
        <v>425</v>
      </c>
      <c r="C1476" s="1">
        <v>45353.416666666664</v>
      </c>
      <c r="D1476">
        <v>16385.310000000001</v>
      </c>
      <c r="E1476" t="s">
        <v>34</v>
      </c>
      <c r="F1476" t="s">
        <v>50</v>
      </c>
      <c r="G1476" t="s">
        <v>18</v>
      </c>
      <c r="H1476" t="s">
        <v>24</v>
      </c>
      <c r="I1476" t="s">
        <v>29</v>
      </c>
      <c r="J1476" t="s">
        <v>51</v>
      </c>
      <c r="K1476">
        <v>0</v>
      </c>
      <c r="L1476">
        <v>4</v>
      </c>
      <c r="M1476">
        <v>8.64</v>
      </c>
      <c r="N1476">
        <v>1</v>
      </c>
      <c r="O1476" t="str">
        <f>IF(financial_fraud_data[[#This Row],[Risk_Score]]&gt;8,"High",IF(financial_fraud_data[[#This Row],[Risk_Score]]&gt;5,"Med","Low"))</f>
        <v>High</v>
      </c>
      <c r="P1476" t="str">
        <f>TEXT(financial_fraud_data[[#This Row],[Transaction_Date]],"MMM")</f>
        <v>Mar</v>
      </c>
      <c r="Q1476" t="str">
        <f>IF(financial_fraud_data[[#This Row],[Is_Fraud]]=1,"Yes","No")</f>
        <v>Yes</v>
      </c>
    </row>
    <row r="1477" spans="1:17" x14ac:dyDescent="0.2">
      <c r="A1477" t="s">
        <v>1988</v>
      </c>
      <c r="B1477" t="s">
        <v>106</v>
      </c>
      <c r="C1477" s="1">
        <v>45353.458333333336</v>
      </c>
      <c r="D1477">
        <v>33396.29</v>
      </c>
      <c r="E1477" t="s">
        <v>34</v>
      </c>
      <c r="F1477" t="s">
        <v>27</v>
      </c>
      <c r="G1477" t="s">
        <v>28</v>
      </c>
      <c r="H1477" t="s">
        <v>23</v>
      </c>
      <c r="I1477" t="s">
        <v>19</v>
      </c>
      <c r="J1477" t="s">
        <v>51</v>
      </c>
      <c r="K1477">
        <v>0</v>
      </c>
      <c r="L1477">
        <v>0</v>
      </c>
      <c r="M1477">
        <v>4.34</v>
      </c>
      <c r="N1477">
        <v>0</v>
      </c>
      <c r="O1477" t="str">
        <f>IF(financial_fraud_data[[#This Row],[Risk_Score]]&gt;8,"High",IF(financial_fraud_data[[#This Row],[Risk_Score]]&gt;5,"Med","Low"))</f>
        <v>Low</v>
      </c>
      <c r="P1477" t="str">
        <f>TEXT(financial_fraud_data[[#This Row],[Transaction_Date]],"MMM")</f>
        <v>Mar</v>
      </c>
      <c r="Q1477" t="str">
        <f>IF(financial_fraud_data[[#This Row],[Is_Fraud]]=1,"Yes","No")</f>
        <v>No</v>
      </c>
    </row>
    <row r="1478" spans="1:17" x14ac:dyDescent="0.2">
      <c r="A1478" t="s">
        <v>1989</v>
      </c>
      <c r="B1478" t="s">
        <v>121</v>
      </c>
      <c r="C1478" s="1">
        <v>45353.5</v>
      </c>
      <c r="D1478">
        <v>40401.9</v>
      </c>
      <c r="E1478" t="s">
        <v>34</v>
      </c>
      <c r="F1478" t="s">
        <v>50</v>
      </c>
      <c r="G1478" t="s">
        <v>28</v>
      </c>
      <c r="H1478" t="s">
        <v>29</v>
      </c>
      <c r="I1478" t="s">
        <v>29</v>
      </c>
      <c r="J1478" t="s">
        <v>37</v>
      </c>
      <c r="K1478">
        <v>0</v>
      </c>
      <c r="L1478">
        <v>3</v>
      </c>
      <c r="M1478">
        <v>8.5399999999999991</v>
      </c>
      <c r="N1478">
        <v>1</v>
      </c>
      <c r="O1478" t="str">
        <f>IF(financial_fraud_data[[#This Row],[Risk_Score]]&gt;8,"High",IF(financial_fraud_data[[#This Row],[Risk_Score]]&gt;5,"Med","Low"))</f>
        <v>High</v>
      </c>
      <c r="P1478" t="str">
        <f>TEXT(financial_fraud_data[[#This Row],[Transaction_Date]],"MMM")</f>
        <v>Mar</v>
      </c>
      <c r="Q1478" t="str">
        <f>IF(financial_fraud_data[[#This Row],[Is_Fraud]]=1,"Yes","No")</f>
        <v>Yes</v>
      </c>
    </row>
    <row r="1479" spans="1:17" x14ac:dyDescent="0.2">
      <c r="A1479" t="s">
        <v>1990</v>
      </c>
      <c r="B1479" t="s">
        <v>837</v>
      </c>
      <c r="C1479" s="1">
        <v>45353.541666666664</v>
      </c>
      <c r="D1479">
        <v>38126.14</v>
      </c>
      <c r="E1479" t="s">
        <v>16</v>
      </c>
      <c r="F1479" t="s">
        <v>17</v>
      </c>
      <c r="G1479" t="s">
        <v>18</v>
      </c>
      <c r="H1479" t="s">
        <v>24</v>
      </c>
      <c r="I1479" t="s">
        <v>36</v>
      </c>
      <c r="J1479" t="s">
        <v>51</v>
      </c>
      <c r="K1479">
        <v>0</v>
      </c>
      <c r="L1479">
        <v>2</v>
      </c>
      <c r="M1479">
        <v>7.81</v>
      </c>
      <c r="N1479">
        <v>1</v>
      </c>
      <c r="O1479" t="str">
        <f>IF(financial_fraud_data[[#This Row],[Risk_Score]]&gt;8,"High",IF(financial_fraud_data[[#This Row],[Risk_Score]]&gt;5,"Med","Low"))</f>
        <v>Med</v>
      </c>
      <c r="P1479" t="str">
        <f>TEXT(financial_fraud_data[[#This Row],[Transaction_Date]],"MMM")</f>
        <v>Mar</v>
      </c>
      <c r="Q1479" t="str">
        <f>IF(financial_fraud_data[[#This Row],[Is_Fraud]]=1,"Yes","No")</f>
        <v>Yes</v>
      </c>
    </row>
    <row r="1480" spans="1:17" x14ac:dyDescent="0.2">
      <c r="A1480" t="s">
        <v>1991</v>
      </c>
      <c r="B1480" t="s">
        <v>1352</v>
      </c>
      <c r="C1480" s="1">
        <v>45353.583333333336</v>
      </c>
      <c r="D1480">
        <v>39900.79</v>
      </c>
      <c r="E1480" t="s">
        <v>42</v>
      </c>
      <c r="F1480" t="s">
        <v>17</v>
      </c>
      <c r="G1480" t="s">
        <v>35</v>
      </c>
      <c r="H1480" t="s">
        <v>19</v>
      </c>
      <c r="I1480" t="s">
        <v>23</v>
      </c>
      <c r="J1480" t="s">
        <v>37</v>
      </c>
      <c r="K1480">
        <v>0</v>
      </c>
      <c r="L1480">
        <v>0</v>
      </c>
      <c r="M1480">
        <v>4.99</v>
      </c>
      <c r="N1480">
        <v>0</v>
      </c>
      <c r="O1480" t="str">
        <f>IF(financial_fraud_data[[#This Row],[Risk_Score]]&gt;8,"High",IF(financial_fraud_data[[#This Row],[Risk_Score]]&gt;5,"Med","Low"))</f>
        <v>Low</v>
      </c>
      <c r="P1480" t="str">
        <f>TEXT(financial_fraud_data[[#This Row],[Transaction_Date]],"MMM")</f>
        <v>Mar</v>
      </c>
      <c r="Q1480" t="str">
        <f>IF(financial_fraud_data[[#This Row],[Is_Fraud]]=1,"Yes","No")</f>
        <v>No</v>
      </c>
    </row>
    <row r="1481" spans="1:17" x14ac:dyDescent="0.2">
      <c r="A1481" t="s">
        <v>1992</v>
      </c>
      <c r="B1481" t="s">
        <v>1757</v>
      </c>
      <c r="C1481" s="1">
        <v>45353.625</v>
      </c>
      <c r="D1481">
        <v>21807.39</v>
      </c>
      <c r="E1481" t="s">
        <v>42</v>
      </c>
      <c r="F1481" t="s">
        <v>27</v>
      </c>
      <c r="G1481" t="s">
        <v>28</v>
      </c>
      <c r="H1481" t="s">
        <v>19</v>
      </c>
      <c r="I1481" t="s">
        <v>23</v>
      </c>
      <c r="J1481" t="s">
        <v>51</v>
      </c>
      <c r="K1481">
        <v>0</v>
      </c>
      <c r="L1481">
        <v>4</v>
      </c>
      <c r="M1481">
        <v>9.18</v>
      </c>
      <c r="N1481">
        <v>1</v>
      </c>
      <c r="O1481" t="str">
        <f>IF(financial_fraud_data[[#This Row],[Risk_Score]]&gt;8,"High",IF(financial_fraud_data[[#This Row],[Risk_Score]]&gt;5,"Med","Low"))</f>
        <v>High</v>
      </c>
      <c r="P1481" t="str">
        <f>TEXT(financial_fraud_data[[#This Row],[Transaction_Date]],"MMM")</f>
        <v>Mar</v>
      </c>
      <c r="Q1481" t="str">
        <f>IF(financial_fraud_data[[#This Row],[Is_Fraud]]=1,"Yes","No")</f>
        <v>Yes</v>
      </c>
    </row>
    <row r="1482" spans="1:17" x14ac:dyDescent="0.2">
      <c r="A1482" t="s">
        <v>1993</v>
      </c>
      <c r="B1482" t="s">
        <v>415</v>
      </c>
      <c r="C1482" s="1">
        <v>45353.666666666664</v>
      </c>
      <c r="D1482">
        <v>40900.82</v>
      </c>
      <c r="E1482" t="s">
        <v>16</v>
      </c>
      <c r="F1482" t="s">
        <v>50</v>
      </c>
      <c r="G1482" t="s">
        <v>18</v>
      </c>
      <c r="H1482" t="s">
        <v>29</v>
      </c>
      <c r="I1482" t="s">
        <v>23</v>
      </c>
      <c r="J1482" t="s">
        <v>37</v>
      </c>
      <c r="K1482">
        <v>0</v>
      </c>
      <c r="L1482">
        <v>4</v>
      </c>
      <c r="M1482">
        <v>11.09</v>
      </c>
      <c r="N1482">
        <v>1</v>
      </c>
      <c r="O1482" t="str">
        <f>IF(financial_fraud_data[[#This Row],[Risk_Score]]&gt;8,"High",IF(financial_fraud_data[[#This Row],[Risk_Score]]&gt;5,"Med","Low"))</f>
        <v>High</v>
      </c>
      <c r="P1482" t="str">
        <f>TEXT(financial_fraud_data[[#This Row],[Transaction_Date]],"MMM")</f>
        <v>Mar</v>
      </c>
      <c r="Q1482" t="str">
        <f>IF(financial_fraud_data[[#This Row],[Is_Fraud]]=1,"Yes","No")</f>
        <v>Yes</v>
      </c>
    </row>
    <row r="1483" spans="1:17" x14ac:dyDescent="0.2">
      <c r="A1483" t="s">
        <v>1994</v>
      </c>
      <c r="B1483" t="s">
        <v>502</v>
      </c>
      <c r="C1483" s="1">
        <v>45353.708333333336</v>
      </c>
      <c r="D1483">
        <v>6054.44</v>
      </c>
      <c r="E1483" t="s">
        <v>42</v>
      </c>
      <c r="F1483" t="s">
        <v>27</v>
      </c>
      <c r="G1483" t="s">
        <v>65</v>
      </c>
      <c r="H1483" t="s">
        <v>19</v>
      </c>
      <c r="I1483" t="s">
        <v>36</v>
      </c>
      <c r="J1483" t="s">
        <v>37</v>
      </c>
      <c r="K1483">
        <v>0</v>
      </c>
      <c r="L1483">
        <v>1</v>
      </c>
      <c r="M1483">
        <v>3.11</v>
      </c>
      <c r="N1483">
        <v>0</v>
      </c>
      <c r="O1483" t="str">
        <f>IF(financial_fraud_data[[#This Row],[Risk_Score]]&gt;8,"High",IF(financial_fraud_data[[#This Row],[Risk_Score]]&gt;5,"Med","Low"))</f>
        <v>Low</v>
      </c>
      <c r="P1483" t="str">
        <f>TEXT(financial_fraud_data[[#This Row],[Transaction_Date]],"MMM")</f>
        <v>Mar</v>
      </c>
      <c r="Q1483" t="str">
        <f>IF(financial_fraud_data[[#This Row],[Is_Fraud]]=1,"Yes","No")</f>
        <v>No</v>
      </c>
    </row>
    <row r="1484" spans="1:17" x14ac:dyDescent="0.2">
      <c r="A1484" t="s">
        <v>1995</v>
      </c>
      <c r="B1484" t="s">
        <v>1099</v>
      </c>
      <c r="C1484" s="1">
        <v>45353.75</v>
      </c>
      <c r="D1484">
        <v>27247.23</v>
      </c>
      <c r="E1484" t="s">
        <v>80</v>
      </c>
      <c r="F1484" t="s">
        <v>47</v>
      </c>
      <c r="G1484" t="s">
        <v>35</v>
      </c>
      <c r="H1484" t="s">
        <v>36</v>
      </c>
      <c r="I1484" t="s">
        <v>29</v>
      </c>
      <c r="J1484" t="s">
        <v>20</v>
      </c>
      <c r="K1484">
        <v>0</v>
      </c>
      <c r="L1484">
        <v>2</v>
      </c>
      <c r="M1484">
        <v>6.72</v>
      </c>
      <c r="N1484">
        <v>1</v>
      </c>
      <c r="O1484" t="str">
        <f>IF(financial_fraud_data[[#This Row],[Risk_Score]]&gt;8,"High",IF(financial_fraud_data[[#This Row],[Risk_Score]]&gt;5,"Med","Low"))</f>
        <v>Med</v>
      </c>
      <c r="P1484" t="str">
        <f>TEXT(financial_fraud_data[[#This Row],[Transaction_Date]],"MMM")</f>
        <v>Mar</v>
      </c>
      <c r="Q1484" t="str">
        <f>IF(financial_fraud_data[[#This Row],[Is_Fraud]]=1,"Yes","No")</f>
        <v>Yes</v>
      </c>
    </row>
    <row r="1485" spans="1:17" x14ac:dyDescent="0.2">
      <c r="A1485" t="s">
        <v>1996</v>
      </c>
      <c r="B1485" t="s">
        <v>193</v>
      </c>
      <c r="C1485" s="1">
        <v>45353.791666666664</v>
      </c>
      <c r="D1485">
        <v>337.65</v>
      </c>
      <c r="E1485" t="s">
        <v>42</v>
      </c>
      <c r="F1485" t="s">
        <v>47</v>
      </c>
      <c r="G1485" t="s">
        <v>56</v>
      </c>
      <c r="H1485" t="s">
        <v>29</v>
      </c>
      <c r="I1485" t="s">
        <v>19</v>
      </c>
      <c r="J1485" t="s">
        <v>37</v>
      </c>
      <c r="K1485">
        <v>1</v>
      </c>
      <c r="L1485">
        <v>0</v>
      </c>
      <c r="M1485">
        <v>3.03</v>
      </c>
      <c r="N1485">
        <v>0</v>
      </c>
      <c r="O1485" t="str">
        <f>IF(financial_fraud_data[[#This Row],[Risk_Score]]&gt;8,"High",IF(financial_fraud_data[[#This Row],[Risk_Score]]&gt;5,"Med","Low"))</f>
        <v>Low</v>
      </c>
      <c r="P1485" t="str">
        <f>TEXT(financial_fraud_data[[#This Row],[Transaction_Date]],"MMM")</f>
        <v>Mar</v>
      </c>
      <c r="Q1485" t="str">
        <f>IF(financial_fraud_data[[#This Row],[Is_Fraud]]=1,"Yes","No")</f>
        <v>No</v>
      </c>
    </row>
    <row r="1486" spans="1:17" x14ac:dyDescent="0.2">
      <c r="A1486" t="s">
        <v>1997</v>
      </c>
      <c r="B1486" t="s">
        <v>102</v>
      </c>
      <c r="C1486" s="1">
        <v>45353.833333333336</v>
      </c>
      <c r="D1486">
        <v>16263.06</v>
      </c>
      <c r="E1486" t="s">
        <v>16</v>
      </c>
      <c r="F1486" t="s">
        <v>47</v>
      </c>
      <c r="G1486" t="s">
        <v>18</v>
      </c>
      <c r="H1486" t="s">
        <v>19</v>
      </c>
      <c r="I1486" t="s">
        <v>24</v>
      </c>
      <c r="J1486" t="s">
        <v>37</v>
      </c>
      <c r="K1486">
        <v>0</v>
      </c>
      <c r="L1486">
        <v>1</v>
      </c>
      <c r="M1486">
        <v>4.13</v>
      </c>
      <c r="N1486">
        <v>0</v>
      </c>
      <c r="O1486" t="str">
        <f>IF(financial_fraud_data[[#This Row],[Risk_Score]]&gt;8,"High",IF(financial_fraud_data[[#This Row],[Risk_Score]]&gt;5,"Med","Low"))</f>
        <v>Low</v>
      </c>
      <c r="P1486" t="str">
        <f>TEXT(financial_fraud_data[[#This Row],[Transaction_Date]],"MMM")</f>
        <v>Mar</v>
      </c>
      <c r="Q1486" t="str">
        <f>IF(financial_fraud_data[[#This Row],[Is_Fraud]]=1,"Yes","No")</f>
        <v>No</v>
      </c>
    </row>
    <row r="1487" spans="1:17" x14ac:dyDescent="0.2">
      <c r="A1487" t="s">
        <v>1998</v>
      </c>
      <c r="B1487" t="s">
        <v>1286</v>
      </c>
      <c r="C1487" s="1">
        <v>45353.875</v>
      </c>
      <c r="D1487">
        <v>18354.75</v>
      </c>
      <c r="E1487" t="s">
        <v>16</v>
      </c>
      <c r="F1487" t="s">
        <v>47</v>
      </c>
      <c r="G1487" t="s">
        <v>18</v>
      </c>
      <c r="H1487" t="s">
        <v>23</v>
      </c>
      <c r="I1487" t="s">
        <v>29</v>
      </c>
      <c r="J1487" t="s">
        <v>20</v>
      </c>
      <c r="K1487">
        <v>0</v>
      </c>
      <c r="L1487">
        <v>2</v>
      </c>
      <c r="M1487">
        <v>5.84</v>
      </c>
      <c r="N1487">
        <v>1</v>
      </c>
      <c r="O1487" t="str">
        <f>IF(financial_fraud_data[[#This Row],[Risk_Score]]&gt;8,"High",IF(financial_fraud_data[[#This Row],[Risk_Score]]&gt;5,"Med","Low"))</f>
        <v>Med</v>
      </c>
      <c r="P1487" t="str">
        <f>TEXT(financial_fraud_data[[#This Row],[Transaction_Date]],"MMM")</f>
        <v>Mar</v>
      </c>
      <c r="Q1487" t="str">
        <f>IF(financial_fraud_data[[#This Row],[Is_Fraud]]=1,"Yes","No")</f>
        <v>Yes</v>
      </c>
    </row>
    <row r="1488" spans="1:17" x14ac:dyDescent="0.2">
      <c r="A1488" t="s">
        <v>1999</v>
      </c>
      <c r="B1488" t="s">
        <v>359</v>
      </c>
      <c r="C1488" s="1">
        <v>45353.916666666664</v>
      </c>
      <c r="D1488">
        <v>19838.830000000002</v>
      </c>
      <c r="E1488" t="s">
        <v>80</v>
      </c>
      <c r="F1488" t="s">
        <v>27</v>
      </c>
      <c r="G1488" t="s">
        <v>35</v>
      </c>
      <c r="H1488" t="s">
        <v>19</v>
      </c>
      <c r="I1488" t="s">
        <v>36</v>
      </c>
      <c r="J1488" t="s">
        <v>20</v>
      </c>
      <c r="K1488">
        <v>0</v>
      </c>
      <c r="L1488">
        <v>3</v>
      </c>
      <c r="M1488">
        <v>7.48</v>
      </c>
      <c r="N1488">
        <v>1</v>
      </c>
      <c r="O1488" t="str">
        <f>IF(financial_fraud_data[[#This Row],[Risk_Score]]&gt;8,"High",IF(financial_fraud_data[[#This Row],[Risk_Score]]&gt;5,"Med","Low"))</f>
        <v>Med</v>
      </c>
      <c r="P1488" t="str">
        <f>TEXT(financial_fraud_data[[#This Row],[Transaction_Date]],"MMM")</f>
        <v>Mar</v>
      </c>
      <c r="Q1488" t="str">
        <f>IF(financial_fraud_data[[#This Row],[Is_Fraud]]=1,"Yes","No")</f>
        <v>Yes</v>
      </c>
    </row>
    <row r="1489" spans="1:17" x14ac:dyDescent="0.2">
      <c r="A1489" t="s">
        <v>2000</v>
      </c>
      <c r="B1489" t="s">
        <v>580</v>
      </c>
      <c r="C1489" s="1">
        <v>45353.958333333336</v>
      </c>
      <c r="D1489">
        <v>34788.589999999997</v>
      </c>
      <c r="E1489" t="s">
        <v>34</v>
      </c>
      <c r="F1489" t="s">
        <v>47</v>
      </c>
      <c r="G1489" t="s">
        <v>28</v>
      </c>
      <c r="H1489" t="s">
        <v>36</v>
      </c>
      <c r="I1489" t="s">
        <v>36</v>
      </c>
      <c r="J1489" t="s">
        <v>51</v>
      </c>
      <c r="K1489">
        <v>0</v>
      </c>
      <c r="L1489">
        <v>3</v>
      </c>
      <c r="M1489">
        <v>7.98</v>
      </c>
      <c r="N1489">
        <v>1</v>
      </c>
      <c r="O1489" t="str">
        <f>IF(financial_fraud_data[[#This Row],[Risk_Score]]&gt;8,"High",IF(financial_fraud_data[[#This Row],[Risk_Score]]&gt;5,"Med","Low"))</f>
        <v>Med</v>
      </c>
      <c r="P1489" t="str">
        <f>TEXT(financial_fraud_data[[#This Row],[Transaction_Date]],"MMM")</f>
        <v>Mar</v>
      </c>
      <c r="Q1489" t="str">
        <f>IF(financial_fraud_data[[#This Row],[Is_Fraud]]=1,"Yes","No")</f>
        <v>Yes</v>
      </c>
    </row>
    <row r="1490" spans="1:17" x14ac:dyDescent="0.2">
      <c r="A1490" t="s">
        <v>2001</v>
      </c>
      <c r="B1490" t="s">
        <v>688</v>
      </c>
      <c r="C1490" s="1">
        <v>45354</v>
      </c>
      <c r="D1490">
        <v>19458.48</v>
      </c>
      <c r="E1490" t="s">
        <v>16</v>
      </c>
      <c r="F1490" t="s">
        <v>50</v>
      </c>
      <c r="G1490" t="s">
        <v>28</v>
      </c>
      <c r="H1490" t="s">
        <v>24</v>
      </c>
      <c r="I1490" t="s">
        <v>23</v>
      </c>
      <c r="J1490" t="s">
        <v>51</v>
      </c>
      <c r="K1490">
        <v>0</v>
      </c>
      <c r="L1490">
        <v>1</v>
      </c>
      <c r="M1490">
        <v>4.45</v>
      </c>
      <c r="N1490">
        <v>0</v>
      </c>
      <c r="O1490" t="str">
        <f>IF(financial_fraud_data[[#This Row],[Risk_Score]]&gt;8,"High",IF(financial_fraud_data[[#This Row],[Risk_Score]]&gt;5,"Med","Low"))</f>
        <v>Low</v>
      </c>
      <c r="P1490" t="str">
        <f>TEXT(financial_fraud_data[[#This Row],[Transaction_Date]],"MMM")</f>
        <v>Mar</v>
      </c>
      <c r="Q1490" t="str">
        <f>IF(financial_fraud_data[[#This Row],[Is_Fraud]]=1,"Yes","No")</f>
        <v>No</v>
      </c>
    </row>
    <row r="1491" spans="1:17" x14ac:dyDescent="0.2">
      <c r="A1491" t="s">
        <v>2002</v>
      </c>
      <c r="B1491" t="s">
        <v>989</v>
      </c>
      <c r="C1491" s="1">
        <v>45354.041666666664</v>
      </c>
      <c r="D1491">
        <v>22462.25</v>
      </c>
      <c r="E1491" t="s">
        <v>80</v>
      </c>
      <c r="F1491" t="s">
        <v>17</v>
      </c>
      <c r="G1491" t="s">
        <v>28</v>
      </c>
      <c r="H1491" t="s">
        <v>24</v>
      </c>
      <c r="I1491" t="s">
        <v>29</v>
      </c>
      <c r="J1491" t="s">
        <v>37</v>
      </c>
      <c r="K1491">
        <v>0</v>
      </c>
      <c r="L1491">
        <v>0</v>
      </c>
      <c r="M1491">
        <v>3.25</v>
      </c>
      <c r="N1491">
        <v>0</v>
      </c>
      <c r="O1491" t="str">
        <f>IF(financial_fraud_data[[#This Row],[Risk_Score]]&gt;8,"High",IF(financial_fraud_data[[#This Row],[Risk_Score]]&gt;5,"Med","Low"))</f>
        <v>Low</v>
      </c>
      <c r="P1491" t="str">
        <f>TEXT(financial_fraud_data[[#This Row],[Transaction_Date]],"MMM")</f>
        <v>Mar</v>
      </c>
      <c r="Q1491" t="str">
        <f>IF(financial_fraud_data[[#This Row],[Is_Fraud]]=1,"Yes","No")</f>
        <v>No</v>
      </c>
    </row>
    <row r="1492" spans="1:17" x14ac:dyDescent="0.2">
      <c r="A1492" t="s">
        <v>2003</v>
      </c>
      <c r="B1492" t="s">
        <v>2004</v>
      </c>
      <c r="C1492" s="1">
        <v>45354.083333333336</v>
      </c>
      <c r="D1492">
        <v>11915.33</v>
      </c>
      <c r="E1492" t="s">
        <v>42</v>
      </c>
      <c r="F1492" t="s">
        <v>17</v>
      </c>
      <c r="G1492" t="s">
        <v>56</v>
      </c>
      <c r="H1492" t="s">
        <v>19</v>
      </c>
      <c r="I1492" t="s">
        <v>23</v>
      </c>
      <c r="J1492" t="s">
        <v>51</v>
      </c>
      <c r="K1492">
        <v>0</v>
      </c>
      <c r="L1492">
        <v>2</v>
      </c>
      <c r="M1492">
        <v>5.19</v>
      </c>
      <c r="N1492">
        <v>1</v>
      </c>
      <c r="O1492" t="str">
        <f>IF(financial_fraud_data[[#This Row],[Risk_Score]]&gt;8,"High",IF(financial_fraud_data[[#This Row],[Risk_Score]]&gt;5,"Med","Low"))</f>
        <v>Med</v>
      </c>
      <c r="P1492" t="str">
        <f>TEXT(financial_fraud_data[[#This Row],[Transaction_Date]],"MMM")</f>
        <v>Mar</v>
      </c>
      <c r="Q1492" t="str">
        <f>IF(financial_fraud_data[[#This Row],[Is_Fraud]]=1,"Yes","No")</f>
        <v>Yes</v>
      </c>
    </row>
    <row r="1493" spans="1:17" x14ac:dyDescent="0.2">
      <c r="A1493" t="s">
        <v>2005</v>
      </c>
      <c r="B1493" t="s">
        <v>608</v>
      </c>
      <c r="C1493" s="1">
        <v>45354.125</v>
      </c>
      <c r="D1493">
        <v>18693.93</v>
      </c>
      <c r="E1493" t="s">
        <v>42</v>
      </c>
      <c r="F1493" t="s">
        <v>47</v>
      </c>
      <c r="G1493" t="s">
        <v>35</v>
      </c>
      <c r="H1493" t="s">
        <v>24</v>
      </c>
      <c r="I1493" t="s">
        <v>24</v>
      </c>
      <c r="J1493" t="s">
        <v>51</v>
      </c>
      <c r="K1493">
        <v>0</v>
      </c>
      <c r="L1493">
        <v>3</v>
      </c>
      <c r="M1493">
        <v>6.37</v>
      </c>
      <c r="N1493">
        <v>1</v>
      </c>
      <c r="O1493" t="str">
        <f>IF(financial_fraud_data[[#This Row],[Risk_Score]]&gt;8,"High",IF(financial_fraud_data[[#This Row],[Risk_Score]]&gt;5,"Med","Low"))</f>
        <v>Med</v>
      </c>
      <c r="P1493" t="str">
        <f>TEXT(financial_fraud_data[[#This Row],[Transaction_Date]],"MMM")</f>
        <v>Mar</v>
      </c>
      <c r="Q1493" t="str">
        <f>IF(financial_fraud_data[[#This Row],[Is_Fraud]]=1,"Yes","No")</f>
        <v>Yes</v>
      </c>
    </row>
    <row r="1494" spans="1:17" x14ac:dyDescent="0.2">
      <c r="A1494" t="s">
        <v>2006</v>
      </c>
      <c r="B1494" t="s">
        <v>580</v>
      </c>
      <c r="C1494" s="1">
        <v>45354.166666666664</v>
      </c>
      <c r="D1494">
        <v>11402.12</v>
      </c>
      <c r="E1494" t="s">
        <v>80</v>
      </c>
      <c r="F1494" t="s">
        <v>47</v>
      </c>
      <c r="G1494" t="s">
        <v>35</v>
      </c>
      <c r="H1494" t="s">
        <v>19</v>
      </c>
      <c r="I1494" t="s">
        <v>23</v>
      </c>
      <c r="J1494" t="s">
        <v>37</v>
      </c>
      <c r="K1494">
        <v>0</v>
      </c>
      <c r="L1494">
        <v>3</v>
      </c>
      <c r="M1494">
        <v>6.64</v>
      </c>
      <c r="N1494">
        <v>1</v>
      </c>
      <c r="O1494" t="str">
        <f>IF(financial_fraud_data[[#This Row],[Risk_Score]]&gt;8,"High",IF(financial_fraud_data[[#This Row],[Risk_Score]]&gt;5,"Med","Low"))</f>
        <v>Med</v>
      </c>
      <c r="P1494" t="str">
        <f>TEXT(financial_fraud_data[[#This Row],[Transaction_Date]],"MMM")</f>
        <v>Mar</v>
      </c>
      <c r="Q1494" t="str">
        <f>IF(financial_fraud_data[[#This Row],[Is_Fraud]]=1,"Yes","No")</f>
        <v>Yes</v>
      </c>
    </row>
    <row r="1495" spans="1:17" x14ac:dyDescent="0.2">
      <c r="A1495" t="s">
        <v>2007</v>
      </c>
      <c r="B1495" t="s">
        <v>625</v>
      </c>
      <c r="C1495" s="1">
        <v>45354.208333333336</v>
      </c>
      <c r="D1495">
        <v>3706.14</v>
      </c>
      <c r="E1495" t="s">
        <v>80</v>
      </c>
      <c r="F1495" t="s">
        <v>47</v>
      </c>
      <c r="G1495" t="s">
        <v>28</v>
      </c>
      <c r="H1495" t="s">
        <v>36</v>
      </c>
      <c r="I1495" t="s">
        <v>24</v>
      </c>
      <c r="J1495" t="s">
        <v>20</v>
      </c>
      <c r="K1495">
        <v>0</v>
      </c>
      <c r="L1495">
        <v>0</v>
      </c>
      <c r="M1495">
        <v>1.37</v>
      </c>
      <c r="N1495">
        <v>0</v>
      </c>
      <c r="O1495" t="str">
        <f>IF(financial_fraud_data[[#This Row],[Risk_Score]]&gt;8,"High",IF(financial_fraud_data[[#This Row],[Risk_Score]]&gt;5,"Med","Low"))</f>
        <v>Low</v>
      </c>
      <c r="P1495" t="str">
        <f>TEXT(financial_fraud_data[[#This Row],[Transaction_Date]],"MMM")</f>
        <v>Mar</v>
      </c>
      <c r="Q1495" t="str">
        <f>IF(financial_fraud_data[[#This Row],[Is_Fraud]]=1,"Yes","No")</f>
        <v>No</v>
      </c>
    </row>
    <row r="1496" spans="1:17" x14ac:dyDescent="0.2">
      <c r="A1496" t="s">
        <v>2008</v>
      </c>
      <c r="B1496" t="s">
        <v>749</v>
      </c>
      <c r="C1496" s="1">
        <v>45354.25</v>
      </c>
      <c r="D1496">
        <v>30192.26</v>
      </c>
      <c r="E1496" t="s">
        <v>16</v>
      </c>
      <c r="F1496" t="s">
        <v>27</v>
      </c>
      <c r="G1496" t="s">
        <v>28</v>
      </c>
      <c r="H1496" t="s">
        <v>24</v>
      </c>
      <c r="I1496" t="s">
        <v>36</v>
      </c>
      <c r="J1496" t="s">
        <v>20</v>
      </c>
      <c r="K1496">
        <v>0</v>
      </c>
      <c r="L1496">
        <v>1</v>
      </c>
      <c r="M1496">
        <v>5.52</v>
      </c>
      <c r="N1496">
        <v>1</v>
      </c>
      <c r="O1496" t="str">
        <f>IF(financial_fraud_data[[#This Row],[Risk_Score]]&gt;8,"High",IF(financial_fraud_data[[#This Row],[Risk_Score]]&gt;5,"Med","Low"))</f>
        <v>Med</v>
      </c>
      <c r="P1496" t="str">
        <f>TEXT(financial_fraud_data[[#This Row],[Transaction_Date]],"MMM")</f>
        <v>Mar</v>
      </c>
      <c r="Q1496" t="str">
        <f>IF(financial_fraud_data[[#This Row],[Is_Fraud]]=1,"Yes","No")</f>
        <v>Yes</v>
      </c>
    </row>
    <row r="1497" spans="1:17" x14ac:dyDescent="0.2">
      <c r="A1497" t="s">
        <v>2009</v>
      </c>
      <c r="B1497" t="s">
        <v>298</v>
      </c>
      <c r="C1497" s="1">
        <v>45354.291666666664</v>
      </c>
      <c r="D1497">
        <v>33427.230000000003</v>
      </c>
      <c r="E1497" t="s">
        <v>42</v>
      </c>
      <c r="F1497" t="s">
        <v>17</v>
      </c>
      <c r="G1497" t="s">
        <v>65</v>
      </c>
      <c r="H1497" t="s">
        <v>23</v>
      </c>
      <c r="I1497" t="s">
        <v>23</v>
      </c>
      <c r="J1497" t="s">
        <v>37</v>
      </c>
      <c r="K1497">
        <v>0</v>
      </c>
      <c r="L1497">
        <v>4</v>
      </c>
      <c r="M1497">
        <v>9.34</v>
      </c>
      <c r="N1497">
        <v>1</v>
      </c>
      <c r="O1497" t="str">
        <f>IF(financial_fraud_data[[#This Row],[Risk_Score]]&gt;8,"High",IF(financial_fraud_data[[#This Row],[Risk_Score]]&gt;5,"Med","Low"))</f>
        <v>High</v>
      </c>
      <c r="P1497" t="str">
        <f>TEXT(financial_fraud_data[[#This Row],[Transaction_Date]],"MMM")</f>
        <v>Mar</v>
      </c>
      <c r="Q1497" t="str">
        <f>IF(financial_fraud_data[[#This Row],[Is_Fraud]]=1,"Yes","No")</f>
        <v>Yes</v>
      </c>
    </row>
    <row r="1498" spans="1:17" x14ac:dyDescent="0.2">
      <c r="A1498" t="s">
        <v>2010</v>
      </c>
      <c r="B1498" t="s">
        <v>1913</v>
      </c>
      <c r="C1498" s="1">
        <v>45354.333333333336</v>
      </c>
      <c r="D1498">
        <v>30993.54</v>
      </c>
      <c r="E1498" t="s">
        <v>80</v>
      </c>
      <c r="F1498" t="s">
        <v>47</v>
      </c>
      <c r="G1498" t="s">
        <v>65</v>
      </c>
      <c r="H1498" t="s">
        <v>19</v>
      </c>
      <c r="I1498" t="s">
        <v>23</v>
      </c>
      <c r="J1498" t="s">
        <v>37</v>
      </c>
      <c r="K1498">
        <v>0</v>
      </c>
      <c r="L1498">
        <v>2</v>
      </c>
      <c r="M1498">
        <v>7.1</v>
      </c>
      <c r="N1498">
        <v>1</v>
      </c>
      <c r="O1498" t="str">
        <f>IF(financial_fraud_data[[#This Row],[Risk_Score]]&gt;8,"High",IF(financial_fraud_data[[#This Row],[Risk_Score]]&gt;5,"Med","Low"))</f>
        <v>Med</v>
      </c>
      <c r="P1498" t="str">
        <f>TEXT(financial_fraud_data[[#This Row],[Transaction_Date]],"MMM")</f>
        <v>Mar</v>
      </c>
      <c r="Q1498" t="str">
        <f>IF(financial_fraud_data[[#This Row],[Is_Fraud]]=1,"Yes","No")</f>
        <v>Yes</v>
      </c>
    </row>
    <row r="1499" spans="1:17" x14ac:dyDescent="0.2">
      <c r="A1499" t="s">
        <v>2011</v>
      </c>
      <c r="B1499" t="s">
        <v>1521</v>
      </c>
      <c r="C1499" s="1">
        <v>45354.375</v>
      </c>
      <c r="D1499">
        <v>23201.53</v>
      </c>
      <c r="E1499" t="s">
        <v>42</v>
      </c>
      <c r="F1499" t="s">
        <v>50</v>
      </c>
      <c r="G1499" t="s">
        <v>18</v>
      </c>
      <c r="H1499" t="s">
        <v>24</v>
      </c>
      <c r="I1499" t="s">
        <v>19</v>
      </c>
      <c r="J1499" t="s">
        <v>37</v>
      </c>
      <c r="K1499">
        <v>0</v>
      </c>
      <c r="L1499">
        <v>3</v>
      </c>
      <c r="M1499">
        <v>7.82</v>
      </c>
      <c r="N1499">
        <v>1</v>
      </c>
      <c r="O1499" t="str">
        <f>IF(financial_fraud_data[[#This Row],[Risk_Score]]&gt;8,"High",IF(financial_fraud_data[[#This Row],[Risk_Score]]&gt;5,"Med","Low"))</f>
        <v>Med</v>
      </c>
      <c r="P1499" t="str">
        <f>TEXT(financial_fraud_data[[#This Row],[Transaction_Date]],"MMM")</f>
        <v>Mar</v>
      </c>
      <c r="Q1499" t="str">
        <f>IF(financial_fraud_data[[#This Row],[Is_Fraud]]=1,"Yes","No")</f>
        <v>Yes</v>
      </c>
    </row>
    <row r="1500" spans="1:17" x14ac:dyDescent="0.2">
      <c r="A1500" t="s">
        <v>2012</v>
      </c>
      <c r="B1500" t="s">
        <v>1544</v>
      </c>
      <c r="C1500" s="1">
        <v>45354.416666666664</v>
      </c>
      <c r="D1500">
        <v>19020.3</v>
      </c>
      <c r="E1500" t="s">
        <v>80</v>
      </c>
      <c r="F1500" t="s">
        <v>47</v>
      </c>
      <c r="G1500" t="s">
        <v>18</v>
      </c>
      <c r="H1500" t="s">
        <v>36</v>
      </c>
      <c r="I1500" t="s">
        <v>36</v>
      </c>
      <c r="J1500" t="s">
        <v>37</v>
      </c>
      <c r="K1500">
        <v>0</v>
      </c>
      <c r="L1500">
        <v>4</v>
      </c>
      <c r="M1500">
        <v>7.9</v>
      </c>
      <c r="N1500">
        <v>1</v>
      </c>
      <c r="O1500" t="str">
        <f>IF(financial_fraud_data[[#This Row],[Risk_Score]]&gt;8,"High",IF(financial_fraud_data[[#This Row],[Risk_Score]]&gt;5,"Med","Low"))</f>
        <v>Med</v>
      </c>
      <c r="P1500" t="str">
        <f>TEXT(financial_fraud_data[[#This Row],[Transaction_Date]],"MMM")</f>
        <v>Mar</v>
      </c>
      <c r="Q1500" t="str">
        <f>IF(financial_fraud_data[[#This Row],[Is_Fraud]]=1,"Yes","No")</f>
        <v>Yes</v>
      </c>
    </row>
    <row r="1501" spans="1:17" x14ac:dyDescent="0.2">
      <c r="A1501" t="s">
        <v>2013</v>
      </c>
      <c r="B1501" t="s">
        <v>1408</v>
      </c>
      <c r="C1501" s="1">
        <v>45354.458333333336</v>
      </c>
      <c r="D1501">
        <v>43173.52</v>
      </c>
      <c r="E1501" t="s">
        <v>42</v>
      </c>
      <c r="F1501" t="s">
        <v>17</v>
      </c>
      <c r="G1501" t="s">
        <v>35</v>
      </c>
      <c r="H1501" t="s">
        <v>36</v>
      </c>
      <c r="I1501" t="s">
        <v>19</v>
      </c>
      <c r="J1501" t="s">
        <v>37</v>
      </c>
      <c r="K1501">
        <v>0</v>
      </c>
      <c r="L1501">
        <v>0</v>
      </c>
      <c r="M1501">
        <v>5.32</v>
      </c>
      <c r="N1501">
        <v>1</v>
      </c>
      <c r="O1501" t="str">
        <f>IF(financial_fraud_data[[#This Row],[Risk_Score]]&gt;8,"High",IF(financial_fraud_data[[#This Row],[Risk_Score]]&gt;5,"Med","Low"))</f>
        <v>Med</v>
      </c>
      <c r="P1501" t="str">
        <f>TEXT(financial_fraud_data[[#This Row],[Transaction_Date]],"MMM")</f>
        <v>Mar</v>
      </c>
      <c r="Q1501" t="str">
        <f>IF(financial_fraud_data[[#This Row],[Is_Fraud]]=1,"Yes","No")</f>
        <v>Yes</v>
      </c>
    </row>
    <row r="1502" spans="1:17" x14ac:dyDescent="0.2">
      <c r="A1502" t="s">
        <v>2014</v>
      </c>
      <c r="B1502" t="s">
        <v>543</v>
      </c>
      <c r="C1502" s="1">
        <v>45354.5</v>
      </c>
      <c r="D1502">
        <v>25978.14</v>
      </c>
      <c r="E1502" t="s">
        <v>34</v>
      </c>
      <c r="F1502" t="s">
        <v>47</v>
      </c>
      <c r="G1502" t="s">
        <v>35</v>
      </c>
      <c r="H1502" t="s">
        <v>23</v>
      </c>
      <c r="I1502" t="s">
        <v>24</v>
      </c>
      <c r="J1502" t="s">
        <v>37</v>
      </c>
      <c r="K1502">
        <v>0</v>
      </c>
      <c r="L1502">
        <v>1</v>
      </c>
      <c r="M1502">
        <v>5.0999999999999996</v>
      </c>
      <c r="N1502">
        <v>1</v>
      </c>
      <c r="O1502" t="str">
        <f>IF(financial_fraud_data[[#This Row],[Risk_Score]]&gt;8,"High",IF(financial_fraud_data[[#This Row],[Risk_Score]]&gt;5,"Med","Low"))</f>
        <v>Med</v>
      </c>
      <c r="P1502" t="str">
        <f>TEXT(financial_fraud_data[[#This Row],[Transaction_Date]],"MMM")</f>
        <v>Mar</v>
      </c>
      <c r="Q1502" t="str">
        <f>IF(financial_fraud_data[[#This Row],[Is_Fraud]]=1,"Yes","No")</f>
        <v>Yes</v>
      </c>
    </row>
    <row r="1503" spans="1:17" x14ac:dyDescent="0.2">
      <c r="A1503" t="s">
        <v>2015</v>
      </c>
      <c r="B1503" t="s">
        <v>1172</v>
      </c>
      <c r="C1503" s="1">
        <v>45354.541666666664</v>
      </c>
      <c r="D1503">
        <v>23985.13</v>
      </c>
      <c r="E1503" t="s">
        <v>16</v>
      </c>
      <c r="F1503" t="s">
        <v>17</v>
      </c>
      <c r="G1503" t="s">
        <v>56</v>
      </c>
      <c r="H1503" t="s">
        <v>36</v>
      </c>
      <c r="I1503" t="s">
        <v>24</v>
      </c>
      <c r="J1503" t="s">
        <v>51</v>
      </c>
      <c r="K1503">
        <v>0</v>
      </c>
      <c r="L1503">
        <v>2</v>
      </c>
      <c r="M1503">
        <v>6.4</v>
      </c>
      <c r="N1503">
        <v>1</v>
      </c>
      <c r="O1503" t="str">
        <f>IF(financial_fraud_data[[#This Row],[Risk_Score]]&gt;8,"High",IF(financial_fraud_data[[#This Row],[Risk_Score]]&gt;5,"Med","Low"))</f>
        <v>Med</v>
      </c>
      <c r="P1503" t="str">
        <f>TEXT(financial_fraud_data[[#This Row],[Transaction_Date]],"MMM")</f>
        <v>Mar</v>
      </c>
      <c r="Q1503" t="str">
        <f>IF(financial_fraud_data[[#This Row],[Is_Fraud]]=1,"Yes","No")</f>
        <v>Yes</v>
      </c>
    </row>
    <row r="1504" spans="1:17" x14ac:dyDescent="0.2">
      <c r="A1504" t="s">
        <v>2016</v>
      </c>
      <c r="B1504" t="s">
        <v>1226</v>
      </c>
      <c r="C1504" s="1">
        <v>45354.583333333336</v>
      </c>
      <c r="D1504">
        <v>1330.82</v>
      </c>
      <c r="E1504" t="s">
        <v>42</v>
      </c>
      <c r="F1504" t="s">
        <v>47</v>
      </c>
      <c r="G1504" t="s">
        <v>56</v>
      </c>
      <c r="H1504" t="s">
        <v>36</v>
      </c>
      <c r="I1504" t="s">
        <v>36</v>
      </c>
      <c r="J1504" t="s">
        <v>51</v>
      </c>
      <c r="K1504">
        <v>0</v>
      </c>
      <c r="L1504">
        <v>0</v>
      </c>
      <c r="M1504">
        <v>0.13</v>
      </c>
      <c r="N1504">
        <v>0</v>
      </c>
      <c r="O1504" t="str">
        <f>IF(financial_fraud_data[[#This Row],[Risk_Score]]&gt;8,"High",IF(financial_fraud_data[[#This Row],[Risk_Score]]&gt;5,"Med","Low"))</f>
        <v>Low</v>
      </c>
      <c r="P1504" t="str">
        <f>TEXT(financial_fraud_data[[#This Row],[Transaction_Date]],"MMM")</f>
        <v>Mar</v>
      </c>
      <c r="Q1504" t="str">
        <f>IF(financial_fraud_data[[#This Row],[Is_Fraud]]=1,"Yes","No")</f>
        <v>No</v>
      </c>
    </row>
    <row r="1505" spans="1:17" x14ac:dyDescent="0.2">
      <c r="A1505" t="s">
        <v>2017</v>
      </c>
      <c r="B1505" t="s">
        <v>98</v>
      </c>
      <c r="C1505" s="1">
        <v>45354.625</v>
      </c>
      <c r="D1505">
        <v>17095.330000000002</v>
      </c>
      <c r="E1505" t="s">
        <v>34</v>
      </c>
      <c r="F1505" t="s">
        <v>50</v>
      </c>
      <c r="G1505" t="s">
        <v>65</v>
      </c>
      <c r="H1505" t="s">
        <v>24</v>
      </c>
      <c r="I1505" t="s">
        <v>24</v>
      </c>
      <c r="J1505" t="s">
        <v>51</v>
      </c>
      <c r="K1505">
        <v>0</v>
      </c>
      <c r="L1505">
        <v>1</v>
      </c>
      <c r="M1505">
        <v>3.21</v>
      </c>
      <c r="N1505">
        <v>0</v>
      </c>
      <c r="O1505" t="str">
        <f>IF(financial_fraud_data[[#This Row],[Risk_Score]]&gt;8,"High",IF(financial_fraud_data[[#This Row],[Risk_Score]]&gt;5,"Med","Low"))</f>
        <v>Low</v>
      </c>
      <c r="P1505" t="str">
        <f>TEXT(financial_fraud_data[[#This Row],[Transaction_Date]],"MMM")</f>
        <v>Mar</v>
      </c>
      <c r="Q1505" t="str">
        <f>IF(financial_fraud_data[[#This Row],[Is_Fraud]]=1,"Yes","No")</f>
        <v>No</v>
      </c>
    </row>
    <row r="1506" spans="1:17" x14ac:dyDescent="0.2">
      <c r="A1506" t="s">
        <v>2018</v>
      </c>
      <c r="B1506" t="s">
        <v>1210</v>
      </c>
      <c r="C1506" s="1">
        <v>45354.666666666664</v>
      </c>
      <c r="D1506">
        <v>19040.77</v>
      </c>
      <c r="E1506" t="s">
        <v>42</v>
      </c>
      <c r="F1506" t="s">
        <v>47</v>
      </c>
      <c r="G1506" t="s">
        <v>18</v>
      </c>
      <c r="H1506" t="s">
        <v>19</v>
      </c>
      <c r="I1506" t="s">
        <v>36</v>
      </c>
      <c r="J1506" t="s">
        <v>20</v>
      </c>
      <c r="K1506">
        <v>0</v>
      </c>
      <c r="L1506">
        <v>0</v>
      </c>
      <c r="M1506">
        <v>2.9</v>
      </c>
      <c r="N1506">
        <v>0</v>
      </c>
      <c r="O1506" t="str">
        <f>IF(financial_fraud_data[[#This Row],[Risk_Score]]&gt;8,"High",IF(financial_fraud_data[[#This Row],[Risk_Score]]&gt;5,"Med","Low"))</f>
        <v>Low</v>
      </c>
      <c r="P1506" t="str">
        <f>TEXT(financial_fraud_data[[#This Row],[Transaction_Date]],"MMM")</f>
        <v>Mar</v>
      </c>
      <c r="Q1506" t="str">
        <f>IF(financial_fraud_data[[#This Row],[Is_Fraud]]=1,"Yes","No")</f>
        <v>No</v>
      </c>
    </row>
    <row r="1507" spans="1:17" x14ac:dyDescent="0.2">
      <c r="A1507" t="s">
        <v>2019</v>
      </c>
      <c r="B1507" t="s">
        <v>1099</v>
      </c>
      <c r="C1507" s="1">
        <v>45354.708333333336</v>
      </c>
      <c r="D1507">
        <v>19971.2</v>
      </c>
      <c r="E1507" t="s">
        <v>42</v>
      </c>
      <c r="F1507" t="s">
        <v>50</v>
      </c>
      <c r="G1507" t="s">
        <v>65</v>
      </c>
      <c r="H1507" t="s">
        <v>29</v>
      </c>
      <c r="I1507" t="s">
        <v>24</v>
      </c>
      <c r="J1507" t="s">
        <v>37</v>
      </c>
      <c r="K1507">
        <v>0</v>
      </c>
      <c r="L1507">
        <v>3</v>
      </c>
      <c r="M1507">
        <v>7.5</v>
      </c>
      <c r="N1507">
        <v>1</v>
      </c>
      <c r="O1507" t="str">
        <f>IF(financial_fraud_data[[#This Row],[Risk_Score]]&gt;8,"High",IF(financial_fraud_data[[#This Row],[Risk_Score]]&gt;5,"Med","Low"))</f>
        <v>Med</v>
      </c>
      <c r="P1507" t="str">
        <f>TEXT(financial_fraud_data[[#This Row],[Transaction_Date]],"MMM")</f>
        <v>Mar</v>
      </c>
      <c r="Q1507" t="str">
        <f>IF(financial_fraud_data[[#This Row],[Is_Fraud]]=1,"Yes","No")</f>
        <v>Yes</v>
      </c>
    </row>
    <row r="1508" spans="1:17" x14ac:dyDescent="0.2">
      <c r="A1508" t="s">
        <v>2020</v>
      </c>
      <c r="B1508" t="s">
        <v>392</v>
      </c>
      <c r="C1508" s="1">
        <v>45354.75</v>
      </c>
      <c r="D1508">
        <v>29029.61</v>
      </c>
      <c r="E1508" t="s">
        <v>34</v>
      </c>
      <c r="F1508" t="s">
        <v>50</v>
      </c>
      <c r="G1508" t="s">
        <v>65</v>
      </c>
      <c r="H1508" t="s">
        <v>36</v>
      </c>
      <c r="I1508" t="s">
        <v>29</v>
      </c>
      <c r="J1508" t="s">
        <v>37</v>
      </c>
      <c r="K1508">
        <v>0</v>
      </c>
      <c r="L1508">
        <v>3</v>
      </c>
      <c r="M1508">
        <v>8.4</v>
      </c>
      <c r="N1508">
        <v>1</v>
      </c>
      <c r="O1508" t="str">
        <f>IF(financial_fraud_data[[#This Row],[Risk_Score]]&gt;8,"High",IF(financial_fraud_data[[#This Row],[Risk_Score]]&gt;5,"Med","Low"))</f>
        <v>High</v>
      </c>
      <c r="P1508" t="str">
        <f>TEXT(financial_fraud_data[[#This Row],[Transaction_Date]],"MMM")</f>
        <v>Mar</v>
      </c>
      <c r="Q1508" t="str">
        <f>IF(financial_fraud_data[[#This Row],[Is_Fraud]]=1,"Yes","No")</f>
        <v>Yes</v>
      </c>
    </row>
    <row r="1509" spans="1:17" x14ac:dyDescent="0.2">
      <c r="A1509" t="s">
        <v>2021</v>
      </c>
      <c r="B1509" t="s">
        <v>221</v>
      </c>
      <c r="C1509" s="1">
        <v>45354.791666666664</v>
      </c>
      <c r="D1509">
        <v>26703.45</v>
      </c>
      <c r="E1509" t="s">
        <v>42</v>
      </c>
      <c r="F1509" t="s">
        <v>47</v>
      </c>
      <c r="G1509" t="s">
        <v>18</v>
      </c>
      <c r="H1509" t="s">
        <v>36</v>
      </c>
      <c r="I1509" t="s">
        <v>23</v>
      </c>
      <c r="J1509" t="s">
        <v>51</v>
      </c>
      <c r="K1509">
        <v>0</v>
      </c>
      <c r="L1509">
        <v>4</v>
      </c>
      <c r="M1509">
        <v>9.67</v>
      </c>
      <c r="N1509">
        <v>1</v>
      </c>
      <c r="O1509" t="str">
        <f>IF(financial_fraud_data[[#This Row],[Risk_Score]]&gt;8,"High",IF(financial_fraud_data[[#This Row],[Risk_Score]]&gt;5,"Med","Low"))</f>
        <v>High</v>
      </c>
      <c r="P1509" t="str">
        <f>TEXT(financial_fraud_data[[#This Row],[Transaction_Date]],"MMM")</f>
        <v>Mar</v>
      </c>
      <c r="Q1509" t="str">
        <f>IF(financial_fraud_data[[#This Row],[Is_Fraud]]=1,"Yes","No")</f>
        <v>Yes</v>
      </c>
    </row>
    <row r="1510" spans="1:17" x14ac:dyDescent="0.2">
      <c r="A1510" t="s">
        <v>2022</v>
      </c>
      <c r="B1510" t="s">
        <v>659</v>
      </c>
      <c r="C1510" s="1">
        <v>45354.833333333336</v>
      </c>
      <c r="D1510">
        <v>30414.86</v>
      </c>
      <c r="E1510" t="s">
        <v>42</v>
      </c>
      <c r="F1510" t="s">
        <v>50</v>
      </c>
      <c r="G1510" t="s">
        <v>56</v>
      </c>
      <c r="H1510" t="s">
        <v>29</v>
      </c>
      <c r="I1510" t="s">
        <v>29</v>
      </c>
      <c r="J1510" t="s">
        <v>20</v>
      </c>
      <c r="K1510">
        <v>0</v>
      </c>
      <c r="L1510">
        <v>0</v>
      </c>
      <c r="M1510">
        <v>3.04</v>
      </c>
      <c r="N1510">
        <v>0</v>
      </c>
      <c r="O1510" t="str">
        <f>IF(financial_fraud_data[[#This Row],[Risk_Score]]&gt;8,"High",IF(financial_fraud_data[[#This Row],[Risk_Score]]&gt;5,"Med","Low"))</f>
        <v>Low</v>
      </c>
      <c r="P1510" t="str">
        <f>TEXT(financial_fraud_data[[#This Row],[Transaction_Date]],"MMM")</f>
        <v>Mar</v>
      </c>
      <c r="Q1510" t="str">
        <f>IF(financial_fraud_data[[#This Row],[Is_Fraud]]=1,"Yes","No")</f>
        <v>No</v>
      </c>
    </row>
    <row r="1511" spans="1:17" x14ac:dyDescent="0.2">
      <c r="A1511" t="s">
        <v>2023</v>
      </c>
      <c r="B1511" t="s">
        <v>1884</v>
      </c>
      <c r="C1511" s="1">
        <v>45354.875</v>
      </c>
      <c r="D1511">
        <v>38255.919999999998</v>
      </c>
      <c r="E1511" t="s">
        <v>16</v>
      </c>
      <c r="F1511" t="s">
        <v>27</v>
      </c>
      <c r="G1511" t="s">
        <v>18</v>
      </c>
      <c r="H1511" t="s">
        <v>36</v>
      </c>
      <c r="I1511" t="s">
        <v>36</v>
      </c>
      <c r="J1511" t="s">
        <v>51</v>
      </c>
      <c r="K1511">
        <v>0</v>
      </c>
      <c r="L1511">
        <v>3</v>
      </c>
      <c r="M1511">
        <v>8.33</v>
      </c>
      <c r="N1511">
        <v>1</v>
      </c>
      <c r="O1511" t="str">
        <f>IF(financial_fraud_data[[#This Row],[Risk_Score]]&gt;8,"High",IF(financial_fraud_data[[#This Row],[Risk_Score]]&gt;5,"Med","Low"))</f>
        <v>High</v>
      </c>
      <c r="P1511" t="str">
        <f>TEXT(financial_fraud_data[[#This Row],[Transaction_Date]],"MMM")</f>
        <v>Mar</v>
      </c>
      <c r="Q1511" t="str">
        <f>IF(financial_fraud_data[[#This Row],[Is_Fraud]]=1,"Yes","No")</f>
        <v>Yes</v>
      </c>
    </row>
    <row r="1512" spans="1:17" x14ac:dyDescent="0.2">
      <c r="A1512" t="s">
        <v>2024</v>
      </c>
      <c r="B1512" t="s">
        <v>425</v>
      </c>
      <c r="C1512" s="1">
        <v>45354.916666666664</v>
      </c>
      <c r="D1512">
        <v>40658.639999999999</v>
      </c>
      <c r="E1512" t="s">
        <v>34</v>
      </c>
      <c r="F1512" t="s">
        <v>47</v>
      </c>
      <c r="G1512" t="s">
        <v>28</v>
      </c>
      <c r="H1512" t="s">
        <v>24</v>
      </c>
      <c r="I1512" t="s">
        <v>36</v>
      </c>
      <c r="J1512" t="s">
        <v>37</v>
      </c>
      <c r="K1512">
        <v>0</v>
      </c>
      <c r="L1512">
        <v>1</v>
      </c>
      <c r="M1512">
        <v>6.57</v>
      </c>
      <c r="N1512">
        <v>1</v>
      </c>
      <c r="O1512" t="str">
        <f>IF(financial_fraud_data[[#This Row],[Risk_Score]]&gt;8,"High",IF(financial_fraud_data[[#This Row],[Risk_Score]]&gt;5,"Med","Low"))</f>
        <v>Med</v>
      </c>
      <c r="P1512" t="str">
        <f>TEXT(financial_fraud_data[[#This Row],[Transaction_Date]],"MMM")</f>
        <v>Mar</v>
      </c>
      <c r="Q1512" t="str">
        <f>IF(financial_fraud_data[[#This Row],[Is_Fraud]]=1,"Yes","No")</f>
        <v>Yes</v>
      </c>
    </row>
    <row r="1513" spans="1:17" x14ac:dyDescent="0.2">
      <c r="A1513" t="s">
        <v>2025</v>
      </c>
      <c r="B1513" t="s">
        <v>431</v>
      </c>
      <c r="C1513" s="1">
        <v>45354.958333333336</v>
      </c>
      <c r="D1513">
        <v>35920.25</v>
      </c>
      <c r="E1513" t="s">
        <v>34</v>
      </c>
      <c r="F1513" t="s">
        <v>47</v>
      </c>
      <c r="G1513" t="s">
        <v>28</v>
      </c>
      <c r="H1513" t="s">
        <v>24</v>
      </c>
      <c r="I1513" t="s">
        <v>29</v>
      </c>
      <c r="J1513" t="s">
        <v>37</v>
      </c>
      <c r="K1513">
        <v>0</v>
      </c>
      <c r="L1513">
        <v>4</v>
      </c>
      <c r="M1513">
        <v>10.59</v>
      </c>
      <c r="N1513">
        <v>1</v>
      </c>
      <c r="O1513" t="str">
        <f>IF(financial_fraud_data[[#This Row],[Risk_Score]]&gt;8,"High",IF(financial_fraud_data[[#This Row],[Risk_Score]]&gt;5,"Med","Low"))</f>
        <v>High</v>
      </c>
      <c r="P1513" t="str">
        <f>TEXT(financial_fraud_data[[#This Row],[Transaction_Date]],"MMM")</f>
        <v>Mar</v>
      </c>
      <c r="Q1513" t="str">
        <f>IF(financial_fraud_data[[#This Row],[Is_Fraud]]=1,"Yes","No")</f>
        <v>Yes</v>
      </c>
    </row>
    <row r="1514" spans="1:17" x14ac:dyDescent="0.2">
      <c r="A1514" t="s">
        <v>2026</v>
      </c>
      <c r="B1514" t="s">
        <v>729</v>
      </c>
      <c r="C1514" s="1">
        <v>45355</v>
      </c>
      <c r="D1514">
        <v>47778.41</v>
      </c>
      <c r="E1514" t="s">
        <v>80</v>
      </c>
      <c r="F1514" t="s">
        <v>50</v>
      </c>
      <c r="G1514" t="s">
        <v>28</v>
      </c>
      <c r="H1514" t="s">
        <v>29</v>
      </c>
      <c r="I1514" t="s">
        <v>23</v>
      </c>
      <c r="J1514" t="s">
        <v>51</v>
      </c>
      <c r="K1514">
        <v>0</v>
      </c>
      <c r="L1514">
        <v>2</v>
      </c>
      <c r="M1514">
        <v>8.7799999999999994</v>
      </c>
      <c r="N1514">
        <v>1</v>
      </c>
      <c r="O1514" t="str">
        <f>IF(financial_fraud_data[[#This Row],[Risk_Score]]&gt;8,"High",IF(financial_fraud_data[[#This Row],[Risk_Score]]&gt;5,"Med","Low"))</f>
        <v>High</v>
      </c>
      <c r="P1514" t="str">
        <f>TEXT(financial_fraud_data[[#This Row],[Transaction_Date]],"MMM")</f>
        <v>Mar</v>
      </c>
      <c r="Q1514" t="str">
        <f>IF(financial_fraud_data[[#This Row],[Is_Fraud]]=1,"Yes","No")</f>
        <v>Yes</v>
      </c>
    </row>
    <row r="1515" spans="1:17" x14ac:dyDescent="0.2">
      <c r="A1515" t="s">
        <v>2027</v>
      </c>
      <c r="B1515" t="s">
        <v>883</v>
      </c>
      <c r="C1515" s="1">
        <v>45355.041666666664</v>
      </c>
      <c r="D1515">
        <v>960.72</v>
      </c>
      <c r="E1515" t="s">
        <v>42</v>
      </c>
      <c r="F1515" t="s">
        <v>50</v>
      </c>
      <c r="G1515" t="s">
        <v>35</v>
      </c>
      <c r="H1515" t="s">
        <v>36</v>
      </c>
      <c r="I1515" t="s">
        <v>23</v>
      </c>
      <c r="J1515" t="s">
        <v>51</v>
      </c>
      <c r="K1515">
        <v>0</v>
      </c>
      <c r="L1515">
        <v>0</v>
      </c>
      <c r="M1515">
        <v>1.1000000000000001</v>
      </c>
      <c r="N1515">
        <v>0</v>
      </c>
      <c r="O1515" t="str">
        <f>IF(financial_fraud_data[[#This Row],[Risk_Score]]&gt;8,"High",IF(financial_fraud_data[[#This Row],[Risk_Score]]&gt;5,"Med","Low"))</f>
        <v>Low</v>
      </c>
      <c r="P1515" t="str">
        <f>TEXT(financial_fraud_data[[#This Row],[Transaction_Date]],"MMM")</f>
        <v>Mar</v>
      </c>
      <c r="Q1515" t="str">
        <f>IF(financial_fraud_data[[#This Row],[Is_Fraud]]=1,"Yes","No")</f>
        <v>No</v>
      </c>
    </row>
    <row r="1516" spans="1:17" x14ac:dyDescent="0.2">
      <c r="A1516" t="s">
        <v>2028</v>
      </c>
      <c r="B1516" t="s">
        <v>601</v>
      </c>
      <c r="C1516" s="1">
        <v>45355.083333333336</v>
      </c>
      <c r="D1516">
        <v>9829.11</v>
      </c>
      <c r="E1516" t="s">
        <v>16</v>
      </c>
      <c r="F1516" t="s">
        <v>47</v>
      </c>
      <c r="G1516" t="s">
        <v>56</v>
      </c>
      <c r="H1516" t="s">
        <v>36</v>
      </c>
      <c r="I1516" t="s">
        <v>19</v>
      </c>
      <c r="J1516" t="s">
        <v>37</v>
      </c>
      <c r="K1516">
        <v>0</v>
      </c>
      <c r="L1516">
        <v>3</v>
      </c>
      <c r="M1516">
        <v>6.48</v>
      </c>
      <c r="N1516">
        <v>1</v>
      </c>
      <c r="O1516" t="str">
        <f>IF(financial_fraud_data[[#This Row],[Risk_Score]]&gt;8,"High",IF(financial_fraud_data[[#This Row],[Risk_Score]]&gt;5,"Med","Low"))</f>
        <v>Med</v>
      </c>
      <c r="P1516" t="str">
        <f>TEXT(financial_fraud_data[[#This Row],[Transaction_Date]],"MMM")</f>
        <v>Mar</v>
      </c>
      <c r="Q1516" t="str">
        <f>IF(financial_fraud_data[[#This Row],[Is_Fraud]]=1,"Yes","No")</f>
        <v>Yes</v>
      </c>
    </row>
    <row r="1517" spans="1:17" x14ac:dyDescent="0.2">
      <c r="A1517" t="s">
        <v>2029</v>
      </c>
      <c r="B1517" t="s">
        <v>1693</v>
      </c>
      <c r="C1517" s="1">
        <v>45355.125</v>
      </c>
      <c r="D1517">
        <v>427.77</v>
      </c>
      <c r="E1517" t="s">
        <v>42</v>
      </c>
      <c r="F1517" t="s">
        <v>27</v>
      </c>
      <c r="G1517" t="s">
        <v>56</v>
      </c>
      <c r="H1517" t="s">
        <v>19</v>
      </c>
      <c r="I1517" t="s">
        <v>24</v>
      </c>
      <c r="J1517" t="s">
        <v>51</v>
      </c>
      <c r="K1517">
        <v>0</v>
      </c>
      <c r="L1517">
        <v>1</v>
      </c>
      <c r="M1517">
        <v>2.54</v>
      </c>
      <c r="N1517">
        <v>0</v>
      </c>
      <c r="O1517" t="str">
        <f>IF(financial_fraud_data[[#This Row],[Risk_Score]]&gt;8,"High",IF(financial_fraud_data[[#This Row],[Risk_Score]]&gt;5,"Med","Low"))</f>
        <v>Low</v>
      </c>
      <c r="P1517" t="str">
        <f>TEXT(financial_fraud_data[[#This Row],[Transaction_Date]],"MMM")</f>
        <v>Mar</v>
      </c>
      <c r="Q1517" t="str">
        <f>IF(financial_fraud_data[[#This Row],[Is_Fraud]]=1,"Yes","No")</f>
        <v>No</v>
      </c>
    </row>
    <row r="1518" spans="1:17" x14ac:dyDescent="0.2">
      <c r="A1518" t="s">
        <v>2030</v>
      </c>
      <c r="B1518" t="s">
        <v>618</v>
      </c>
      <c r="C1518" s="1">
        <v>45355.166666666664</v>
      </c>
      <c r="D1518">
        <v>32391.360000000001</v>
      </c>
      <c r="E1518" t="s">
        <v>42</v>
      </c>
      <c r="F1518" t="s">
        <v>50</v>
      </c>
      <c r="G1518" t="s">
        <v>35</v>
      </c>
      <c r="H1518" t="s">
        <v>36</v>
      </c>
      <c r="I1518" t="s">
        <v>19</v>
      </c>
      <c r="J1518" t="s">
        <v>37</v>
      </c>
      <c r="K1518">
        <v>1</v>
      </c>
      <c r="L1518">
        <v>0</v>
      </c>
      <c r="M1518">
        <v>6.24</v>
      </c>
      <c r="N1518">
        <v>1</v>
      </c>
      <c r="O1518" t="str">
        <f>IF(financial_fraud_data[[#This Row],[Risk_Score]]&gt;8,"High",IF(financial_fraud_data[[#This Row],[Risk_Score]]&gt;5,"Med","Low"))</f>
        <v>Med</v>
      </c>
      <c r="P1518" t="str">
        <f>TEXT(financial_fraud_data[[#This Row],[Transaction_Date]],"MMM")</f>
        <v>Mar</v>
      </c>
      <c r="Q1518" t="str">
        <f>IF(financial_fraud_data[[#This Row],[Is_Fraud]]=1,"Yes","No")</f>
        <v>Yes</v>
      </c>
    </row>
    <row r="1519" spans="1:17" x14ac:dyDescent="0.2">
      <c r="A1519" t="s">
        <v>2031</v>
      </c>
      <c r="B1519" t="s">
        <v>1077</v>
      </c>
      <c r="C1519" s="1">
        <v>45355.208333333336</v>
      </c>
      <c r="D1519">
        <v>44906.63</v>
      </c>
      <c r="E1519" t="s">
        <v>80</v>
      </c>
      <c r="F1519" t="s">
        <v>50</v>
      </c>
      <c r="G1519" t="s">
        <v>65</v>
      </c>
      <c r="H1519" t="s">
        <v>24</v>
      </c>
      <c r="I1519" t="s">
        <v>23</v>
      </c>
      <c r="J1519" t="s">
        <v>51</v>
      </c>
      <c r="K1519">
        <v>0</v>
      </c>
      <c r="L1519">
        <v>1</v>
      </c>
      <c r="M1519">
        <v>6.99</v>
      </c>
      <c r="N1519">
        <v>1</v>
      </c>
      <c r="O1519" t="str">
        <f>IF(financial_fraud_data[[#This Row],[Risk_Score]]&gt;8,"High",IF(financial_fraud_data[[#This Row],[Risk_Score]]&gt;5,"Med","Low"))</f>
        <v>Med</v>
      </c>
      <c r="P1519" t="str">
        <f>TEXT(financial_fraud_data[[#This Row],[Transaction_Date]],"MMM")</f>
        <v>Mar</v>
      </c>
      <c r="Q1519" t="str">
        <f>IF(financial_fraud_data[[#This Row],[Is_Fraud]]=1,"Yes","No")</f>
        <v>Yes</v>
      </c>
    </row>
    <row r="1520" spans="1:17" x14ac:dyDescent="0.2">
      <c r="A1520" t="s">
        <v>2032</v>
      </c>
      <c r="B1520" t="s">
        <v>229</v>
      </c>
      <c r="C1520" s="1">
        <v>45355.25</v>
      </c>
      <c r="D1520">
        <v>12211.94</v>
      </c>
      <c r="E1520" t="s">
        <v>42</v>
      </c>
      <c r="F1520" t="s">
        <v>17</v>
      </c>
      <c r="G1520" t="s">
        <v>28</v>
      </c>
      <c r="H1520" t="s">
        <v>23</v>
      </c>
      <c r="I1520" t="s">
        <v>29</v>
      </c>
      <c r="J1520" t="s">
        <v>20</v>
      </c>
      <c r="K1520">
        <v>0</v>
      </c>
      <c r="L1520">
        <v>4</v>
      </c>
      <c r="M1520">
        <v>8.2200000000000006</v>
      </c>
      <c r="N1520">
        <v>1</v>
      </c>
      <c r="O1520" t="str">
        <f>IF(financial_fraud_data[[#This Row],[Risk_Score]]&gt;8,"High",IF(financial_fraud_data[[#This Row],[Risk_Score]]&gt;5,"Med","Low"))</f>
        <v>High</v>
      </c>
      <c r="P1520" t="str">
        <f>TEXT(financial_fraud_data[[#This Row],[Transaction_Date]],"MMM")</f>
        <v>Mar</v>
      </c>
      <c r="Q1520" t="str">
        <f>IF(financial_fraud_data[[#This Row],[Is_Fraud]]=1,"Yes","No")</f>
        <v>Yes</v>
      </c>
    </row>
    <row r="1521" spans="1:17" x14ac:dyDescent="0.2">
      <c r="A1521" t="s">
        <v>2033</v>
      </c>
      <c r="B1521" t="s">
        <v>1636</v>
      </c>
      <c r="C1521" s="1">
        <v>45355.291666666664</v>
      </c>
      <c r="D1521">
        <v>46355.38</v>
      </c>
      <c r="E1521" t="s">
        <v>16</v>
      </c>
      <c r="F1521" t="s">
        <v>27</v>
      </c>
      <c r="G1521" t="s">
        <v>28</v>
      </c>
      <c r="H1521" t="s">
        <v>23</v>
      </c>
      <c r="I1521" t="s">
        <v>24</v>
      </c>
      <c r="J1521" t="s">
        <v>37</v>
      </c>
      <c r="K1521">
        <v>0</v>
      </c>
      <c r="L1521">
        <v>3</v>
      </c>
      <c r="M1521">
        <v>10.14</v>
      </c>
      <c r="N1521">
        <v>1</v>
      </c>
      <c r="O1521" t="str">
        <f>IF(financial_fraud_data[[#This Row],[Risk_Score]]&gt;8,"High",IF(financial_fraud_data[[#This Row],[Risk_Score]]&gt;5,"Med","Low"))</f>
        <v>High</v>
      </c>
      <c r="P1521" t="str">
        <f>TEXT(financial_fraud_data[[#This Row],[Transaction_Date]],"MMM")</f>
        <v>Mar</v>
      </c>
      <c r="Q1521" t="str">
        <f>IF(financial_fraud_data[[#This Row],[Is_Fraud]]=1,"Yes","No")</f>
        <v>Yes</v>
      </c>
    </row>
    <row r="1522" spans="1:17" x14ac:dyDescent="0.2">
      <c r="A1522" t="s">
        <v>2034</v>
      </c>
      <c r="B1522" t="s">
        <v>538</v>
      </c>
      <c r="C1522" s="1">
        <v>45355.333333333336</v>
      </c>
      <c r="D1522">
        <v>3060.36</v>
      </c>
      <c r="E1522" t="s">
        <v>16</v>
      </c>
      <c r="F1522" t="s">
        <v>27</v>
      </c>
      <c r="G1522" t="s">
        <v>65</v>
      </c>
      <c r="H1522" t="s">
        <v>23</v>
      </c>
      <c r="I1522" t="s">
        <v>29</v>
      </c>
      <c r="J1522" t="s">
        <v>20</v>
      </c>
      <c r="K1522">
        <v>0</v>
      </c>
      <c r="L1522">
        <v>3</v>
      </c>
      <c r="M1522">
        <v>5.81</v>
      </c>
      <c r="N1522">
        <v>1</v>
      </c>
      <c r="O1522" t="str">
        <f>IF(financial_fraud_data[[#This Row],[Risk_Score]]&gt;8,"High",IF(financial_fraud_data[[#This Row],[Risk_Score]]&gt;5,"Med","Low"))</f>
        <v>Med</v>
      </c>
      <c r="P1522" t="str">
        <f>TEXT(financial_fraud_data[[#This Row],[Transaction_Date]],"MMM")</f>
        <v>Mar</v>
      </c>
      <c r="Q1522" t="str">
        <f>IF(financial_fraud_data[[#This Row],[Is_Fraud]]=1,"Yes","No")</f>
        <v>Yes</v>
      </c>
    </row>
    <row r="1523" spans="1:17" x14ac:dyDescent="0.2">
      <c r="A1523" t="s">
        <v>2035</v>
      </c>
      <c r="B1523" t="s">
        <v>300</v>
      </c>
      <c r="C1523" s="1">
        <v>45355.375</v>
      </c>
      <c r="D1523">
        <v>46725.08</v>
      </c>
      <c r="E1523" t="s">
        <v>80</v>
      </c>
      <c r="F1523" t="s">
        <v>47</v>
      </c>
      <c r="G1523" t="s">
        <v>18</v>
      </c>
      <c r="H1523" t="s">
        <v>23</v>
      </c>
      <c r="I1523" t="s">
        <v>19</v>
      </c>
      <c r="J1523" t="s">
        <v>51</v>
      </c>
      <c r="K1523">
        <v>1</v>
      </c>
      <c r="L1523">
        <v>4</v>
      </c>
      <c r="M1523">
        <v>13.67</v>
      </c>
      <c r="N1523">
        <v>1</v>
      </c>
      <c r="O1523" t="str">
        <f>IF(financial_fraud_data[[#This Row],[Risk_Score]]&gt;8,"High",IF(financial_fraud_data[[#This Row],[Risk_Score]]&gt;5,"Med","Low"))</f>
        <v>High</v>
      </c>
      <c r="P1523" t="str">
        <f>TEXT(financial_fraud_data[[#This Row],[Transaction_Date]],"MMM")</f>
        <v>Mar</v>
      </c>
      <c r="Q1523" t="str">
        <f>IF(financial_fraud_data[[#This Row],[Is_Fraud]]=1,"Yes","No")</f>
        <v>Yes</v>
      </c>
    </row>
    <row r="1524" spans="1:17" x14ac:dyDescent="0.2">
      <c r="A1524" t="s">
        <v>2036</v>
      </c>
      <c r="B1524" t="s">
        <v>247</v>
      </c>
      <c r="C1524" s="1">
        <v>45355.416666666664</v>
      </c>
      <c r="D1524">
        <v>17613.55</v>
      </c>
      <c r="E1524" t="s">
        <v>42</v>
      </c>
      <c r="F1524" t="s">
        <v>27</v>
      </c>
      <c r="G1524" t="s">
        <v>18</v>
      </c>
      <c r="H1524" t="s">
        <v>36</v>
      </c>
      <c r="I1524" t="s">
        <v>36</v>
      </c>
      <c r="J1524" t="s">
        <v>20</v>
      </c>
      <c r="K1524">
        <v>0</v>
      </c>
      <c r="L1524">
        <v>1</v>
      </c>
      <c r="M1524">
        <v>3.26</v>
      </c>
      <c r="N1524">
        <v>0</v>
      </c>
      <c r="O1524" t="str">
        <f>IF(financial_fraud_data[[#This Row],[Risk_Score]]&gt;8,"High",IF(financial_fraud_data[[#This Row],[Risk_Score]]&gt;5,"Med","Low"))</f>
        <v>Low</v>
      </c>
      <c r="P1524" t="str">
        <f>TEXT(financial_fraud_data[[#This Row],[Transaction_Date]],"MMM")</f>
        <v>Mar</v>
      </c>
      <c r="Q1524" t="str">
        <f>IF(financial_fraud_data[[#This Row],[Is_Fraud]]=1,"Yes","No")</f>
        <v>No</v>
      </c>
    </row>
    <row r="1525" spans="1:17" x14ac:dyDescent="0.2">
      <c r="A1525" t="s">
        <v>2037</v>
      </c>
      <c r="B1525" t="s">
        <v>547</v>
      </c>
      <c r="C1525" s="1">
        <v>45355.458333333336</v>
      </c>
      <c r="D1525">
        <v>5115.97</v>
      </c>
      <c r="E1525" t="s">
        <v>16</v>
      </c>
      <c r="F1525" t="s">
        <v>47</v>
      </c>
      <c r="G1525" t="s">
        <v>56</v>
      </c>
      <c r="H1525" t="s">
        <v>36</v>
      </c>
      <c r="I1525" t="s">
        <v>29</v>
      </c>
      <c r="J1525" t="s">
        <v>51</v>
      </c>
      <c r="K1525">
        <v>1</v>
      </c>
      <c r="L1525">
        <v>0</v>
      </c>
      <c r="M1525">
        <v>3.51</v>
      </c>
      <c r="N1525">
        <v>0</v>
      </c>
      <c r="O1525" t="str">
        <f>IF(financial_fraud_data[[#This Row],[Risk_Score]]&gt;8,"High",IF(financial_fraud_data[[#This Row],[Risk_Score]]&gt;5,"Med","Low"))</f>
        <v>Low</v>
      </c>
      <c r="P1525" t="str">
        <f>TEXT(financial_fraud_data[[#This Row],[Transaction_Date]],"MMM")</f>
        <v>Mar</v>
      </c>
      <c r="Q1525" t="str">
        <f>IF(financial_fraud_data[[#This Row],[Is_Fraud]]=1,"Yes","No")</f>
        <v>No</v>
      </c>
    </row>
    <row r="1526" spans="1:17" x14ac:dyDescent="0.2">
      <c r="A1526" t="s">
        <v>2038</v>
      </c>
      <c r="B1526" t="s">
        <v>519</v>
      </c>
      <c r="C1526" s="1">
        <v>45355.5</v>
      </c>
      <c r="D1526">
        <v>24319.29</v>
      </c>
      <c r="E1526" t="s">
        <v>42</v>
      </c>
      <c r="F1526" t="s">
        <v>17</v>
      </c>
      <c r="G1526" t="s">
        <v>35</v>
      </c>
      <c r="H1526" t="s">
        <v>19</v>
      </c>
      <c r="I1526" t="s">
        <v>19</v>
      </c>
      <c r="J1526" t="s">
        <v>20</v>
      </c>
      <c r="K1526">
        <v>0</v>
      </c>
      <c r="L1526">
        <v>1</v>
      </c>
      <c r="M1526">
        <v>3.93</v>
      </c>
      <c r="N1526">
        <v>0</v>
      </c>
      <c r="O1526" t="str">
        <f>IF(financial_fraud_data[[#This Row],[Risk_Score]]&gt;8,"High",IF(financial_fraud_data[[#This Row],[Risk_Score]]&gt;5,"Med","Low"))</f>
        <v>Low</v>
      </c>
      <c r="P1526" t="str">
        <f>TEXT(financial_fraud_data[[#This Row],[Transaction_Date]],"MMM")</f>
        <v>Mar</v>
      </c>
      <c r="Q1526" t="str">
        <f>IF(financial_fraud_data[[#This Row],[Is_Fraud]]=1,"Yes","No")</f>
        <v>No</v>
      </c>
    </row>
    <row r="1527" spans="1:17" x14ac:dyDescent="0.2">
      <c r="A1527" t="s">
        <v>2039</v>
      </c>
      <c r="B1527" t="s">
        <v>1443</v>
      </c>
      <c r="C1527" s="1">
        <v>45355.541666666664</v>
      </c>
      <c r="D1527">
        <v>12875.99</v>
      </c>
      <c r="E1527" t="s">
        <v>42</v>
      </c>
      <c r="F1527" t="s">
        <v>27</v>
      </c>
      <c r="G1527" t="s">
        <v>56</v>
      </c>
      <c r="H1527" t="s">
        <v>36</v>
      </c>
      <c r="I1527" t="s">
        <v>19</v>
      </c>
      <c r="J1527" t="s">
        <v>20</v>
      </c>
      <c r="K1527">
        <v>0</v>
      </c>
      <c r="L1527">
        <v>0</v>
      </c>
      <c r="M1527">
        <v>2.29</v>
      </c>
      <c r="N1527">
        <v>0</v>
      </c>
      <c r="O1527" t="str">
        <f>IF(financial_fraud_data[[#This Row],[Risk_Score]]&gt;8,"High",IF(financial_fraud_data[[#This Row],[Risk_Score]]&gt;5,"Med","Low"))</f>
        <v>Low</v>
      </c>
      <c r="P1527" t="str">
        <f>TEXT(financial_fraud_data[[#This Row],[Transaction_Date]],"MMM")</f>
        <v>Mar</v>
      </c>
      <c r="Q1527" t="str">
        <f>IF(financial_fraud_data[[#This Row],[Is_Fraud]]=1,"Yes","No")</f>
        <v>No</v>
      </c>
    </row>
    <row r="1528" spans="1:17" x14ac:dyDescent="0.2">
      <c r="A1528" t="s">
        <v>2040</v>
      </c>
      <c r="B1528" t="s">
        <v>156</v>
      </c>
      <c r="C1528" s="1">
        <v>45355.583333333336</v>
      </c>
      <c r="D1528">
        <v>14279.4</v>
      </c>
      <c r="E1528" t="s">
        <v>42</v>
      </c>
      <c r="F1528" t="s">
        <v>50</v>
      </c>
      <c r="G1528" t="s">
        <v>18</v>
      </c>
      <c r="H1528" t="s">
        <v>23</v>
      </c>
      <c r="I1528" t="s">
        <v>19</v>
      </c>
      <c r="J1528" t="s">
        <v>20</v>
      </c>
      <c r="K1528">
        <v>0</v>
      </c>
      <c r="L1528">
        <v>4</v>
      </c>
      <c r="M1528">
        <v>8.43</v>
      </c>
      <c r="N1528">
        <v>1</v>
      </c>
      <c r="O1528" t="str">
        <f>IF(financial_fraud_data[[#This Row],[Risk_Score]]&gt;8,"High",IF(financial_fraud_data[[#This Row],[Risk_Score]]&gt;5,"Med","Low"))</f>
        <v>High</v>
      </c>
      <c r="P1528" t="str">
        <f>TEXT(financial_fraud_data[[#This Row],[Transaction_Date]],"MMM")</f>
        <v>Mar</v>
      </c>
      <c r="Q1528" t="str">
        <f>IF(financial_fraud_data[[#This Row],[Is_Fraud]]=1,"Yes","No")</f>
        <v>Yes</v>
      </c>
    </row>
    <row r="1529" spans="1:17" x14ac:dyDescent="0.2">
      <c r="A1529" t="s">
        <v>2041</v>
      </c>
      <c r="B1529" t="s">
        <v>295</v>
      </c>
      <c r="C1529" s="1">
        <v>45355.625</v>
      </c>
      <c r="D1529">
        <v>15399.13</v>
      </c>
      <c r="E1529" t="s">
        <v>80</v>
      </c>
      <c r="F1529" t="s">
        <v>17</v>
      </c>
      <c r="G1529" t="s">
        <v>65</v>
      </c>
      <c r="H1529" t="s">
        <v>29</v>
      </c>
      <c r="I1529" t="s">
        <v>36</v>
      </c>
      <c r="J1529" t="s">
        <v>37</v>
      </c>
      <c r="K1529">
        <v>0</v>
      </c>
      <c r="L1529">
        <v>2</v>
      </c>
      <c r="M1529">
        <v>5.54</v>
      </c>
      <c r="N1529">
        <v>1</v>
      </c>
      <c r="O1529" t="str">
        <f>IF(financial_fraud_data[[#This Row],[Risk_Score]]&gt;8,"High",IF(financial_fraud_data[[#This Row],[Risk_Score]]&gt;5,"Med","Low"))</f>
        <v>Med</v>
      </c>
      <c r="P1529" t="str">
        <f>TEXT(financial_fraud_data[[#This Row],[Transaction_Date]],"MMM")</f>
        <v>Mar</v>
      </c>
      <c r="Q1529" t="str">
        <f>IF(financial_fraud_data[[#This Row],[Is_Fraud]]=1,"Yes","No")</f>
        <v>Yes</v>
      </c>
    </row>
    <row r="1530" spans="1:17" x14ac:dyDescent="0.2">
      <c r="A1530" t="s">
        <v>2042</v>
      </c>
      <c r="B1530" t="s">
        <v>560</v>
      </c>
      <c r="C1530" s="1">
        <v>45355.666666666664</v>
      </c>
      <c r="D1530">
        <v>40161.14</v>
      </c>
      <c r="E1530" t="s">
        <v>42</v>
      </c>
      <c r="F1530" t="s">
        <v>47</v>
      </c>
      <c r="G1530" t="s">
        <v>56</v>
      </c>
      <c r="H1530" t="s">
        <v>29</v>
      </c>
      <c r="I1530" t="s">
        <v>36</v>
      </c>
      <c r="J1530" t="s">
        <v>20</v>
      </c>
      <c r="K1530">
        <v>0</v>
      </c>
      <c r="L1530">
        <v>0</v>
      </c>
      <c r="M1530">
        <v>5.0199999999999996</v>
      </c>
      <c r="N1530">
        <v>1</v>
      </c>
      <c r="O1530" t="str">
        <f>IF(financial_fraud_data[[#This Row],[Risk_Score]]&gt;8,"High",IF(financial_fraud_data[[#This Row],[Risk_Score]]&gt;5,"Med","Low"))</f>
        <v>Med</v>
      </c>
      <c r="P1530" t="str">
        <f>TEXT(financial_fraud_data[[#This Row],[Transaction_Date]],"MMM")</f>
        <v>Mar</v>
      </c>
      <c r="Q1530" t="str">
        <f>IF(financial_fraud_data[[#This Row],[Is_Fraud]]=1,"Yes","No")</f>
        <v>Yes</v>
      </c>
    </row>
    <row r="1531" spans="1:17" x14ac:dyDescent="0.2">
      <c r="A1531" t="s">
        <v>2043</v>
      </c>
      <c r="B1531" t="s">
        <v>1099</v>
      </c>
      <c r="C1531" s="1">
        <v>45355.708333333336</v>
      </c>
      <c r="D1531">
        <v>26981.11</v>
      </c>
      <c r="E1531" t="s">
        <v>16</v>
      </c>
      <c r="F1531" t="s">
        <v>17</v>
      </c>
      <c r="G1531" t="s">
        <v>28</v>
      </c>
      <c r="H1531" t="s">
        <v>24</v>
      </c>
      <c r="I1531" t="s">
        <v>36</v>
      </c>
      <c r="J1531" t="s">
        <v>51</v>
      </c>
      <c r="K1531">
        <v>0</v>
      </c>
      <c r="L1531">
        <v>3</v>
      </c>
      <c r="M1531">
        <v>8.1999999999999993</v>
      </c>
      <c r="N1531">
        <v>1</v>
      </c>
      <c r="O1531" t="str">
        <f>IF(financial_fraud_data[[#This Row],[Risk_Score]]&gt;8,"High",IF(financial_fraud_data[[#This Row],[Risk_Score]]&gt;5,"Med","Low"))</f>
        <v>High</v>
      </c>
      <c r="P1531" t="str">
        <f>TEXT(financial_fraud_data[[#This Row],[Transaction_Date]],"MMM")</f>
        <v>Mar</v>
      </c>
      <c r="Q1531" t="str">
        <f>IF(financial_fraud_data[[#This Row],[Is_Fraud]]=1,"Yes","No")</f>
        <v>Yes</v>
      </c>
    </row>
    <row r="1532" spans="1:17" x14ac:dyDescent="0.2">
      <c r="A1532" t="s">
        <v>2044</v>
      </c>
      <c r="B1532" t="s">
        <v>977</v>
      </c>
      <c r="C1532" s="1">
        <v>45355.75</v>
      </c>
      <c r="D1532">
        <v>15599.82</v>
      </c>
      <c r="E1532" t="s">
        <v>42</v>
      </c>
      <c r="F1532" t="s">
        <v>47</v>
      </c>
      <c r="G1532" t="s">
        <v>28</v>
      </c>
      <c r="H1532" t="s">
        <v>24</v>
      </c>
      <c r="I1532" t="s">
        <v>24</v>
      </c>
      <c r="J1532" t="s">
        <v>51</v>
      </c>
      <c r="K1532">
        <v>0</v>
      </c>
      <c r="L1532">
        <v>3</v>
      </c>
      <c r="M1532">
        <v>6.06</v>
      </c>
      <c r="N1532">
        <v>1</v>
      </c>
      <c r="O1532" t="str">
        <f>IF(financial_fraud_data[[#This Row],[Risk_Score]]&gt;8,"High",IF(financial_fraud_data[[#This Row],[Risk_Score]]&gt;5,"Med","Low"))</f>
        <v>Med</v>
      </c>
      <c r="P1532" t="str">
        <f>TEXT(financial_fraud_data[[#This Row],[Transaction_Date]],"MMM")</f>
        <v>Mar</v>
      </c>
      <c r="Q1532" t="str">
        <f>IF(financial_fraud_data[[#This Row],[Is_Fraud]]=1,"Yes","No")</f>
        <v>Yes</v>
      </c>
    </row>
    <row r="1533" spans="1:17" x14ac:dyDescent="0.2">
      <c r="A1533" t="s">
        <v>2045</v>
      </c>
      <c r="B1533" t="s">
        <v>1486</v>
      </c>
      <c r="C1533" s="1">
        <v>45355.791666666664</v>
      </c>
      <c r="D1533">
        <v>30536.17</v>
      </c>
      <c r="E1533" t="s">
        <v>16</v>
      </c>
      <c r="F1533" t="s">
        <v>17</v>
      </c>
      <c r="G1533" t="s">
        <v>65</v>
      </c>
      <c r="H1533" t="s">
        <v>36</v>
      </c>
      <c r="I1533" t="s">
        <v>36</v>
      </c>
      <c r="J1533" t="s">
        <v>37</v>
      </c>
      <c r="K1533">
        <v>0</v>
      </c>
      <c r="L1533">
        <v>3</v>
      </c>
      <c r="M1533">
        <v>7.55</v>
      </c>
      <c r="N1533">
        <v>1</v>
      </c>
      <c r="O1533" t="str">
        <f>IF(financial_fraud_data[[#This Row],[Risk_Score]]&gt;8,"High",IF(financial_fraud_data[[#This Row],[Risk_Score]]&gt;5,"Med","Low"))</f>
        <v>Med</v>
      </c>
      <c r="P1533" t="str">
        <f>TEXT(financial_fraud_data[[#This Row],[Transaction_Date]],"MMM")</f>
        <v>Mar</v>
      </c>
      <c r="Q1533" t="str">
        <f>IF(financial_fraud_data[[#This Row],[Is_Fraud]]=1,"Yes","No")</f>
        <v>Yes</v>
      </c>
    </row>
    <row r="1534" spans="1:17" x14ac:dyDescent="0.2">
      <c r="A1534" t="s">
        <v>2046</v>
      </c>
      <c r="B1534" t="s">
        <v>1112</v>
      </c>
      <c r="C1534" s="1">
        <v>45355.833333333336</v>
      </c>
      <c r="D1534">
        <v>35821.730000000003</v>
      </c>
      <c r="E1534" t="s">
        <v>42</v>
      </c>
      <c r="F1534" t="s">
        <v>47</v>
      </c>
      <c r="G1534" t="s">
        <v>18</v>
      </c>
      <c r="H1534" t="s">
        <v>29</v>
      </c>
      <c r="I1534" t="s">
        <v>36</v>
      </c>
      <c r="J1534" t="s">
        <v>37</v>
      </c>
      <c r="K1534">
        <v>1</v>
      </c>
      <c r="L1534">
        <v>1</v>
      </c>
      <c r="M1534">
        <v>8.08</v>
      </c>
      <c r="N1534">
        <v>1</v>
      </c>
      <c r="O1534" t="str">
        <f>IF(financial_fraud_data[[#This Row],[Risk_Score]]&gt;8,"High",IF(financial_fraud_data[[#This Row],[Risk_Score]]&gt;5,"Med","Low"))</f>
        <v>High</v>
      </c>
      <c r="P1534" t="str">
        <f>TEXT(financial_fraud_data[[#This Row],[Transaction_Date]],"MMM")</f>
        <v>Mar</v>
      </c>
      <c r="Q1534" t="str">
        <f>IF(financial_fraud_data[[#This Row],[Is_Fraud]]=1,"Yes","No")</f>
        <v>Yes</v>
      </c>
    </row>
    <row r="1535" spans="1:17" x14ac:dyDescent="0.2">
      <c r="A1535" t="s">
        <v>2047</v>
      </c>
      <c r="B1535" t="s">
        <v>2048</v>
      </c>
      <c r="C1535" s="1">
        <v>45355.875</v>
      </c>
      <c r="D1535">
        <v>13667.57</v>
      </c>
      <c r="E1535" t="s">
        <v>16</v>
      </c>
      <c r="F1535" t="s">
        <v>27</v>
      </c>
      <c r="G1535" t="s">
        <v>28</v>
      </c>
      <c r="H1535" t="s">
        <v>23</v>
      </c>
      <c r="I1535" t="s">
        <v>36</v>
      </c>
      <c r="J1535" t="s">
        <v>51</v>
      </c>
      <c r="K1535">
        <v>0</v>
      </c>
      <c r="L1535">
        <v>1</v>
      </c>
      <c r="M1535">
        <v>3.87</v>
      </c>
      <c r="N1535">
        <v>0</v>
      </c>
      <c r="O1535" t="str">
        <f>IF(financial_fraud_data[[#This Row],[Risk_Score]]&gt;8,"High",IF(financial_fraud_data[[#This Row],[Risk_Score]]&gt;5,"Med","Low"))</f>
        <v>Low</v>
      </c>
      <c r="P1535" t="str">
        <f>TEXT(financial_fraud_data[[#This Row],[Transaction_Date]],"MMM")</f>
        <v>Mar</v>
      </c>
      <c r="Q1535" t="str">
        <f>IF(financial_fraud_data[[#This Row],[Is_Fraud]]=1,"Yes","No")</f>
        <v>No</v>
      </c>
    </row>
    <row r="1536" spans="1:17" x14ac:dyDescent="0.2">
      <c r="A1536" t="s">
        <v>2049</v>
      </c>
      <c r="B1536" t="s">
        <v>98</v>
      </c>
      <c r="C1536" s="1">
        <v>45355.916666666664</v>
      </c>
      <c r="D1536">
        <v>20706.78</v>
      </c>
      <c r="E1536" t="s">
        <v>16</v>
      </c>
      <c r="F1536" t="s">
        <v>50</v>
      </c>
      <c r="G1536" t="s">
        <v>28</v>
      </c>
      <c r="H1536" t="s">
        <v>23</v>
      </c>
      <c r="I1536" t="s">
        <v>29</v>
      </c>
      <c r="J1536" t="s">
        <v>20</v>
      </c>
      <c r="K1536">
        <v>0</v>
      </c>
      <c r="L1536">
        <v>1</v>
      </c>
      <c r="M1536">
        <v>4.57</v>
      </c>
      <c r="N1536">
        <v>0</v>
      </c>
      <c r="O1536" t="str">
        <f>IF(financial_fraud_data[[#This Row],[Risk_Score]]&gt;8,"High",IF(financial_fraud_data[[#This Row],[Risk_Score]]&gt;5,"Med","Low"))</f>
        <v>Low</v>
      </c>
      <c r="P1536" t="str">
        <f>TEXT(financial_fraud_data[[#This Row],[Transaction_Date]],"MMM")</f>
        <v>Mar</v>
      </c>
      <c r="Q1536" t="str">
        <f>IF(financial_fraud_data[[#This Row],[Is_Fraud]]=1,"Yes","No")</f>
        <v>No</v>
      </c>
    </row>
    <row r="1537" spans="1:17" x14ac:dyDescent="0.2">
      <c r="A1537" t="s">
        <v>2050</v>
      </c>
      <c r="B1537" t="s">
        <v>2051</v>
      </c>
      <c r="C1537" s="1">
        <v>45355.958333333336</v>
      </c>
      <c r="D1537">
        <v>6138.21</v>
      </c>
      <c r="E1537" t="s">
        <v>42</v>
      </c>
      <c r="F1537" t="s">
        <v>47</v>
      </c>
      <c r="G1537" t="s">
        <v>35</v>
      </c>
      <c r="H1537" t="s">
        <v>23</v>
      </c>
      <c r="I1537" t="s">
        <v>36</v>
      </c>
      <c r="J1537" t="s">
        <v>51</v>
      </c>
      <c r="K1537">
        <v>0</v>
      </c>
      <c r="L1537">
        <v>3</v>
      </c>
      <c r="M1537">
        <v>6.11</v>
      </c>
      <c r="N1537">
        <v>1</v>
      </c>
      <c r="O1537" t="str">
        <f>IF(financial_fraud_data[[#This Row],[Risk_Score]]&gt;8,"High",IF(financial_fraud_data[[#This Row],[Risk_Score]]&gt;5,"Med","Low"))</f>
        <v>Med</v>
      </c>
      <c r="P1537" t="str">
        <f>TEXT(financial_fraud_data[[#This Row],[Transaction_Date]],"MMM")</f>
        <v>Mar</v>
      </c>
      <c r="Q1537" t="str">
        <f>IF(financial_fraud_data[[#This Row],[Is_Fraud]]=1,"Yes","No")</f>
        <v>Yes</v>
      </c>
    </row>
    <row r="1538" spans="1:17" x14ac:dyDescent="0.2">
      <c r="A1538" t="s">
        <v>2052</v>
      </c>
      <c r="B1538" t="s">
        <v>974</v>
      </c>
      <c r="C1538" s="1">
        <v>45356</v>
      </c>
      <c r="D1538">
        <v>9098.41</v>
      </c>
      <c r="E1538" t="s">
        <v>42</v>
      </c>
      <c r="F1538" t="s">
        <v>17</v>
      </c>
      <c r="G1538" t="s">
        <v>56</v>
      </c>
      <c r="H1538" t="s">
        <v>36</v>
      </c>
      <c r="I1538" t="s">
        <v>24</v>
      </c>
      <c r="J1538" t="s">
        <v>37</v>
      </c>
      <c r="K1538">
        <v>0</v>
      </c>
      <c r="L1538">
        <v>0</v>
      </c>
      <c r="M1538">
        <v>1.91</v>
      </c>
      <c r="N1538">
        <v>0</v>
      </c>
      <c r="O1538" t="str">
        <f>IF(financial_fraud_data[[#This Row],[Risk_Score]]&gt;8,"High",IF(financial_fraud_data[[#This Row],[Risk_Score]]&gt;5,"Med","Low"))</f>
        <v>Low</v>
      </c>
      <c r="P1538" t="str">
        <f>TEXT(financial_fraud_data[[#This Row],[Transaction_Date]],"MMM")</f>
        <v>Mar</v>
      </c>
      <c r="Q1538" t="str">
        <f>IF(financial_fraud_data[[#This Row],[Is_Fraud]]=1,"Yes","No")</f>
        <v>No</v>
      </c>
    </row>
    <row r="1539" spans="1:17" x14ac:dyDescent="0.2">
      <c r="A1539" t="s">
        <v>2053</v>
      </c>
      <c r="B1539" t="s">
        <v>1913</v>
      </c>
      <c r="C1539" s="1">
        <v>45356.041666666664</v>
      </c>
      <c r="D1539">
        <v>34071.839999999997</v>
      </c>
      <c r="E1539" t="s">
        <v>16</v>
      </c>
      <c r="F1539" t="s">
        <v>47</v>
      </c>
      <c r="G1539" t="s">
        <v>18</v>
      </c>
      <c r="H1539" t="s">
        <v>36</v>
      </c>
      <c r="I1539" t="s">
        <v>19</v>
      </c>
      <c r="J1539" t="s">
        <v>37</v>
      </c>
      <c r="K1539">
        <v>0</v>
      </c>
      <c r="L1539">
        <v>3</v>
      </c>
      <c r="M1539">
        <v>8.91</v>
      </c>
      <c r="N1539">
        <v>1</v>
      </c>
      <c r="O1539" t="str">
        <f>IF(financial_fraud_data[[#This Row],[Risk_Score]]&gt;8,"High",IF(financial_fraud_data[[#This Row],[Risk_Score]]&gt;5,"Med","Low"))</f>
        <v>High</v>
      </c>
      <c r="P1539" t="str">
        <f>TEXT(financial_fraud_data[[#This Row],[Transaction_Date]],"MMM")</f>
        <v>Mar</v>
      </c>
      <c r="Q1539" t="str">
        <f>IF(financial_fraud_data[[#This Row],[Is_Fraud]]=1,"Yes","No")</f>
        <v>Yes</v>
      </c>
    </row>
    <row r="1540" spans="1:17" x14ac:dyDescent="0.2">
      <c r="A1540" t="s">
        <v>2054</v>
      </c>
      <c r="B1540" t="s">
        <v>409</v>
      </c>
      <c r="C1540" s="1">
        <v>45356.083333333336</v>
      </c>
      <c r="D1540">
        <v>9112.85</v>
      </c>
      <c r="E1540" t="s">
        <v>34</v>
      </c>
      <c r="F1540" t="s">
        <v>47</v>
      </c>
      <c r="G1540" t="s">
        <v>56</v>
      </c>
      <c r="H1540" t="s">
        <v>19</v>
      </c>
      <c r="I1540" t="s">
        <v>29</v>
      </c>
      <c r="J1540" t="s">
        <v>51</v>
      </c>
      <c r="K1540">
        <v>0</v>
      </c>
      <c r="L1540">
        <v>0</v>
      </c>
      <c r="M1540">
        <v>1.91</v>
      </c>
      <c r="N1540">
        <v>0</v>
      </c>
      <c r="O1540" t="str">
        <f>IF(financial_fraud_data[[#This Row],[Risk_Score]]&gt;8,"High",IF(financial_fraud_data[[#This Row],[Risk_Score]]&gt;5,"Med","Low"))</f>
        <v>Low</v>
      </c>
      <c r="P1540" t="str">
        <f>TEXT(financial_fraud_data[[#This Row],[Transaction_Date]],"MMM")</f>
        <v>Mar</v>
      </c>
      <c r="Q1540" t="str">
        <f>IF(financial_fraud_data[[#This Row],[Is_Fraud]]=1,"Yes","No")</f>
        <v>No</v>
      </c>
    </row>
    <row r="1541" spans="1:17" x14ac:dyDescent="0.2">
      <c r="A1541" t="s">
        <v>2055</v>
      </c>
      <c r="B1541" t="s">
        <v>425</v>
      </c>
      <c r="C1541" s="1">
        <v>45356.125</v>
      </c>
      <c r="D1541">
        <v>26281.91</v>
      </c>
      <c r="E1541" t="s">
        <v>80</v>
      </c>
      <c r="F1541" t="s">
        <v>47</v>
      </c>
      <c r="G1541" t="s">
        <v>18</v>
      </c>
      <c r="H1541" t="s">
        <v>23</v>
      </c>
      <c r="I1541" t="s">
        <v>23</v>
      </c>
      <c r="J1541" t="s">
        <v>20</v>
      </c>
      <c r="K1541">
        <v>1</v>
      </c>
      <c r="L1541">
        <v>1</v>
      </c>
      <c r="M1541">
        <v>6.13</v>
      </c>
      <c r="N1541">
        <v>1</v>
      </c>
      <c r="O1541" t="str">
        <f>IF(financial_fraud_data[[#This Row],[Risk_Score]]&gt;8,"High",IF(financial_fraud_data[[#This Row],[Risk_Score]]&gt;5,"Med","Low"))</f>
        <v>Med</v>
      </c>
      <c r="P1541" t="str">
        <f>TEXT(financial_fraud_data[[#This Row],[Transaction_Date]],"MMM")</f>
        <v>Mar</v>
      </c>
      <c r="Q1541" t="str">
        <f>IF(financial_fraud_data[[#This Row],[Is_Fraud]]=1,"Yes","No")</f>
        <v>Yes</v>
      </c>
    </row>
    <row r="1542" spans="1:17" x14ac:dyDescent="0.2">
      <c r="A1542" t="s">
        <v>2056</v>
      </c>
      <c r="B1542" t="s">
        <v>421</v>
      </c>
      <c r="C1542" s="1">
        <v>45356.166666666664</v>
      </c>
      <c r="D1542">
        <v>35466.86</v>
      </c>
      <c r="E1542" t="s">
        <v>34</v>
      </c>
      <c r="F1542" t="s">
        <v>17</v>
      </c>
      <c r="G1542" t="s">
        <v>28</v>
      </c>
      <c r="H1542" t="s">
        <v>23</v>
      </c>
      <c r="I1542" t="s">
        <v>36</v>
      </c>
      <c r="J1542" t="s">
        <v>20</v>
      </c>
      <c r="K1542">
        <v>1</v>
      </c>
      <c r="L1542">
        <v>2</v>
      </c>
      <c r="M1542">
        <v>9.5500000000000007</v>
      </c>
      <c r="N1542">
        <v>1</v>
      </c>
      <c r="O1542" t="str">
        <f>IF(financial_fraud_data[[#This Row],[Risk_Score]]&gt;8,"High",IF(financial_fraud_data[[#This Row],[Risk_Score]]&gt;5,"Med","Low"))</f>
        <v>High</v>
      </c>
      <c r="P1542" t="str">
        <f>TEXT(financial_fraud_data[[#This Row],[Transaction_Date]],"MMM")</f>
        <v>Mar</v>
      </c>
      <c r="Q1542" t="str">
        <f>IF(financial_fraud_data[[#This Row],[Is_Fraud]]=1,"Yes","No")</f>
        <v>Yes</v>
      </c>
    </row>
    <row r="1543" spans="1:17" x14ac:dyDescent="0.2">
      <c r="A1543" t="s">
        <v>2057</v>
      </c>
      <c r="B1543" t="s">
        <v>1349</v>
      </c>
      <c r="C1543" s="1">
        <v>45356.208333333336</v>
      </c>
      <c r="D1543">
        <v>5388.5</v>
      </c>
      <c r="E1543" t="s">
        <v>34</v>
      </c>
      <c r="F1543" t="s">
        <v>50</v>
      </c>
      <c r="G1543" t="s">
        <v>35</v>
      </c>
      <c r="H1543" t="s">
        <v>36</v>
      </c>
      <c r="I1543" t="s">
        <v>19</v>
      </c>
      <c r="J1543" t="s">
        <v>37</v>
      </c>
      <c r="K1543">
        <v>0</v>
      </c>
      <c r="L1543">
        <v>1</v>
      </c>
      <c r="M1543">
        <v>3.04</v>
      </c>
      <c r="N1543">
        <v>0</v>
      </c>
      <c r="O1543" t="str">
        <f>IF(financial_fraud_data[[#This Row],[Risk_Score]]&gt;8,"High",IF(financial_fraud_data[[#This Row],[Risk_Score]]&gt;5,"Med","Low"))</f>
        <v>Low</v>
      </c>
      <c r="P1543" t="str">
        <f>TEXT(financial_fraud_data[[#This Row],[Transaction_Date]],"MMM")</f>
        <v>Mar</v>
      </c>
      <c r="Q1543" t="str">
        <f>IF(financial_fraud_data[[#This Row],[Is_Fraud]]=1,"Yes","No")</f>
        <v>No</v>
      </c>
    </row>
    <row r="1544" spans="1:17" x14ac:dyDescent="0.2">
      <c r="A1544" t="s">
        <v>2058</v>
      </c>
      <c r="B1544" t="s">
        <v>1693</v>
      </c>
      <c r="C1544" s="1">
        <v>45356.25</v>
      </c>
      <c r="D1544">
        <v>28387.25</v>
      </c>
      <c r="E1544" t="s">
        <v>42</v>
      </c>
      <c r="F1544" t="s">
        <v>27</v>
      </c>
      <c r="G1544" t="s">
        <v>56</v>
      </c>
      <c r="H1544" t="s">
        <v>36</v>
      </c>
      <c r="I1544" t="s">
        <v>19</v>
      </c>
      <c r="J1544" t="s">
        <v>51</v>
      </c>
      <c r="K1544">
        <v>0</v>
      </c>
      <c r="L1544">
        <v>4</v>
      </c>
      <c r="M1544">
        <v>9.84</v>
      </c>
      <c r="N1544">
        <v>1</v>
      </c>
      <c r="O1544" t="str">
        <f>IF(financial_fraud_data[[#This Row],[Risk_Score]]&gt;8,"High",IF(financial_fraud_data[[#This Row],[Risk_Score]]&gt;5,"Med","Low"))</f>
        <v>High</v>
      </c>
      <c r="P1544" t="str">
        <f>TEXT(financial_fraud_data[[#This Row],[Transaction_Date]],"MMM")</f>
        <v>Mar</v>
      </c>
      <c r="Q1544" t="str">
        <f>IF(financial_fraud_data[[#This Row],[Is_Fraud]]=1,"Yes","No")</f>
        <v>Yes</v>
      </c>
    </row>
    <row r="1545" spans="1:17" x14ac:dyDescent="0.2">
      <c r="A1545" t="s">
        <v>2059</v>
      </c>
      <c r="B1545" t="s">
        <v>1216</v>
      </c>
      <c r="C1545" s="1">
        <v>45356.291666666664</v>
      </c>
      <c r="D1545">
        <v>12865.31</v>
      </c>
      <c r="E1545" t="s">
        <v>80</v>
      </c>
      <c r="F1545" t="s">
        <v>50</v>
      </c>
      <c r="G1545" t="s">
        <v>28</v>
      </c>
      <c r="H1545" t="s">
        <v>19</v>
      </c>
      <c r="I1545" t="s">
        <v>29</v>
      </c>
      <c r="J1545" t="s">
        <v>51</v>
      </c>
      <c r="K1545">
        <v>0</v>
      </c>
      <c r="L1545">
        <v>0</v>
      </c>
      <c r="M1545">
        <v>2.29</v>
      </c>
      <c r="N1545">
        <v>0</v>
      </c>
      <c r="O1545" t="str">
        <f>IF(financial_fraud_data[[#This Row],[Risk_Score]]&gt;8,"High",IF(financial_fraud_data[[#This Row],[Risk_Score]]&gt;5,"Med","Low"))</f>
        <v>Low</v>
      </c>
      <c r="P1545" t="str">
        <f>TEXT(financial_fraud_data[[#This Row],[Transaction_Date]],"MMM")</f>
        <v>Mar</v>
      </c>
      <c r="Q1545" t="str">
        <f>IF(financial_fraud_data[[#This Row],[Is_Fraud]]=1,"Yes","No")</f>
        <v>No</v>
      </c>
    </row>
    <row r="1546" spans="1:17" x14ac:dyDescent="0.2">
      <c r="A1546" t="s">
        <v>2060</v>
      </c>
      <c r="B1546" t="s">
        <v>247</v>
      </c>
      <c r="C1546" s="1">
        <v>45356.333333333336</v>
      </c>
      <c r="D1546">
        <v>48148.2</v>
      </c>
      <c r="E1546" t="s">
        <v>34</v>
      </c>
      <c r="F1546" t="s">
        <v>47</v>
      </c>
      <c r="G1546" t="s">
        <v>18</v>
      </c>
      <c r="H1546" t="s">
        <v>19</v>
      </c>
      <c r="I1546" t="s">
        <v>23</v>
      </c>
      <c r="J1546" t="s">
        <v>37</v>
      </c>
      <c r="K1546">
        <v>0</v>
      </c>
      <c r="L1546">
        <v>2</v>
      </c>
      <c r="M1546">
        <v>8.81</v>
      </c>
      <c r="N1546">
        <v>1</v>
      </c>
      <c r="O1546" t="str">
        <f>IF(financial_fraud_data[[#This Row],[Risk_Score]]&gt;8,"High",IF(financial_fraud_data[[#This Row],[Risk_Score]]&gt;5,"Med","Low"))</f>
        <v>High</v>
      </c>
      <c r="P1546" t="str">
        <f>TEXT(financial_fraud_data[[#This Row],[Transaction_Date]],"MMM")</f>
        <v>Mar</v>
      </c>
      <c r="Q1546" t="str">
        <f>IF(financial_fraud_data[[#This Row],[Is_Fraud]]=1,"Yes","No")</f>
        <v>Yes</v>
      </c>
    </row>
    <row r="1547" spans="1:17" x14ac:dyDescent="0.2">
      <c r="A1547" t="s">
        <v>2061</v>
      </c>
      <c r="B1547" t="s">
        <v>1401</v>
      </c>
      <c r="C1547" s="1">
        <v>45356.375</v>
      </c>
      <c r="D1547">
        <v>24203.11</v>
      </c>
      <c r="E1547" t="s">
        <v>42</v>
      </c>
      <c r="F1547" t="s">
        <v>17</v>
      </c>
      <c r="G1547" t="s">
        <v>56</v>
      </c>
      <c r="H1547" t="s">
        <v>24</v>
      </c>
      <c r="I1547" t="s">
        <v>24</v>
      </c>
      <c r="J1547" t="s">
        <v>51</v>
      </c>
      <c r="K1547">
        <v>0</v>
      </c>
      <c r="L1547">
        <v>1</v>
      </c>
      <c r="M1547">
        <v>3.92</v>
      </c>
      <c r="N1547">
        <v>0</v>
      </c>
      <c r="O1547" t="str">
        <f>IF(financial_fraud_data[[#This Row],[Risk_Score]]&gt;8,"High",IF(financial_fraud_data[[#This Row],[Risk_Score]]&gt;5,"Med","Low"))</f>
        <v>Low</v>
      </c>
      <c r="P1547" t="str">
        <f>TEXT(financial_fraud_data[[#This Row],[Transaction_Date]],"MMM")</f>
        <v>Mar</v>
      </c>
      <c r="Q1547" t="str">
        <f>IF(financial_fraud_data[[#This Row],[Is_Fraud]]=1,"Yes","No")</f>
        <v>No</v>
      </c>
    </row>
    <row r="1548" spans="1:17" x14ac:dyDescent="0.2">
      <c r="A1548" t="s">
        <v>2062</v>
      </c>
      <c r="B1548" t="s">
        <v>753</v>
      </c>
      <c r="C1548" s="1">
        <v>45356.416666666664</v>
      </c>
      <c r="D1548">
        <v>40309.33</v>
      </c>
      <c r="E1548" t="s">
        <v>34</v>
      </c>
      <c r="F1548" t="s">
        <v>50</v>
      </c>
      <c r="G1548" t="s">
        <v>56</v>
      </c>
      <c r="H1548" t="s">
        <v>29</v>
      </c>
      <c r="I1548" t="s">
        <v>19</v>
      </c>
      <c r="J1548" t="s">
        <v>37</v>
      </c>
      <c r="K1548">
        <v>0</v>
      </c>
      <c r="L1548">
        <v>2</v>
      </c>
      <c r="M1548">
        <v>8.0299999999999994</v>
      </c>
      <c r="N1548">
        <v>1</v>
      </c>
      <c r="O1548" t="str">
        <f>IF(financial_fraud_data[[#This Row],[Risk_Score]]&gt;8,"High",IF(financial_fraud_data[[#This Row],[Risk_Score]]&gt;5,"Med","Low"))</f>
        <v>High</v>
      </c>
      <c r="P1548" t="str">
        <f>TEXT(financial_fraud_data[[#This Row],[Transaction_Date]],"MMM")</f>
        <v>Mar</v>
      </c>
      <c r="Q1548" t="str">
        <f>IF(financial_fraud_data[[#This Row],[Is_Fraud]]=1,"Yes","No")</f>
        <v>Yes</v>
      </c>
    </row>
    <row r="1549" spans="1:17" x14ac:dyDescent="0.2">
      <c r="A1549" t="s">
        <v>2063</v>
      </c>
      <c r="B1549" t="s">
        <v>844</v>
      </c>
      <c r="C1549" s="1">
        <v>45356.458333333336</v>
      </c>
      <c r="D1549">
        <v>27533.82</v>
      </c>
      <c r="E1549" t="s">
        <v>34</v>
      </c>
      <c r="F1549" t="s">
        <v>47</v>
      </c>
      <c r="G1549" t="s">
        <v>28</v>
      </c>
      <c r="H1549" t="s">
        <v>23</v>
      </c>
      <c r="I1549" t="s">
        <v>19</v>
      </c>
      <c r="J1549" t="s">
        <v>20</v>
      </c>
      <c r="K1549">
        <v>1</v>
      </c>
      <c r="L1549">
        <v>3</v>
      </c>
      <c r="M1549">
        <v>10.25</v>
      </c>
      <c r="N1549">
        <v>1</v>
      </c>
      <c r="O1549" t="str">
        <f>IF(financial_fraud_data[[#This Row],[Risk_Score]]&gt;8,"High",IF(financial_fraud_data[[#This Row],[Risk_Score]]&gt;5,"Med","Low"))</f>
        <v>High</v>
      </c>
      <c r="P1549" t="str">
        <f>TEXT(financial_fraud_data[[#This Row],[Transaction_Date]],"MMM")</f>
        <v>Mar</v>
      </c>
      <c r="Q1549" t="str">
        <f>IF(financial_fraud_data[[#This Row],[Is_Fraud]]=1,"Yes","No")</f>
        <v>Yes</v>
      </c>
    </row>
    <row r="1550" spans="1:17" x14ac:dyDescent="0.2">
      <c r="A1550" t="s">
        <v>2064</v>
      </c>
      <c r="B1550" t="s">
        <v>84</v>
      </c>
      <c r="C1550" s="1">
        <v>45356.5</v>
      </c>
      <c r="D1550">
        <v>2218.46</v>
      </c>
      <c r="E1550" t="s">
        <v>42</v>
      </c>
      <c r="F1550" t="s">
        <v>27</v>
      </c>
      <c r="G1550" t="s">
        <v>56</v>
      </c>
      <c r="H1550" t="s">
        <v>23</v>
      </c>
      <c r="I1550" t="s">
        <v>19</v>
      </c>
      <c r="J1550" t="s">
        <v>20</v>
      </c>
      <c r="K1550">
        <v>0</v>
      </c>
      <c r="L1550">
        <v>0</v>
      </c>
      <c r="M1550">
        <v>1.22</v>
      </c>
      <c r="N1550">
        <v>0</v>
      </c>
      <c r="O1550" t="str">
        <f>IF(financial_fraud_data[[#This Row],[Risk_Score]]&gt;8,"High",IF(financial_fraud_data[[#This Row],[Risk_Score]]&gt;5,"Med","Low"))</f>
        <v>Low</v>
      </c>
      <c r="P1550" t="str">
        <f>TEXT(financial_fraud_data[[#This Row],[Transaction_Date]],"MMM")</f>
        <v>Mar</v>
      </c>
      <c r="Q1550" t="str">
        <f>IF(financial_fraud_data[[#This Row],[Is_Fraud]]=1,"Yes","No")</f>
        <v>No</v>
      </c>
    </row>
    <row r="1551" spans="1:17" x14ac:dyDescent="0.2">
      <c r="A1551" t="s">
        <v>2065</v>
      </c>
      <c r="B1551" t="s">
        <v>243</v>
      </c>
      <c r="C1551" s="1">
        <v>45356.541666666664</v>
      </c>
      <c r="D1551">
        <v>31675.91</v>
      </c>
      <c r="E1551" t="s">
        <v>42</v>
      </c>
      <c r="F1551" t="s">
        <v>27</v>
      </c>
      <c r="G1551" t="s">
        <v>35</v>
      </c>
      <c r="H1551" t="s">
        <v>19</v>
      </c>
      <c r="I1551" t="s">
        <v>19</v>
      </c>
      <c r="J1551" t="s">
        <v>51</v>
      </c>
      <c r="K1551">
        <v>0</v>
      </c>
      <c r="L1551">
        <v>4</v>
      </c>
      <c r="M1551">
        <v>9.17</v>
      </c>
      <c r="N1551">
        <v>1</v>
      </c>
      <c r="O1551" t="str">
        <f>IF(financial_fraud_data[[#This Row],[Risk_Score]]&gt;8,"High",IF(financial_fraud_data[[#This Row],[Risk_Score]]&gt;5,"Med","Low"))</f>
        <v>High</v>
      </c>
      <c r="P1551" t="str">
        <f>TEXT(financial_fraud_data[[#This Row],[Transaction_Date]],"MMM")</f>
        <v>Mar</v>
      </c>
      <c r="Q1551" t="str">
        <f>IF(financial_fraud_data[[#This Row],[Is_Fraud]]=1,"Yes","No")</f>
        <v>Yes</v>
      </c>
    </row>
    <row r="1552" spans="1:17" x14ac:dyDescent="0.2">
      <c r="A1552" t="s">
        <v>2066</v>
      </c>
      <c r="B1552" t="s">
        <v>341</v>
      </c>
      <c r="C1552" s="1">
        <v>45356.583333333336</v>
      </c>
      <c r="D1552">
        <v>47572.6</v>
      </c>
      <c r="E1552" t="s">
        <v>42</v>
      </c>
      <c r="F1552" t="s">
        <v>27</v>
      </c>
      <c r="G1552" t="s">
        <v>35</v>
      </c>
      <c r="H1552" t="s">
        <v>19</v>
      </c>
      <c r="I1552" t="s">
        <v>29</v>
      </c>
      <c r="J1552" t="s">
        <v>20</v>
      </c>
      <c r="K1552">
        <v>0</v>
      </c>
      <c r="L1552">
        <v>3</v>
      </c>
      <c r="M1552">
        <v>10.26</v>
      </c>
      <c r="N1552">
        <v>1</v>
      </c>
      <c r="O1552" t="str">
        <f>IF(financial_fraud_data[[#This Row],[Risk_Score]]&gt;8,"High",IF(financial_fraud_data[[#This Row],[Risk_Score]]&gt;5,"Med","Low"))</f>
        <v>High</v>
      </c>
      <c r="P1552" t="str">
        <f>TEXT(financial_fraud_data[[#This Row],[Transaction_Date]],"MMM")</f>
        <v>Mar</v>
      </c>
      <c r="Q1552" t="str">
        <f>IF(financial_fraud_data[[#This Row],[Is_Fraud]]=1,"Yes","No")</f>
        <v>Yes</v>
      </c>
    </row>
    <row r="1553" spans="1:17" x14ac:dyDescent="0.2">
      <c r="A1553" t="s">
        <v>2067</v>
      </c>
      <c r="B1553" t="s">
        <v>367</v>
      </c>
      <c r="C1553" s="1">
        <v>45356.625</v>
      </c>
      <c r="D1553">
        <v>30100.51</v>
      </c>
      <c r="E1553" t="s">
        <v>80</v>
      </c>
      <c r="F1553" t="s">
        <v>47</v>
      </c>
      <c r="G1553" t="s">
        <v>28</v>
      </c>
      <c r="H1553" t="s">
        <v>24</v>
      </c>
      <c r="I1553" t="s">
        <v>23</v>
      </c>
      <c r="J1553" t="s">
        <v>20</v>
      </c>
      <c r="K1553">
        <v>0</v>
      </c>
      <c r="L1553">
        <v>2</v>
      </c>
      <c r="M1553">
        <v>7.01</v>
      </c>
      <c r="N1553">
        <v>1</v>
      </c>
      <c r="O1553" t="str">
        <f>IF(financial_fraud_data[[#This Row],[Risk_Score]]&gt;8,"High",IF(financial_fraud_data[[#This Row],[Risk_Score]]&gt;5,"Med","Low"))</f>
        <v>Med</v>
      </c>
      <c r="P1553" t="str">
        <f>TEXT(financial_fraud_data[[#This Row],[Transaction_Date]],"MMM")</f>
        <v>Mar</v>
      </c>
      <c r="Q1553" t="str">
        <f>IF(financial_fraud_data[[#This Row],[Is_Fraud]]=1,"Yes","No")</f>
        <v>Yes</v>
      </c>
    </row>
    <row r="1554" spans="1:17" x14ac:dyDescent="0.2">
      <c r="A1554" t="s">
        <v>2068</v>
      </c>
      <c r="B1554" t="s">
        <v>253</v>
      </c>
      <c r="C1554" s="1">
        <v>45356.666666666664</v>
      </c>
      <c r="D1554">
        <v>40968.480000000003</v>
      </c>
      <c r="E1554" t="s">
        <v>34</v>
      </c>
      <c r="F1554" t="s">
        <v>17</v>
      </c>
      <c r="G1554" t="s">
        <v>18</v>
      </c>
      <c r="H1554" t="s">
        <v>29</v>
      </c>
      <c r="I1554" t="s">
        <v>19</v>
      </c>
      <c r="J1554" t="s">
        <v>37</v>
      </c>
      <c r="K1554">
        <v>1</v>
      </c>
      <c r="L1554">
        <v>1</v>
      </c>
      <c r="M1554">
        <v>8.6</v>
      </c>
      <c r="N1554">
        <v>1</v>
      </c>
      <c r="O1554" t="str">
        <f>IF(financial_fraud_data[[#This Row],[Risk_Score]]&gt;8,"High",IF(financial_fraud_data[[#This Row],[Risk_Score]]&gt;5,"Med","Low"))</f>
        <v>High</v>
      </c>
      <c r="P1554" t="str">
        <f>TEXT(financial_fraud_data[[#This Row],[Transaction_Date]],"MMM")</f>
        <v>Mar</v>
      </c>
      <c r="Q1554" t="str">
        <f>IF(financial_fraud_data[[#This Row],[Is_Fraud]]=1,"Yes","No")</f>
        <v>Yes</v>
      </c>
    </row>
    <row r="1555" spans="1:17" x14ac:dyDescent="0.2">
      <c r="A1555" t="s">
        <v>2069</v>
      </c>
      <c r="B1555" t="s">
        <v>15</v>
      </c>
      <c r="C1555" s="1">
        <v>45356.708333333336</v>
      </c>
      <c r="D1555">
        <v>44216.11</v>
      </c>
      <c r="E1555" t="s">
        <v>42</v>
      </c>
      <c r="F1555" t="s">
        <v>50</v>
      </c>
      <c r="G1555" t="s">
        <v>28</v>
      </c>
      <c r="H1555" t="s">
        <v>24</v>
      </c>
      <c r="I1555" t="s">
        <v>24</v>
      </c>
      <c r="J1555" t="s">
        <v>37</v>
      </c>
      <c r="K1555">
        <v>0</v>
      </c>
      <c r="L1555">
        <v>0</v>
      </c>
      <c r="M1555">
        <v>4.42</v>
      </c>
      <c r="N1555">
        <v>0</v>
      </c>
      <c r="O1555" t="str">
        <f>IF(financial_fraud_data[[#This Row],[Risk_Score]]&gt;8,"High",IF(financial_fraud_data[[#This Row],[Risk_Score]]&gt;5,"Med","Low"))</f>
        <v>Low</v>
      </c>
      <c r="P1555" t="str">
        <f>TEXT(financial_fraud_data[[#This Row],[Transaction_Date]],"MMM")</f>
        <v>Mar</v>
      </c>
      <c r="Q1555" t="str">
        <f>IF(financial_fraud_data[[#This Row],[Is_Fraud]]=1,"Yes","No")</f>
        <v>No</v>
      </c>
    </row>
    <row r="1556" spans="1:17" x14ac:dyDescent="0.2">
      <c r="A1556" t="s">
        <v>2070</v>
      </c>
      <c r="B1556" t="s">
        <v>1590</v>
      </c>
      <c r="C1556" s="1">
        <v>45356.75</v>
      </c>
      <c r="D1556">
        <v>11442.58</v>
      </c>
      <c r="E1556" t="s">
        <v>16</v>
      </c>
      <c r="F1556" t="s">
        <v>27</v>
      </c>
      <c r="G1556" t="s">
        <v>35</v>
      </c>
      <c r="H1556" t="s">
        <v>29</v>
      </c>
      <c r="I1556" t="s">
        <v>24</v>
      </c>
      <c r="J1556" t="s">
        <v>51</v>
      </c>
      <c r="K1556">
        <v>0</v>
      </c>
      <c r="L1556">
        <v>4</v>
      </c>
      <c r="M1556">
        <v>8.14</v>
      </c>
      <c r="N1556">
        <v>1</v>
      </c>
      <c r="O1556" t="str">
        <f>IF(financial_fraud_data[[#This Row],[Risk_Score]]&gt;8,"High",IF(financial_fraud_data[[#This Row],[Risk_Score]]&gt;5,"Med","Low"))</f>
        <v>High</v>
      </c>
      <c r="P1556" t="str">
        <f>TEXT(financial_fraud_data[[#This Row],[Transaction_Date]],"MMM")</f>
        <v>Mar</v>
      </c>
      <c r="Q1556" t="str">
        <f>IF(financial_fraud_data[[#This Row],[Is_Fraud]]=1,"Yes","No")</f>
        <v>Yes</v>
      </c>
    </row>
    <row r="1557" spans="1:17" x14ac:dyDescent="0.2">
      <c r="A1557" t="s">
        <v>2071</v>
      </c>
      <c r="B1557" t="s">
        <v>828</v>
      </c>
      <c r="C1557" s="1">
        <v>45356.791666666664</v>
      </c>
      <c r="D1557">
        <v>10641.64</v>
      </c>
      <c r="E1557" t="s">
        <v>34</v>
      </c>
      <c r="F1557" t="s">
        <v>47</v>
      </c>
      <c r="G1557" t="s">
        <v>65</v>
      </c>
      <c r="H1557" t="s">
        <v>23</v>
      </c>
      <c r="I1557" t="s">
        <v>36</v>
      </c>
      <c r="J1557" t="s">
        <v>37</v>
      </c>
      <c r="K1557">
        <v>0</v>
      </c>
      <c r="L1557">
        <v>1</v>
      </c>
      <c r="M1557">
        <v>3.56</v>
      </c>
      <c r="N1557">
        <v>0</v>
      </c>
      <c r="O1557" t="str">
        <f>IF(financial_fraud_data[[#This Row],[Risk_Score]]&gt;8,"High",IF(financial_fraud_data[[#This Row],[Risk_Score]]&gt;5,"Med","Low"))</f>
        <v>Low</v>
      </c>
      <c r="P1557" t="str">
        <f>TEXT(financial_fraud_data[[#This Row],[Transaction_Date]],"MMM")</f>
        <v>Mar</v>
      </c>
      <c r="Q1557" t="str">
        <f>IF(financial_fraud_data[[#This Row],[Is_Fraud]]=1,"Yes","No")</f>
        <v>No</v>
      </c>
    </row>
    <row r="1558" spans="1:17" x14ac:dyDescent="0.2">
      <c r="A1558" t="s">
        <v>2072</v>
      </c>
      <c r="B1558" t="s">
        <v>58</v>
      </c>
      <c r="C1558" s="1">
        <v>45356.833333333336</v>
      </c>
      <c r="D1558">
        <v>30568.5</v>
      </c>
      <c r="E1558" t="s">
        <v>16</v>
      </c>
      <c r="F1558" t="s">
        <v>47</v>
      </c>
      <c r="G1558" t="s">
        <v>65</v>
      </c>
      <c r="H1558" t="s">
        <v>24</v>
      </c>
      <c r="I1558" t="s">
        <v>19</v>
      </c>
      <c r="J1558" t="s">
        <v>51</v>
      </c>
      <c r="K1558">
        <v>0</v>
      </c>
      <c r="L1558">
        <v>4</v>
      </c>
      <c r="M1558">
        <v>10.06</v>
      </c>
      <c r="N1558">
        <v>1</v>
      </c>
      <c r="O1558" t="str">
        <f>IF(financial_fraud_data[[#This Row],[Risk_Score]]&gt;8,"High",IF(financial_fraud_data[[#This Row],[Risk_Score]]&gt;5,"Med","Low"))</f>
        <v>High</v>
      </c>
      <c r="P1558" t="str">
        <f>TEXT(financial_fraud_data[[#This Row],[Transaction_Date]],"MMM")</f>
        <v>Mar</v>
      </c>
      <c r="Q1558" t="str">
        <f>IF(financial_fraud_data[[#This Row],[Is_Fraud]]=1,"Yes","No")</f>
        <v>Yes</v>
      </c>
    </row>
    <row r="1559" spans="1:17" x14ac:dyDescent="0.2">
      <c r="A1559" t="s">
        <v>2073</v>
      </c>
      <c r="B1559" t="s">
        <v>853</v>
      </c>
      <c r="C1559" s="1">
        <v>45356.875</v>
      </c>
      <c r="D1559">
        <v>20580.87</v>
      </c>
      <c r="E1559" t="s">
        <v>80</v>
      </c>
      <c r="F1559" t="s">
        <v>50</v>
      </c>
      <c r="G1559" t="s">
        <v>56</v>
      </c>
      <c r="H1559" t="s">
        <v>19</v>
      </c>
      <c r="I1559" t="s">
        <v>19</v>
      </c>
      <c r="J1559" t="s">
        <v>51</v>
      </c>
      <c r="K1559">
        <v>0</v>
      </c>
      <c r="L1559">
        <v>0</v>
      </c>
      <c r="M1559">
        <v>2.06</v>
      </c>
      <c r="N1559">
        <v>0</v>
      </c>
      <c r="O1559" t="str">
        <f>IF(financial_fraud_data[[#This Row],[Risk_Score]]&gt;8,"High",IF(financial_fraud_data[[#This Row],[Risk_Score]]&gt;5,"Med","Low"))</f>
        <v>Low</v>
      </c>
      <c r="P1559" t="str">
        <f>TEXT(financial_fraud_data[[#This Row],[Transaction_Date]],"MMM")</f>
        <v>Mar</v>
      </c>
      <c r="Q1559" t="str">
        <f>IF(financial_fraud_data[[#This Row],[Is_Fraud]]=1,"Yes","No")</f>
        <v>No</v>
      </c>
    </row>
    <row r="1560" spans="1:17" x14ac:dyDescent="0.2">
      <c r="A1560" t="s">
        <v>2074</v>
      </c>
      <c r="B1560" t="s">
        <v>1739</v>
      </c>
      <c r="C1560" s="1">
        <v>45356.916666666664</v>
      </c>
      <c r="D1560">
        <v>42001.07</v>
      </c>
      <c r="E1560" t="s">
        <v>42</v>
      </c>
      <c r="F1560" t="s">
        <v>27</v>
      </c>
      <c r="G1560" t="s">
        <v>56</v>
      </c>
      <c r="H1560" t="s">
        <v>24</v>
      </c>
      <c r="I1560" t="s">
        <v>19</v>
      </c>
      <c r="J1560" t="s">
        <v>37</v>
      </c>
      <c r="K1560">
        <v>0</v>
      </c>
      <c r="L1560">
        <v>2</v>
      </c>
      <c r="M1560">
        <v>8.1999999999999993</v>
      </c>
      <c r="N1560">
        <v>1</v>
      </c>
      <c r="O1560" t="str">
        <f>IF(financial_fraud_data[[#This Row],[Risk_Score]]&gt;8,"High",IF(financial_fraud_data[[#This Row],[Risk_Score]]&gt;5,"Med","Low"))</f>
        <v>High</v>
      </c>
      <c r="P1560" t="str">
        <f>TEXT(financial_fraud_data[[#This Row],[Transaction_Date]],"MMM")</f>
        <v>Mar</v>
      </c>
      <c r="Q1560" t="str">
        <f>IF(financial_fraud_data[[#This Row],[Is_Fraud]]=1,"Yes","No")</f>
        <v>Yes</v>
      </c>
    </row>
    <row r="1561" spans="1:17" x14ac:dyDescent="0.2">
      <c r="A1561" t="s">
        <v>2075</v>
      </c>
      <c r="B1561" t="s">
        <v>331</v>
      </c>
      <c r="C1561" s="1">
        <v>45356.958333333336</v>
      </c>
      <c r="D1561">
        <v>45006.16</v>
      </c>
      <c r="E1561" t="s">
        <v>16</v>
      </c>
      <c r="F1561" t="s">
        <v>47</v>
      </c>
      <c r="G1561" t="s">
        <v>65</v>
      </c>
      <c r="H1561" t="s">
        <v>24</v>
      </c>
      <c r="I1561" t="s">
        <v>19</v>
      </c>
      <c r="J1561" t="s">
        <v>20</v>
      </c>
      <c r="K1561">
        <v>0</v>
      </c>
      <c r="L1561">
        <v>4</v>
      </c>
      <c r="M1561">
        <v>11.5</v>
      </c>
      <c r="N1561">
        <v>1</v>
      </c>
      <c r="O1561" t="str">
        <f>IF(financial_fraud_data[[#This Row],[Risk_Score]]&gt;8,"High",IF(financial_fraud_data[[#This Row],[Risk_Score]]&gt;5,"Med","Low"))</f>
        <v>High</v>
      </c>
      <c r="P1561" t="str">
        <f>TEXT(financial_fraud_data[[#This Row],[Transaction_Date]],"MMM")</f>
        <v>Mar</v>
      </c>
      <c r="Q1561" t="str">
        <f>IF(financial_fraud_data[[#This Row],[Is_Fraud]]=1,"Yes","No")</f>
        <v>Yes</v>
      </c>
    </row>
    <row r="1562" spans="1:17" x14ac:dyDescent="0.2">
      <c r="A1562" t="s">
        <v>2076</v>
      </c>
      <c r="B1562" t="s">
        <v>483</v>
      </c>
      <c r="C1562" s="1">
        <v>45357</v>
      </c>
      <c r="D1562">
        <v>17703.400000000001</v>
      </c>
      <c r="E1562" t="s">
        <v>80</v>
      </c>
      <c r="F1562" t="s">
        <v>50</v>
      </c>
      <c r="G1562" t="s">
        <v>35</v>
      </c>
      <c r="H1562" t="s">
        <v>23</v>
      </c>
      <c r="I1562" t="s">
        <v>19</v>
      </c>
      <c r="J1562" t="s">
        <v>20</v>
      </c>
      <c r="K1562">
        <v>0</v>
      </c>
      <c r="L1562">
        <v>0</v>
      </c>
      <c r="M1562">
        <v>2.77</v>
      </c>
      <c r="N1562">
        <v>0</v>
      </c>
      <c r="O1562" t="str">
        <f>IF(financial_fraud_data[[#This Row],[Risk_Score]]&gt;8,"High",IF(financial_fraud_data[[#This Row],[Risk_Score]]&gt;5,"Med","Low"))</f>
        <v>Low</v>
      </c>
      <c r="P1562" t="str">
        <f>TEXT(financial_fraud_data[[#This Row],[Transaction_Date]],"MMM")</f>
        <v>Mar</v>
      </c>
      <c r="Q1562" t="str">
        <f>IF(financial_fraud_data[[#This Row],[Is_Fraud]]=1,"Yes","No")</f>
        <v>No</v>
      </c>
    </row>
    <row r="1563" spans="1:17" x14ac:dyDescent="0.2">
      <c r="A1563" t="s">
        <v>2077</v>
      </c>
      <c r="B1563" t="s">
        <v>237</v>
      </c>
      <c r="C1563" s="1">
        <v>45357.041666666664</v>
      </c>
      <c r="D1563">
        <v>11881.68</v>
      </c>
      <c r="E1563" t="s">
        <v>42</v>
      </c>
      <c r="F1563" t="s">
        <v>17</v>
      </c>
      <c r="G1563" t="s">
        <v>56</v>
      </c>
      <c r="H1563" t="s">
        <v>19</v>
      </c>
      <c r="I1563" t="s">
        <v>24</v>
      </c>
      <c r="J1563" t="s">
        <v>20</v>
      </c>
      <c r="K1563">
        <v>0</v>
      </c>
      <c r="L1563">
        <v>4</v>
      </c>
      <c r="M1563">
        <v>8.19</v>
      </c>
      <c r="N1563">
        <v>1</v>
      </c>
      <c r="O1563" t="str">
        <f>IF(financial_fraud_data[[#This Row],[Risk_Score]]&gt;8,"High",IF(financial_fraud_data[[#This Row],[Risk_Score]]&gt;5,"Med","Low"))</f>
        <v>High</v>
      </c>
      <c r="P1563" t="str">
        <f>TEXT(financial_fraud_data[[#This Row],[Transaction_Date]],"MMM")</f>
        <v>Mar</v>
      </c>
      <c r="Q1563" t="str">
        <f>IF(financial_fraud_data[[#This Row],[Is_Fraud]]=1,"Yes","No")</f>
        <v>Yes</v>
      </c>
    </row>
    <row r="1564" spans="1:17" x14ac:dyDescent="0.2">
      <c r="A1564" t="s">
        <v>2078</v>
      </c>
      <c r="B1564" t="s">
        <v>1283</v>
      </c>
      <c r="C1564" s="1">
        <v>45357.083333333336</v>
      </c>
      <c r="D1564">
        <v>39037.25</v>
      </c>
      <c r="E1564" t="s">
        <v>16</v>
      </c>
      <c r="F1564" t="s">
        <v>17</v>
      </c>
      <c r="G1564" t="s">
        <v>28</v>
      </c>
      <c r="H1564" t="s">
        <v>19</v>
      </c>
      <c r="I1564" t="s">
        <v>23</v>
      </c>
      <c r="J1564" t="s">
        <v>20</v>
      </c>
      <c r="K1564">
        <v>0</v>
      </c>
      <c r="L1564">
        <v>1</v>
      </c>
      <c r="M1564">
        <v>6.4</v>
      </c>
      <c r="N1564">
        <v>1</v>
      </c>
      <c r="O1564" t="str">
        <f>IF(financial_fraud_data[[#This Row],[Risk_Score]]&gt;8,"High",IF(financial_fraud_data[[#This Row],[Risk_Score]]&gt;5,"Med","Low"))</f>
        <v>Med</v>
      </c>
      <c r="P1564" t="str">
        <f>TEXT(financial_fraud_data[[#This Row],[Transaction_Date]],"MMM")</f>
        <v>Mar</v>
      </c>
      <c r="Q1564" t="str">
        <f>IF(financial_fraud_data[[#This Row],[Is_Fraud]]=1,"Yes","No")</f>
        <v>Yes</v>
      </c>
    </row>
    <row r="1565" spans="1:17" x14ac:dyDescent="0.2">
      <c r="A1565" t="s">
        <v>2079</v>
      </c>
      <c r="B1565" t="s">
        <v>82</v>
      </c>
      <c r="C1565" s="1">
        <v>45357.125</v>
      </c>
      <c r="D1565">
        <v>13776.56</v>
      </c>
      <c r="E1565" t="s">
        <v>16</v>
      </c>
      <c r="F1565" t="s">
        <v>17</v>
      </c>
      <c r="G1565" t="s">
        <v>28</v>
      </c>
      <c r="H1565" t="s">
        <v>36</v>
      </c>
      <c r="I1565" t="s">
        <v>23</v>
      </c>
      <c r="J1565" t="s">
        <v>51</v>
      </c>
      <c r="K1565">
        <v>0</v>
      </c>
      <c r="L1565">
        <v>4</v>
      </c>
      <c r="M1565">
        <v>8.3800000000000008</v>
      </c>
      <c r="N1565">
        <v>1</v>
      </c>
      <c r="O1565" t="str">
        <f>IF(financial_fraud_data[[#This Row],[Risk_Score]]&gt;8,"High",IF(financial_fraud_data[[#This Row],[Risk_Score]]&gt;5,"Med","Low"))</f>
        <v>High</v>
      </c>
      <c r="P1565" t="str">
        <f>TEXT(financial_fraud_data[[#This Row],[Transaction_Date]],"MMM")</f>
        <v>Mar</v>
      </c>
      <c r="Q1565" t="str">
        <f>IF(financial_fraud_data[[#This Row],[Is_Fraud]]=1,"Yes","No")</f>
        <v>Yes</v>
      </c>
    </row>
    <row r="1566" spans="1:17" x14ac:dyDescent="0.2">
      <c r="A1566" t="s">
        <v>2080</v>
      </c>
      <c r="B1566" t="s">
        <v>437</v>
      </c>
      <c r="C1566" s="1">
        <v>45357.166666666664</v>
      </c>
      <c r="D1566">
        <v>41139.589999999997</v>
      </c>
      <c r="E1566" t="s">
        <v>80</v>
      </c>
      <c r="F1566" t="s">
        <v>27</v>
      </c>
      <c r="G1566" t="s">
        <v>35</v>
      </c>
      <c r="H1566" t="s">
        <v>36</v>
      </c>
      <c r="I1566" t="s">
        <v>36</v>
      </c>
      <c r="J1566" t="s">
        <v>20</v>
      </c>
      <c r="K1566">
        <v>0</v>
      </c>
      <c r="L1566">
        <v>1</v>
      </c>
      <c r="M1566">
        <v>5.61</v>
      </c>
      <c r="N1566">
        <v>1</v>
      </c>
      <c r="O1566" t="str">
        <f>IF(financial_fraud_data[[#This Row],[Risk_Score]]&gt;8,"High",IF(financial_fraud_data[[#This Row],[Risk_Score]]&gt;5,"Med","Low"))</f>
        <v>Med</v>
      </c>
      <c r="P1566" t="str">
        <f>TEXT(financial_fraud_data[[#This Row],[Transaction_Date]],"MMM")</f>
        <v>Mar</v>
      </c>
      <c r="Q1566" t="str">
        <f>IF(financial_fraud_data[[#This Row],[Is_Fraud]]=1,"Yes","No")</f>
        <v>Yes</v>
      </c>
    </row>
    <row r="1567" spans="1:17" x14ac:dyDescent="0.2">
      <c r="A1567" t="s">
        <v>2081</v>
      </c>
      <c r="B1567" t="s">
        <v>55</v>
      </c>
      <c r="C1567" s="1">
        <v>45357.208333333336</v>
      </c>
      <c r="D1567">
        <v>21215.73</v>
      </c>
      <c r="E1567" t="s">
        <v>42</v>
      </c>
      <c r="F1567" t="s">
        <v>50</v>
      </c>
      <c r="G1567" t="s">
        <v>56</v>
      </c>
      <c r="H1567" t="s">
        <v>36</v>
      </c>
      <c r="I1567" t="s">
        <v>24</v>
      </c>
      <c r="J1567" t="s">
        <v>51</v>
      </c>
      <c r="K1567">
        <v>0</v>
      </c>
      <c r="L1567">
        <v>1</v>
      </c>
      <c r="M1567">
        <v>4.62</v>
      </c>
      <c r="N1567">
        <v>0</v>
      </c>
      <c r="O1567" t="str">
        <f>IF(financial_fraud_data[[#This Row],[Risk_Score]]&gt;8,"High",IF(financial_fraud_data[[#This Row],[Risk_Score]]&gt;5,"Med","Low"))</f>
        <v>Low</v>
      </c>
      <c r="P1567" t="str">
        <f>TEXT(financial_fraud_data[[#This Row],[Transaction_Date]],"MMM")</f>
        <v>Mar</v>
      </c>
      <c r="Q1567" t="str">
        <f>IF(financial_fraud_data[[#This Row],[Is_Fraud]]=1,"Yes","No")</f>
        <v>No</v>
      </c>
    </row>
    <row r="1568" spans="1:17" x14ac:dyDescent="0.2">
      <c r="A1568" t="s">
        <v>2082</v>
      </c>
      <c r="B1568" t="s">
        <v>73</v>
      </c>
      <c r="C1568" s="1">
        <v>45357.25</v>
      </c>
      <c r="D1568">
        <v>33394.120000000003</v>
      </c>
      <c r="E1568" t="s">
        <v>42</v>
      </c>
      <c r="F1568" t="s">
        <v>50</v>
      </c>
      <c r="G1568" t="s">
        <v>28</v>
      </c>
      <c r="H1568" t="s">
        <v>23</v>
      </c>
      <c r="I1568" t="s">
        <v>19</v>
      </c>
      <c r="J1568" t="s">
        <v>37</v>
      </c>
      <c r="K1568">
        <v>1</v>
      </c>
      <c r="L1568">
        <v>0</v>
      </c>
      <c r="M1568">
        <v>6.34</v>
      </c>
      <c r="N1568">
        <v>1</v>
      </c>
      <c r="O1568" t="str">
        <f>IF(financial_fraud_data[[#This Row],[Risk_Score]]&gt;8,"High",IF(financial_fraud_data[[#This Row],[Risk_Score]]&gt;5,"Med","Low"))</f>
        <v>Med</v>
      </c>
      <c r="P1568" t="str">
        <f>TEXT(financial_fraud_data[[#This Row],[Transaction_Date]],"MMM")</f>
        <v>Mar</v>
      </c>
      <c r="Q1568" t="str">
        <f>IF(financial_fraud_data[[#This Row],[Is_Fraud]]=1,"Yes","No")</f>
        <v>Yes</v>
      </c>
    </row>
    <row r="1569" spans="1:17" x14ac:dyDescent="0.2">
      <c r="A1569" t="s">
        <v>2083</v>
      </c>
      <c r="B1569" t="s">
        <v>711</v>
      </c>
      <c r="C1569" s="1">
        <v>45357.291666666664</v>
      </c>
      <c r="D1569">
        <v>4821.99</v>
      </c>
      <c r="E1569" t="s">
        <v>16</v>
      </c>
      <c r="F1569" t="s">
        <v>47</v>
      </c>
      <c r="G1569" t="s">
        <v>56</v>
      </c>
      <c r="H1569" t="s">
        <v>24</v>
      </c>
      <c r="I1569" t="s">
        <v>23</v>
      </c>
      <c r="J1569" t="s">
        <v>37</v>
      </c>
      <c r="K1569">
        <v>0</v>
      </c>
      <c r="L1569">
        <v>3</v>
      </c>
      <c r="M1569">
        <v>5.98</v>
      </c>
      <c r="N1569">
        <v>1</v>
      </c>
      <c r="O1569" t="str">
        <f>IF(financial_fraud_data[[#This Row],[Risk_Score]]&gt;8,"High",IF(financial_fraud_data[[#This Row],[Risk_Score]]&gt;5,"Med","Low"))</f>
        <v>Med</v>
      </c>
      <c r="P1569" t="str">
        <f>TEXT(financial_fraud_data[[#This Row],[Transaction_Date]],"MMM")</f>
        <v>Mar</v>
      </c>
      <c r="Q1569" t="str">
        <f>IF(financial_fraud_data[[#This Row],[Is_Fraud]]=1,"Yes","No")</f>
        <v>Yes</v>
      </c>
    </row>
    <row r="1570" spans="1:17" x14ac:dyDescent="0.2">
      <c r="A1570" t="s">
        <v>2084</v>
      </c>
      <c r="B1570" t="s">
        <v>708</v>
      </c>
      <c r="C1570" s="1">
        <v>45357.333333333336</v>
      </c>
      <c r="D1570">
        <v>31211.77</v>
      </c>
      <c r="E1570" t="s">
        <v>16</v>
      </c>
      <c r="F1570" t="s">
        <v>47</v>
      </c>
      <c r="G1570" t="s">
        <v>56</v>
      </c>
      <c r="H1570" t="s">
        <v>19</v>
      </c>
      <c r="I1570" t="s">
        <v>29</v>
      </c>
      <c r="J1570" t="s">
        <v>51</v>
      </c>
      <c r="K1570">
        <v>0</v>
      </c>
      <c r="L1570">
        <v>4</v>
      </c>
      <c r="M1570">
        <v>10.119999999999999</v>
      </c>
      <c r="N1570">
        <v>1</v>
      </c>
      <c r="O1570" t="str">
        <f>IF(financial_fraud_data[[#This Row],[Risk_Score]]&gt;8,"High",IF(financial_fraud_data[[#This Row],[Risk_Score]]&gt;5,"Med","Low"))</f>
        <v>High</v>
      </c>
      <c r="P1570" t="str">
        <f>TEXT(financial_fraud_data[[#This Row],[Transaction_Date]],"MMM")</f>
        <v>Mar</v>
      </c>
      <c r="Q1570" t="str">
        <f>IF(financial_fraud_data[[#This Row],[Is_Fraud]]=1,"Yes","No")</f>
        <v>Yes</v>
      </c>
    </row>
    <row r="1571" spans="1:17" x14ac:dyDescent="0.2">
      <c r="A1571" t="s">
        <v>2085</v>
      </c>
      <c r="B1571" t="s">
        <v>453</v>
      </c>
      <c r="C1571" s="1">
        <v>45357.375</v>
      </c>
      <c r="D1571">
        <v>22615.8</v>
      </c>
      <c r="E1571" t="s">
        <v>16</v>
      </c>
      <c r="F1571" t="s">
        <v>47</v>
      </c>
      <c r="G1571" t="s">
        <v>28</v>
      </c>
      <c r="H1571" t="s">
        <v>19</v>
      </c>
      <c r="I1571" t="s">
        <v>29</v>
      </c>
      <c r="J1571" t="s">
        <v>20</v>
      </c>
      <c r="K1571">
        <v>0</v>
      </c>
      <c r="L1571">
        <v>2</v>
      </c>
      <c r="M1571">
        <v>6.26</v>
      </c>
      <c r="N1571">
        <v>1</v>
      </c>
      <c r="O1571" t="str">
        <f>IF(financial_fraud_data[[#This Row],[Risk_Score]]&gt;8,"High",IF(financial_fraud_data[[#This Row],[Risk_Score]]&gt;5,"Med","Low"))</f>
        <v>Med</v>
      </c>
      <c r="P1571" t="str">
        <f>TEXT(financial_fraud_data[[#This Row],[Transaction_Date]],"MMM")</f>
        <v>Mar</v>
      </c>
      <c r="Q1571" t="str">
        <f>IF(financial_fraud_data[[#This Row],[Is_Fraud]]=1,"Yes","No")</f>
        <v>Yes</v>
      </c>
    </row>
    <row r="1572" spans="1:17" x14ac:dyDescent="0.2">
      <c r="A1572" t="s">
        <v>2086</v>
      </c>
      <c r="B1572" t="s">
        <v>971</v>
      </c>
      <c r="C1572" s="1">
        <v>45357.416666666664</v>
      </c>
      <c r="D1572">
        <v>29351.09</v>
      </c>
      <c r="E1572" t="s">
        <v>42</v>
      </c>
      <c r="F1572" t="s">
        <v>50</v>
      </c>
      <c r="G1572" t="s">
        <v>65</v>
      </c>
      <c r="H1572" t="s">
        <v>24</v>
      </c>
      <c r="I1572" t="s">
        <v>29</v>
      </c>
      <c r="J1572" t="s">
        <v>51</v>
      </c>
      <c r="K1572">
        <v>0</v>
      </c>
      <c r="L1572">
        <v>1</v>
      </c>
      <c r="M1572">
        <v>5.44</v>
      </c>
      <c r="N1572">
        <v>1</v>
      </c>
      <c r="O1572" t="str">
        <f>IF(financial_fraud_data[[#This Row],[Risk_Score]]&gt;8,"High",IF(financial_fraud_data[[#This Row],[Risk_Score]]&gt;5,"Med","Low"))</f>
        <v>Med</v>
      </c>
      <c r="P1572" t="str">
        <f>TEXT(financial_fraud_data[[#This Row],[Transaction_Date]],"MMM")</f>
        <v>Mar</v>
      </c>
      <c r="Q1572" t="str">
        <f>IF(financial_fraud_data[[#This Row],[Is_Fraud]]=1,"Yes","No")</f>
        <v>Yes</v>
      </c>
    </row>
    <row r="1573" spans="1:17" x14ac:dyDescent="0.2">
      <c r="A1573" t="s">
        <v>2087</v>
      </c>
      <c r="B1573" t="s">
        <v>642</v>
      </c>
      <c r="C1573" s="1">
        <v>45357.458333333336</v>
      </c>
      <c r="D1573">
        <v>8442.31</v>
      </c>
      <c r="E1573" t="s">
        <v>80</v>
      </c>
      <c r="F1573" t="s">
        <v>47</v>
      </c>
      <c r="G1573" t="s">
        <v>28</v>
      </c>
      <c r="H1573" t="s">
        <v>19</v>
      </c>
      <c r="I1573" t="s">
        <v>19</v>
      </c>
      <c r="J1573" t="s">
        <v>20</v>
      </c>
      <c r="K1573">
        <v>0</v>
      </c>
      <c r="L1573">
        <v>3</v>
      </c>
      <c r="M1573">
        <v>5.34</v>
      </c>
      <c r="N1573">
        <v>1</v>
      </c>
      <c r="O1573" t="str">
        <f>IF(financial_fraud_data[[#This Row],[Risk_Score]]&gt;8,"High",IF(financial_fraud_data[[#This Row],[Risk_Score]]&gt;5,"Med","Low"))</f>
        <v>Med</v>
      </c>
      <c r="P1573" t="str">
        <f>TEXT(financial_fraud_data[[#This Row],[Transaction_Date]],"MMM")</f>
        <v>Mar</v>
      </c>
      <c r="Q1573" t="str">
        <f>IF(financial_fraud_data[[#This Row],[Is_Fraud]]=1,"Yes","No")</f>
        <v>Yes</v>
      </c>
    </row>
    <row r="1574" spans="1:17" x14ac:dyDescent="0.2">
      <c r="A1574" t="s">
        <v>2088</v>
      </c>
      <c r="B1574" t="s">
        <v>457</v>
      </c>
      <c r="C1574" s="1">
        <v>45357.5</v>
      </c>
      <c r="D1574">
        <v>36856.839999999997</v>
      </c>
      <c r="E1574" t="s">
        <v>80</v>
      </c>
      <c r="F1574" t="s">
        <v>50</v>
      </c>
      <c r="G1574" t="s">
        <v>35</v>
      </c>
      <c r="H1574" t="s">
        <v>24</v>
      </c>
      <c r="I1574" t="s">
        <v>19</v>
      </c>
      <c r="J1574" t="s">
        <v>20</v>
      </c>
      <c r="K1574">
        <v>1</v>
      </c>
      <c r="L1574">
        <v>1</v>
      </c>
      <c r="M1574">
        <v>8.19</v>
      </c>
      <c r="N1574">
        <v>1</v>
      </c>
      <c r="O1574" t="str">
        <f>IF(financial_fraud_data[[#This Row],[Risk_Score]]&gt;8,"High",IF(financial_fraud_data[[#This Row],[Risk_Score]]&gt;5,"Med","Low"))</f>
        <v>High</v>
      </c>
      <c r="P1574" t="str">
        <f>TEXT(financial_fraud_data[[#This Row],[Transaction_Date]],"MMM")</f>
        <v>Mar</v>
      </c>
      <c r="Q1574" t="str">
        <f>IF(financial_fraud_data[[#This Row],[Is_Fraud]]=1,"Yes","No")</f>
        <v>Yes</v>
      </c>
    </row>
    <row r="1575" spans="1:17" x14ac:dyDescent="0.2">
      <c r="A1575" t="s">
        <v>2089</v>
      </c>
      <c r="B1575" t="s">
        <v>690</v>
      </c>
      <c r="C1575" s="1">
        <v>45357.541666666664</v>
      </c>
      <c r="D1575">
        <v>43146.71</v>
      </c>
      <c r="E1575" t="s">
        <v>42</v>
      </c>
      <c r="F1575" t="s">
        <v>50</v>
      </c>
      <c r="G1575" t="s">
        <v>18</v>
      </c>
      <c r="H1575" t="s">
        <v>23</v>
      </c>
      <c r="I1575" t="s">
        <v>36</v>
      </c>
      <c r="J1575" t="s">
        <v>51</v>
      </c>
      <c r="K1575">
        <v>1</v>
      </c>
      <c r="L1575">
        <v>3</v>
      </c>
      <c r="M1575">
        <v>11.81</v>
      </c>
      <c r="N1575">
        <v>1</v>
      </c>
      <c r="O1575" t="str">
        <f>IF(financial_fraud_data[[#This Row],[Risk_Score]]&gt;8,"High",IF(financial_fraud_data[[#This Row],[Risk_Score]]&gt;5,"Med","Low"))</f>
        <v>High</v>
      </c>
      <c r="P1575" t="str">
        <f>TEXT(financial_fraud_data[[#This Row],[Transaction_Date]],"MMM")</f>
        <v>Mar</v>
      </c>
      <c r="Q1575" t="str">
        <f>IF(financial_fraud_data[[#This Row],[Is_Fraud]]=1,"Yes","No")</f>
        <v>Yes</v>
      </c>
    </row>
    <row r="1576" spans="1:17" x14ac:dyDescent="0.2">
      <c r="A1576" t="s">
        <v>2090</v>
      </c>
      <c r="B1576" t="s">
        <v>319</v>
      </c>
      <c r="C1576" s="1">
        <v>45357.583333333336</v>
      </c>
      <c r="D1576">
        <v>10876.15</v>
      </c>
      <c r="E1576" t="s">
        <v>34</v>
      </c>
      <c r="F1576" t="s">
        <v>17</v>
      </c>
      <c r="G1576" t="s">
        <v>28</v>
      </c>
      <c r="H1576" t="s">
        <v>23</v>
      </c>
      <c r="I1576" t="s">
        <v>36</v>
      </c>
      <c r="J1576" t="s">
        <v>51</v>
      </c>
      <c r="K1576">
        <v>0</v>
      </c>
      <c r="L1576">
        <v>3</v>
      </c>
      <c r="M1576">
        <v>6.59</v>
      </c>
      <c r="N1576">
        <v>1</v>
      </c>
      <c r="O1576" t="str">
        <f>IF(financial_fraud_data[[#This Row],[Risk_Score]]&gt;8,"High",IF(financial_fraud_data[[#This Row],[Risk_Score]]&gt;5,"Med","Low"))</f>
        <v>Med</v>
      </c>
      <c r="P1576" t="str">
        <f>TEXT(financial_fraud_data[[#This Row],[Transaction_Date]],"MMM")</f>
        <v>Mar</v>
      </c>
      <c r="Q1576" t="str">
        <f>IF(financial_fraud_data[[#This Row],[Is_Fraud]]=1,"Yes","No")</f>
        <v>Yes</v>
      </c>
    </row>
    <row r="1577" spans="1:17" x14ac:dyDescent="0.2">
      <c r="A1577" t="s">
        <v>2091</v>
      </c>
      <c r="B1577" t="s">
        <v>703</v>
      </c>
      <c r="C1577" s="1">
        <v>45357.625</v>
      </c>
      <c r="D1577">
        <v>4830.9399999999996</v>
      </c>
      <c r="E1577" t="s">
        <v>80</v>
      </c>
      <c r="F1577" t="s">
        <v>47</v>
      </c>
      <c r="G1577" t="s">
        <v>56</v>
      </c>
      <c r="H1577" t="s">
        <v>23</v>
      </c>
      <c r="I1577" t="s">
        <v>36</v>
      </c>
      <c r="J1577" t="s">
        <v>20</v>
      </c>
      <c r="K1577">
        <v>0</v>
      </c>
      <c r="L1577">
        <v>2</v>
      </c>
      <c r="M1577">
        <v>4.4800000000000004</v>
      </c>
      <c r="N1577">
        <v>0</v>
      </c>
      <c r="O1577" t="str">
        <f>IF(financial_fraud_data[[#This Row],[Risk_Score]]&gt;8,"High",IF(financial_fraud_data[[#This Row],[Risk_Score]]&gt;5,"Med","Low"))</f>
        <v>Low</v>
      </c>
      <c r="P1577" t="str">
        <f>TEXT(financial_fraud_data[[#This Row],[Transaction_Date]],"MMM")</f>
        <v>Mar</v>
      </c>
      <c r="Q1577" t="str">
        <f>IF(financial_fraud_data[[#This Row],[Is_Fraud]]=1,"Yes","No")</f>
        <v>No</v>
      </c>
    </row>
    <row r="1578" spans="1:17" x14ac:dyDescent="0.2">
      <c r="A1578" t="s">
        <v>2092</v>
      </c>
      <c r="B1578" t="s">
        <v>1693</v>
      </c>
      <c r="C1578" s="1">
        <v>45357.666666666664</v>
      </c>
      <c r="D1578">
        <v>1230.75</v>
      </c>
      <c r="E1578" t="s">
        <v>16</v>
      </c>
      <c r="F1578" t="s">
        <v>17</v>
      </c>
      <c r="G1578" t="s">
        <v>56</v>
      </c>
      <c r="H1578" t="s">
        <v>24</v>
      </c>
      <c r="I1578" t="s">
        <v>29</v>
      </c>
      <c r="J1578" t="s">
        <v>51</v>
      </c>
      <c r="K1578">
        <v>1</v>
      </c>
      <c r="L1578">
        <v>3</v>
      </c>
      <c r="M1578">
        <v>7.62</v>
      </c>
      <c r="N1578">
        <v>1</v>
      </c>
      <c r="O1578" t="str">
        <f>IF(financial_fraud_data[[#This Row],[Risk_Score]]&gt;8,"High",IF(financial_fraud_data[[#This Row],[Risk_Score]]&gt;5,"Med","Low"))</f>
        <v>Med</v>
      </c>
      <c r="P1578" t="str">
        <f>TEXT(financial_fraud_data[[#This Row],[Transaction_Date]],"MMM")</f>
        <v>Mar</v>
      </c>
      <c r="Q1578" t="str">
        <f>IF(financial_fraud_data[[#This Row],[Is_Fraud]]=1,"Yes","No")</f>
        <v>Yes</v>
      </c>
    </row>
    <row r="1579" spans="1:17" x14ac:dyDescent="0.2">
      <c r="A1579" t="s">
        <v>2093</v>
      </c>
      <c r="B1579" t="s">
        <v>2094</v>
      </c>
      <c r="C1579" s="1">
        <v>45357.708333333336</v>
      </c>
      <c r="D1579">
        <v>32116.48</v>
      </c>
      <c r="E1579" t="s">
        <v>34</v>
      </c>
      <c r="F1579" t="s">
        <v>27</v>
      </c>
      <c r="G1579" t="s">
        <v>28</v>
      </c>
      <c r="H1579" t="s">
        <v>24</v>
      </c>
      <c r="I1579" t="s">
        <v>19</v>
      </c>
      <c r="J1579" t="s">
        <v>20</v>
      </c>
      <c r="K1579">
        <v>0</v>
      </c>
      <c r="L1579">
        <v>2</v>
      </c>
      <c r="M1579">
        <v>7.21</v>
      </c>
      <c r="N1579">
        <v>1</v>
      </c>
      <c r="O1579" t="str">
        <f>IF(financial_fraud_data[[#This Row],[Risk_Score]]&gt;8,"High",IF(financial_fraud_data[[#This Row],[Risk_Score]]&gt;5,"Med","Low"))</f>
        <v>Med</v>
      </c>
      <c r="P1579" t="str">
        <f>TEXT(financial_fraud_data[[#This Row],[Transaction_Date]],"MMM")</f>
        <v>Mar</v>
      </c>
      <c r="Q1579" t="str">
        <f>IF(financial_fraud_data[[#This Row],[Is_Fraud]]=1,"Yes","No")</f>
        <v>Yes</v>
      </c>
    </row>
    <row r="1580" spans="1:17" x14ac:dyDescent="0.2">
      <c r="A1580" t="s">
        <v>2095</v>
      </c>
      <c r="B1580" t="s">
        <v>930</v>
      </c>
      <c r="C1580" s="1">
        <v>45357.75</v>
      </c>
      <c r="D1580">
        <v>30374.35</v>
      </c>
      <c r="E1580" t="s">
        <v>34</v>
      </c>
      <c r="F1580" t="s">
        <v>27</v>
      </c>
      <c r="G1580" t="s">
        <v>18</v>
      </c>
      <c r="H1580" t="s">
        <v>29</v>
      </c>
      <c r="I1580" t="s">
        <v>29</v>
      </c>
      <c r="J1580" t="s">
        <v>51</v>
      </c>
      <c r="K1580">
        <v>1</v>
      </c>
      <c r="L1580">
        <v>0</v>
      </c>
      <c r="M1580">
        <v>5.04</v>
      </c>
      <c r="N1580">
        <v>1</v>
      </c>
      <c r="O1580" t="str">
        <f>IF(financial_fraud_data[[#This Row],[Risk_Score]]&gt;8,"High",IF(financial_fraud_data[[#This Row],[Risk_Score]]&gt;5,"Med","Low"))</f>
        <v>Med</v>
      </c>
      <c r="P1580" t="str">
        <f>TEXT(financial_fraud_data[[#This Row],[Transaction_Date]],"MMM")</f>
        <v>Mar</v>
      </c>
      <c r="Q1580" t="str">
        <f>IF(financial_fraud_data[[#This Row],[Is_Fraud]]=1,"Yes","No")</f>
        <v>Yes</v>
      </c>
    </row>
    <row r="1581" spans="1:17" x14ac:dyDescent="0.2">
      <c r="A1581" t="s">
        <v>2096</v>
      </c>
      <c r="B1581" t="s">
        <v>310</v>
      </c>
      <c r="C1581" s="1">
        <v>45357.791666666664</v>
      </c>
      <c r="D1581">
        <v>27357.54</v>
      </c>
      <c r="E1581" t="s">
        <v>80</v>
      </c>
      <c r="F1581" t="s">
        <v>27</v>
      </c>
      <c r="G1581" t="s">
        <v>28</v>
      </c>
      <c r="H1581" t="s">
        <v>19</v>
      </c>
      <c r="I1581" t="s">
        <v>36</v>
      </c>
      <c r="J1581" t="s">
        <v>37</v>
      </c>
      <c r="K1581">
        <v>0</v>
      </c>
      <c r="L1581">
        <v>1</v>
      </c>
      <c r="M1581">
        <v>5.24</v>
      </c>
      <c r="N1581">
        <v>1</v>
      </c>
      <c r="O1581" t="str">
        <f>IF(financial_fraud_data[[#This Row],[Risk_Score]]&gt;8,"High",IF(financial_fraud_data[[#This Row],[Risk_Score]]&gt;5,"Med","Low"))</f>
        <v>Med</v>
      </c>
      <c r="P1581" t="str">
        <f>TEXT(financial_fraud_data[[#This Row],[Transaction_Date]],"MMM")</f>
        <v>Mar</v>
      </c>
      <c r="Q1581" t="str">
        <f>IF(financial_fraud_data[[#This Row],[Is_Fraud]]=1,"Yes","No")</f>
        <v>Yes</v>
      </c>
    </row>
    <row r="1582" spans="1:17" x14ac:dyDescent="0.2">
      <c r="A1582" t="s">
        <v>2097</v>
      </c>
      <c r="B1582" t="s">
        <v>41</v>
      </c>
      <c r="C1582" s="1">
        <v>45357.833333333336</v>
      </c>
      <c r="D1582">
        <v>11635.76</v>
      </c>
      <c r="E1582" t="s">
        <v>34</v>
      </c>
      <c r="F1582" t="s">
        <v>50</v>
      </c>
      <c r="G1582" t="s">
        <v>18</v>
      </c>
      <c r="H1582" t="s">
        <v>19</v>
      </c>
      <c r="I1582" t="s">
        <v>19</v>
      </c>
      <c r="J1582" t="s">
        <v>20</v>
      </c>
      <c r="K1582">
        <v>0</v>
      </c>
      <c r="L1582">
        <v>2</v>
      </c>
      <c r="M1582">
        <v>4.16</v>
      </c>
      <c r="N1582">
        <v>0</v>
      </c>
      <c r="O1582" t="str">
        <f>IF(financial_fraud_data[[#This Row],[Risk_Score]]&gt;8,"High",IF(financial_fraud_data[[#This Row],[Risk_Score]]&gt;5,"Med","Low"))</f>
        <v>Low</v>
      </c>
      <c r="P1582" t="str">
        <f>TEXT(financial_fraud_data[[#This Row],[Transaction_Date]],"MMM")</f>
        <v>Mar</v>
      </c>
      <c r="Q1582" t="str">
        <f>IF(financial_fraud_data[[#This Row],[Is_Fraud]]=1,"Yes","No")</f>
        <v>No</v>
      </c>
    </row>
    <row r="1583" spans="1:17" x14ac:dyDescent="0.2">
      <c r="A1583" t="s">
        <v>2098</v>
      </c>
      <c r="B1583" t="s">
        <v>1688</v>
      </c>
      <c r="C1583" s="1">
        <v>45357.875</v>
      </c>
      <c r="D1583">
        <v>19575.75</v>
      </c>
      <c r="E1583" t="s">
        <v>34</v>
      </c>
      <c r="F1583" t="s">
        <v>50</v>
      </c>
      <c r="G1583" t="s">
        <v>18</v>
      </c>
      <c r="H1583" t="s">
        <v>29</v>
      </c>
      <c r="I1583" t="s">
        <v>24</v>
      </c>
      <c r="J1583" t="s">
        <v>37</v>
      </c>
      <c r="K1583">
        <v>0</v>
      </c>
      <c r="L1583">
        <v>1</v>
      </c>
      <c r="M1583">
        <v>4.46</v>
      </c>
      <c r="N1583">
        <v>0</v>
      </c>
      <c r="O1583" t="str">
        <f>IF(financial_fraud_data[[#This Row],[Risk_Score]]&gt;8,"High",IF(financial_fraud_data[[#This Row],[Risk_Score]]&gt;5,"Med","Low"))</f>
        <v>Low</v>
      </c>
      <c r="P1583" t="str">
        <f>TEXT(financial_fraud_data[[#This Row],[Transaction_Date]],"MMM")</f>
        <v>Mar</v>
      </c>
      <c r="Q1583" t="str">
        <f>IF(financial_fraud_data[[#This Row],[Is_Fraud]]=1,"Yes","No")</f>
        <v>No</v>
      </c>
    </row>
    <row r="1584" spans="1:17" x14ac:dyDescent="0.2">
      <c r="A1584" t="s">
        <v>2099</v>
      </c>
      <c r="B1584" t="s">
        <v>1739</v>
      </c>
      <c r="C1584" s="1">
        <v>45357.916666666664</v>
      </c>
      <c r="D1584">
        <v>29744.09</v>
      </c>
      <c r="E1584" t="s">
        <v>80</v>
      </c>
      <c r="F1584" t="s">
        <v>50</v>
      </c>
      <c r="G1584" t="s">
        <v>35</v>
      </c>
      <c r="H1584" t="s">
        <v>29</v>
      </c>
      <c r="I1584" t="s">
        <v>23</v>
      </c>
      <c r="J1584" t="s">
        <v>51</v>
      </c>
      <c r="K1584">
        <v>0</v>
      </c>
      <c r="L1584">
        <v>4</v>
      </c>
      <c r="M1584">
        <v>9.9700000000000006</v>
      </c>
      <c r="N1584">
        <v>1</v>
      </c>
      <c r="O1584" t="str">
        <f>IF(financial_fraud_data[[#This Row],[Risk_Score]]&gt;8,"High",IF(financial_fraud_data[[#This Row],[Risk_Score]]&gt;5,"Med","Low"))</f>
        <v>High</v>
      </c>
      <c r="P1584" t="str">
        <f>TEXT(financial_fraud_data[[#This Row],[Transaction_Date]],"MMM")</f>
        <v>Mar</v>
      </c>
      <c r="Q1584" t="str">
        <f>IF(financial_fraud_data[[#This Row],[Is_Fraud]]=1,"Yes","No")</f>
        <v>Yes</v>
      </c>
    </row>
    <row r="1585" spans="1:17" x14ac:dyDescent="0.2">
      <c r="A1585" t="s">
        <v>2100</v>
      </c>
      <c r="B1585" t="s">
        <v>1688</v>
      </c>
      <c r="C1585" s="1">
        <v>45357.958333333336</v>
      </c>
      <c r="D1585">
        <v>24863.5</v>
      </c>
      <c r="E1585" t="s">
        <v>80</v>
      </c>
      <c r="F1585" t="s">
        <v>47</v>
      </c>
      <c r="G1585" t="s">
        <v>56</v>
      </c>
      <c r="H1585" t="s">
        <v>23</v>
      </c>
      <c r="I1585" t="s">
        <v>23</v>
      </c>
      <c r="J1585" t="s">
        <v>37</v>
      </c>
      <c r="K1585">
        <v>0</v>
      </c>
      <c r="L1585">
        <v>0</v>
      </c>
      <c r="M1585">
        <v>2.4900000000000002</v>
      </c>
      <c r="N1585">
        <v>0</v>
      </c>
      <c r="O1585" t="str">
        <f>IF(financial_fraud_data[[#This Row],[Risk_Score]]&gt;8,"High",IF(financial_fraud_data[[#This Row],[Risk_Score]]&gt;5,"Med","Low"))</f>
        <v>Low</v>
      </c>
      <c r="P1585" t="str">
        <f>TEXT(financial_fraud_data[[#This Row],[Transaction_Date]],"MMM")</f>
        <v>Mar</v>
      </c>
      <c r="Q1585" t="str">
        <f>IF(financial_fraud_data[[#This Row],[Is_Fraud]]=1,"Yes","No")</f>
        <v>No</v>
      </c>
    </row>
    <row r="1586" spans="1:17" x14ac:dyDescent="0.2">
      <c r="A1586" t="s">
        <v>2101</v>
      </c>
      <c r="B1586" t="s">
        <v>1172</v>
      </c>
      <c r="C1586" s="1">
        <v>45358</v>
      </c>
      <c r="D1586">
        <v>49389.89</v>
      </c>
      <c r="E1586" t="s">
        <v>34</v>
      </c>
      <c r="F1586" t="s">
        <v>17</v>
      </c>
      <c r="G1586" t="s">
        <v>56</v>
      </c>
      <c r="H1586" t="s">
        <v>29</v>
      </c>
      <c r="I1586" t="s">
        <v>36</v>
      </c>
      <c r="J1586" t="s">
        <v>51</v>
      </c>
      <c r="K1586">
        <v>0</v>
      </c>
      <c r="L1586">
        <v>4</v>
      </c>
      <c r="M1586">
        <v>11.94</v>
      </c>
      <c r="N1586">
        <v>1</v>
      </c>
      <c r="O1586" t="str">
        <f>IF(financial_fraud_data[[#This Row],[Risk_Score]]&gt;8,"High",IF(financial_fraud_data[[#This Row],[Risk_Score]]&gt;5,"Med","Low"))</f>
        <v>High</v>
      </c>
      <c r="P1586" t="str">
        <f>TEXT(financial_fraud_data[[#This Row],[Transaction_Date]],"MMM")</f>
        <v>Mar</v>
      </c>
      <c r="Q1586" t="str">
        <f>IF(financial_fraud_data[[#This Row],[Is_Fraud]]=1,"Yes","No")</f>
        <v>Yes</v>
      </c>
    </row>
    <row r="1587" spans="1:17" x14ac:dyDescent="0.2">
      <c r="A1587" t="s">
        <v>2102</v>
      </c>
      <c r="B1587" t="s">
        <v>119</v>
      </c>
      <c r="C1587" s="1">
        <v>45358.041666666664</v>
      </c>
      <c r="D1587">
        <v>6865.17</v>
      </c>
      <c r="E1587" t="s">
        <v>16</v>
      </c>
      <c r="F1587" t="s">
        <v>50</v>
      </c>
      <c r="G1587" t="s">
        <v>18</v>
      </c>
      <c r="H1587" t="s">
        <v>24</v>
      </c>
      <c r="I1587" t="s">
        <v>29</v>
      </c>
      <c r="J1587" t="s">
        <v>20</v>
      </c>
      <c r="K1587">
        <v>0</v>
      </c>
      <c r="L1587">
        <v>4</v>
      </c>
      <c r="M1587">
        <v>7.69</v>
      </c>
      <c r="N1587">
        <v>1</v>
      </c>
      <c r="O1587" t="str">
        <f>IF(financial_fraud_data[[#This Row],[Risk_Score]]&gt;8,"High",IF(financial_fraud_data[[#This Row],[Risk_Score]]&gt;5,"Med","Low"))</f>
        <v>Med</v>
      </c>
      <c r="P1587" t="str">
        <f>TEXT(financial_fraud_data[[#This Row],[Transaction_Date]],"MMM")</f>
        <v>Mar</v>
      </c>
      <c r="Q1587" t="str">
        <f>IF(financial_fraud_data[[#This Row],[Is_Fraud]]=1,"Yes","No")</f>
        <v>Yes</v>
      </c>
    </row>
    <row r="1588" spans="1:17" x14ac:dyDescent="0.2">
      <c r="A1588" t="s">
        <v>2103</v>
      </c>
      <c r="B1588" t="s">
        <v>390</v>
      </c>
      <c r="C1588" s="1">
        <v>45358.083333333336</v>
      </c>
      <c r="D1588">
        <v>34772.47</v>
      </c>
      <c r="E1588" t="s">
        <v>42</v>
      </c>
      <c r="F1588" t="s">
        <v>17</v>
      </c>
      <c r="G1588" t="s">
        <v>56</v>
      </c>
      <c r="H1588" t="s">
        <v>36</v>
      </c>
      <c r="I1588" t="s">
        <v>24</v>
      </c>
      <c r="J1588" t="s">
        <v>51</v>
      </c>
      <c r="K1588">
        <v>1</v>
      </c>
      <c r="L1588">
        <v>3</v>
      </c>
      <c r="M1588">
        <v>10.98</v>
      </c>
      <c r="N1588">
        <v>1</v>
      </c>
      <c r="O1588" t="str">
        <f>IF(financial_fraud_data[[#This Row],[Risk_Score]]&gt;8,"High",IF(financial_fraud_data[[#This Row],[Risk_Score]]&gt;5,"Med","Low"))</f>
        <v>High</v>
      </c>
      <c r="P1588" t="str">
        <f>TEXT(financial_fraud_data[[#This Row],[Transaction_Date]],"MMM")</f>
        <v>Mar</v>
      </c>
      <c r="Q1588" t="str">
        <f>IF(financial_fraud_data[[#This Row],[Is_Fraud]]=1,"Yes","No")</f>
        <v>Yes</v>
      </c>
    </row>
    <row r="1589" spans="1:17" x14ac:dyDescent="0.2">
      <c r="A1589" t="s">
        <v>2104</v>
      </c>
      <c r="B1589" t="s">
        <v>131</v>
      </c>
      <c r="C1589" s="1">
        <v>45358.125</v>
      </c>
      <c r="D1589">
        <v>20245.72</v>
      </c>
      <c r="E1589" t="s">
        <v>34</v>
      </c>
      <c r="F1589" t="s">
        <v>17</v>
      </c>
      <c r="G1589" t="s">
        <v>65</v>
      </c>
      <c r="H1589" t="s">
        <v>24</v>
      </c>
      <c r="I1589" t="s">
        <v>19</v>
      </c>
      <c r="J1589" t="s">
        <v>51</v>
      </c>
      <c r="K1589">
        <v>0</v>
      </c>
      <c r="L1589">
        <v>3</v>
      </c>
      <c r="M1589">
        <v>7.52</v>
      </c>
      <c r="N1589">
        <v>1</v>
      </c>
      <c r="O1589" t="str">
        <f>IF(financial_fraud_data[[#This Row],[Risk_Score]]&gt;8,"High",IF(financial_fraud_data[[#This Row],[Risk_Score]]&gt;5,"Med","Low"))</f>
        <v>Med</v>
      </c>
      <c r="P1589" t="str">
        <f>TEXT(financial_fraud_data[[#This Row],[Transaction_Date]],"MMM")</f>
        <v>Mar</v>
      </c>
      <c r="Q1589" t="str">
        <f>IF(financial_fraud_data[[#This Row],[Is_Fraud]]=1,"Yes","No")</f>
        <v>Yes</v>
      </c>
    </row>
    <row r="1590" spans="1:17" x14ac:dyDescent="0.2">
      <c r="A1590" t="s">
        <v>2105</v>
      </c>
      <c r="B1590" t="s">
        <v>1821</v>
      </c>
      <c r="C1590" s="1">
        <v>45358.166666666664</v>
      </c>
      <c r="D1590">
        <v>21438.57</v>
      </c>
      <c r="E1590" t="s">
        <v>34</v>
      </c>
      <c r="F1590" t="s">
        <v>17</v>
      </c>
      <c r="G1590" t="s">
        <v>18</v>
      </c>
      <c r="H1590" t="s">
        <v>29</v>
      </c>
      <c r="I1590" t="s">
        <v>29</v>
      </c>
      <c r="J1590" t="s">
        <v>20</v>
      </c>
      <c r="K1590">
        <v>0</v>
      </c>
      <c r="L1590">
        <v>4</v>
      </c>
      <c r="M1590">
        <v>8.14</v>
      </c>
      <c r="N1590">
        <v>1</v>
      </c>
      <c r="O1590" t="str">
        <f>IF(financial_fraud_data[[#This Row],[Risk_Score]]&gt;8,"High",IF(financial_fraud_data[[#This Row],[Risk_Score]]&gt;5,"Med","Low"))</f>
        <v>High</v>
      </c>
      <c r="P1590" t="str">
        <f>TEXT(financial_fraud_data[[#This Row],[Transaction_Date]],"MMM")</f>
        <v>Mar</v>
      </c>
      <c r="Q1590" t="str">
        <f>IF(financial_fraud_data[[#This Row],[Is_Fraud]]=1,"Yes","No")</f>
        <v>Yes</v>
      </c>
    </row>
    <row r="1591" spans="1:17" x14ac:dyDescent="0.2">
      <c r="A1591" t="s">
        <v>2106</v>
      </c>
      <c r="B1591" t="s">
        <v>1181</v>
      </c>
      <c r="C1591" s="1">
        <v>45358.208333333336</v>
      </c>
      <c r="D1591">
        <v>35894.01</v>
      </c>
      <c r="E1591" t="s">
        <v>16</v>
      </c>
      <c r="F1591" t="s">
        <v>47</v>
      </c>
      <c r="G1591" t="s">
        <v>56</v>
      </c>
      <c r="H1591" t="s">
        <v>19</v>
      </c>
      <c r="I1591" t="s">
        <v>36</v>
      </c>
      <c r="J1591" t="s">
        <v>51</v>
      </c>
      <c r="K1591">
        <v>0</v>
      </c>
      <c r="L1591">
        <v>3</v>
      </c>
      <c r="M1591">
        <v>9.09</v>
      </c>
      <c r="N1591">
        <v>1</v>
      </c>
      <c r="O1591" t="str">
        <f>IF(financial_fraud_data[[#This Row],[Risk_Score]]&gt;8,"High",IF(financial_fraud_data[[#This Row],[Risk_Score]]&gt;5,"Med","Low"))</f>
        <v>High</v>
      </c>
      <c r="P1591" t="str">
        <f>TEXT(financial_fraud_data[[#This Row],[Transaction_Date]],"MMM")</f>
        <v>Mar</v>
      </c>
      <c r="Q1591" t="str">
        <f>IF(financial_fraud_data[[#This Row],[Is_Fraud]]=1,"Yes","No")</f>
        <v>Yes</v>
      </c>
    </row>
    <row r="1592" spans="1:17" x14ac:dyDescent="0.2">
      <c r="A1592" t="s">
        <v>2107</v>
      </c>
      <c r="B1592" t="s">
        <v>425</v>
      </c>
      <c r="C1592" s="1">
        <v>45358.25</v>
      </c>
      <c r="D1592">
        <v>34637.19</v>
      </c>
      <c r="E1592" t="s">
        <v>34</v>
      </c>
      <c r="F1592" t="s">
        <v>47</v>
      </c>
      <c r="G1592" t="s">
        <v>65</v>
      </c>
      <c r="H1592" t="s">
        <v>24</v>
      </c>
      <c r="I1592" t="s">
        <v>29</v>
      </c>
      <c r="J1592" t="s">
        <v>20</v>
      </c>
      <c r="K1592">
        <v>0</v>
      </c>
      <c r="L1592">
        <v>1</v>
      </c>
      <c r="M1592">
        <v>5.96</v>
      </c>
      <c r="N1592">
        <v>1</v>
      </c>
      <c r="O1592" t="str">
        <f>IF(financial_fraud_data[[#This Row],[Risk_Score]]&gt;8,"High",IF(financial_fraud_data[[#This Row],[Risk_Score]]&gt;5,"Med","Low"))</f>
        <v>Med</v>
      </c>
      <c r="P1592" t="str">
        <f>TEXT(financial_fraud_data[[#This Row],[Transaction_Date]],"MMM")</f>
        <v>Mar</v>
      </c>
      <c r="Q1592" t="str">
        <f>IF(financial_fraud_data[[#This Row],[Is_Fraud]]=1,"Yes","No")</f>
        <v>Yes</v>
      </c>
    </row>
    <row r="1593" spans="1:17" x14ac:dyDescent="0.2">
      <c r="A1593" t="s">
        <v>2108</v>
      </c>
      <c r="B1593" t="s">
        <v>883</v>
      </c>
      <c r="C1593" s="1">
        <v>45358.291666666664</v>
      </c>
      <c r="D1593">
        <v>49563.24</v>
      </c>
      <c r="E1593" t="s">
        <v>34</v>
      </c>
      <c r="F1593" t="s">
        <v>27</v>
      </c>
      <c r="G1593" t="s">
        <v>35</v>
      </c>
      <c r="H1593" t="s">
        <v>19</v>
      </c>
      <c r="I1593" t="s">
        <v>36</v>
      </c>
      <c r="J1593" t="s">
        <v>51</v>
      </c>
      <c r="K1593">
        <v>0</v>
      </c>
      <c r="L1593">
        <v>3</v>
      </c>
      <c r="M1593">
        <v>10.46</v>
      </c>
      <c r="N1593">
        <v>1</v>
      </c>
      <c r="O1593" t="str">
        <f>IF(financial_fraud_data[[#This Row],[Risk_Score]]&gt;8,"High",IF(financial_fraud_data[[#This Row],[Risk_Score]]&gt;5,"Med","Low"))</f>
        <v>High</v>
      </c>
      <c r="P1593" t="str">
        <f>TEXT(financial_fraud_data[[#This Row],[Transaction_Date]],"MMM")</f>
        <v>Mar</v>
      </c>
      <c r="Q1593" t="str">
        <f>IF(financial_fraud_data[[#This Row],[Is_Fraud]]=1,"Yes","No")</f>
        <v>Yes</v>
      </c>
    </row>
    <row r="1594" spans="1:17" x14ac:dyDescent="0.2">
      <c r="A1594" t="s">
        <v>2109</v>
      </c>
      <c r="B1594" t="s">
        <v>310</v>
      </c>
      <c r="C1594" s="1">
        <v>45358.333333333336</v>
      </c>
      <c r="D1594">
        <v>6463.29</v>
      </c>
      <c r="E1594" t="s">
        <v>42</v>
      </c>
      <c r="F1594" t="s">
        <v>27</v>
      </c>
      <c r="G1594" t="s">
        <v>56</v>
      </c>
      <c r="H1594" t="s">
        <v>24</v>
      </c>
      <c r="I1594" t="s">
        <v>23</v>
      </c>
      <c r="J1594" t="s">
        <v>20</v>
      </c>
      <c r="K1594">
        <v>0</v>
      </c>
      <c r="L1594">
        <v>4</v>
      </c>
      <c r="M1594">
        <v>7.65</v>
      </c>
      <c r="N1594">
        <v>1</v>
      </c>
      <c r="O1594" t="str">
        <f>IF(financial_fraud_data[[#This Row],[Risk_Score]]&gt;8,"High",IF(financial_fraud_data[[#This Row],[Risk_Score]]&gt;5,"Med","Low"))</f>
        <v>Med</v>
      </c>
      <c r="P1594" t="str">
        <f>TEXT(financial_fraud_data[[#This Row],[Transaction_Date]],"MMM")</f>
        <v>Mar</v>
      </c>
      <c r="Q1594" t="str">
        <f>IF(financial_fraud_data[[#This Row],[Is_Fraud]]=1,"Yes","No")</f>
        <v>Yes</v>
      </c>
    </row>
    <row r="1595" spans="1:17" x14ac:dyDescent="0.2">
      <c r="A1595" t="s">
        <v>2110</v>
      </c>
      <c r="B1595" t="s">
        <v>243</v>
      </c>
      <c r="C1595" s="1">
        <v>45358.375</v>
      </c>
      <c r="D1595">
        <v>5250.28</v>
      </c>
      <c r="E1595" t="s">
        <v>42</v>
      </c>
      <c r="F1595" t="s">
        <v>17</v>
      </c>
      <c r="G1595" t="s">
        <v>65</v>
      </c>
      <c r="H1595" t="s">
        <v>19</v>
      </c>
      <c r="I1595" t="s">
        <v>23</v>
      </c>
      <c r="J1595" t="s">
        <v>37</v>
      </c>
      <c r="K1595">
        <v>0</v>
      </c>
      <c r="L1595">
        <v>3</v>
      </c>
      <c r="M1595">
        <v>6.03</v>
      </c>
      <c r="N1595">
        <v>1</v>
      </c>
      <c r="O1595" t="str">
        <f>IF(financial_fraud_data[[#This Row],[Risk_Score]]&gt;8,"High",IF(financial_fraud_data[[#This Row],[Risk_Score]]&gt;5,"Med","Low"))</f>
        <v>Med</v>
      </c>
      <c r="P1595" t="str">
        <f>TEXT(financial_fraud_data[[#This Row],[Transaction_Date]],"MMM")</f>
        <v>Mar</v>
      </c>
      <c r="Q1595" t="str">
        <f>IF(financial_fraud_data[[#This Row],[Is_Fraud]]=1,"Yes","No")</f>
        <v>Yes</v>
      </c>
    </row>
    <row r="1596" spans="1:17" x14ac:dyDescent="0.2">
      <c r="A1596" t="s">
        <v>2111</v>
      </c>
      <c r="B1596" t="s">
        <v>172</v>
      </c>
      <c r="C1596" s="1">
        <v>45358.416666666664</v>
      </c>
      <c r="D1596">
        <v>36230.720000000001</v>
      </c>
      <c r="E1596" t="s">
        <v>42</v>
      </c>
      <c r="F1596" t="s">
        <v>27</v>
      </c>
      <c r="G1596" t="s">
        <v>28</v>
      </c>
      <c r="H1596" t="s">
        <v>24</v>
      </c>
      <c r="I1596" t="s">
        <v>29</v>
      </c>
      <c r="J1596" t="s">
        <v>51</v>
      </c>
      <c r="K1596">
        <v>0</v>
      </c>
      <c r="L1596">
        <v>3</v>
      </c>
      <c r="M1596">
        <v>9.1199999999999992</v>
      </c>
      <c r="N1596">
        <v>1</v>
      </c>
      <c r="O1596" t="str">
        <f>IF(financial_fraud_data[[#This Row],[Risk_Score]]&gt;8,"High",IF(financial_fraud_data[[#This Row],[Risk_Score]]&gt;5,"Med","Low"))</f>
        <v>High</v>
      </c>
      <c r="P1596" t="str">
        <f>TEXT(financial_fraud_data[[#This Row],[Transaction_Date]],"MMM")</f>
        <v>Mar</v>
      </c>
      <c r="Q1596" t="str">
        <f>IF(financial_fraud_data[[#This Row],[Is_Fraud]]=1,"Yes","No")</f>
        <v>Yes</v>
      </c>
    </row>
    <row r="1597" spans="1:17" x14ac:dyDescent="0.2">
      <c r="A1597" t="s">
        <v>2112</v>
      </c>
      <c r="B1597" t="s">
        <v>686</v>
      </c>
      <c r="C1597" s="1">
        <v>45358.458333333336</v>
      </c>
      <c r="D1597">
        <v>28940.43</v>
      </c>
      <c r="E1597" t="s">
        <v>80</v>
      </c>
      <c r="F1597" t="s">
        <v>17</v>
      </c>
      <c r="G1597" t="s">
        <v>28</v>
      </c>
      <c r="H1597" t="s">
        <v>19</v>
      </c>
      <c r="I1597" t="s">
        <v>24</v>
      </c>
      <c r="J1597" t="s">
        <v>51</v>
      </c>
      <c r="K1597">
        <v>0</v>
      </c>
      <c r="L1597">
        <v>2</v>
      </c>
      <c r="M1597">
        <v>6.89</v>
      </c>
      <c r="N1597">
        <v>1</v>
      </c>
      <c r="O1597" t="str">
        <f>IF(financial_fraud_data[[#This Row],[Risk_Score]]&gt;8,"High",IF(financial_fraud_data[[#This Row],[Risk_Score]]&gt;5,"Med","Low"))</f>
        <v>Med</v>
      </c>
      <c r="P1597" t="str">
        <f>TEXT(financial_fraud_data[[#This Row],[Transaction_Date]],"MMM")</f>
        <v>Mar</v>
      </c>
      <c r="Q1597" t="str">
        <f>IF(financial_fraud_data[[#This Row],[Is_Fraud]]=1,"Yes","No")</f>
        <v>Yes</v>
      </c>
    </row>
    <row r="1598" spans="1:17" x14ac:dyDescent="0.2">
      <c r="A1598" t="s">
        <v>2113</v>
      </c>
      <c r="B1598" t="s">
        <v>1423</v>
      </c>
      <c r="C1598" s="1">
        <v>45358.5</v>
      </c>
      <c r="D1598">
        <v>13744.33</v>
      </c>
      <c r="E1598" t="s">
        <v>80</v>
      </c>
      <c r="F1598" t="s">
        <v>47</v>
      </c>
      <c r="G1598" t="s">
        <v>65</v>
      </c>
      <c r="H1598" t="s">
        <v>36</v>
      </c>
      <c r="I1598" t="s">
        <v>19</v>
      </c>
      <c r="J1598" t="s">
        <v>51</v>
      </c>
      <c r="K1598">
        <v>0</v>
      </c>
      <c r="L1598">
        <v>2</v>
      </c>
      <c r="M1598">
        <v>5.37</v>
      </c>
      <c r="N1598">
        <v>1</v>
      </c>
      <c r="O1598" t="str">
        <f>IF(financial_fraud_data[[#This Row],[Risk_Score]]&gt;8,"High",IF(financial_fraud_data[[#This Row],[Risk_Score]]&gt;5,"Med","Low"))</f>
        <v>Med</v>
      </c>
      <c r="P1598" t="str">
        <f>TEXT(financial_fraud_data[[#This Row],[Transaction_Date]],"MMM")</f>
        <v>Mar</v>
      </c>
      <c r="Q1598" t="str">
        <f>IF(financial_fraud_data[[#This Row],[Is_Fraud]]=1,"Yes","No")</f>
        <v>Yes</v>
      </c>
    </row>
    <row r="1599" spans="1:17" x14ac:dyDescent="0.2">
      <c r="A1599" t="s">
        <v>2114</v>
      </c>
      <c r="B1599" t="s">
        <v>140</v>
      </c>
      <c r="C1599" s="1">
        <v>45358.541666666664</v>
      </c>
      <c r="D1599">
        <v>4017</v>
      </c>
      <c r="E1599" t="s">
        <v>42</v>
      </c>
      <c r="F1599" t="s">
        <v>47</v>
      </c>
      <c r="G1599" t="s">
        <v>18</v>
      </c>
      <c r="H1599" t="s">
        <v>23</v>
      </c>
      <c r="I1599" t="s">
        <v>36</v>
      </c>
      <c r="J1599" t="s">
        <v>20</v>
      </c>
      <c r="K1599">
        <v>0</v>
      </c>
      <c r="L1599">
        <v>4</v>
      </c>
      <c r="M1599">
        <v>7.4</v>
      </c>
      <c r="N1599">
        <v>1</v>
      </c>
      <c r="O1599" t="str">
        <f>IF(financial_fraud_data[[#This Row],[Risk_Score]]&gt;8,"High",IF(financial_fraud_data[[#This Row],[Risk_Score]]&gt;5,"Med","Low"))</f>
        <v>Med</v>
      </c>
      <c r="P1599" t="str">
        <f>TEXT(financial_fraud_data[[#This Row],[Transaction_Date]],"MMM")</f>
        <v>Mar</v>
      </c>
      <c r="Q1599" t="str">
        <f>IF(financial_fraud_data[[#This Row],[Is_Fraud]]=1,"Yes","No")</f>
        <v>Yes</v>
      </c>
    </row>
    <row r="1600" spans="1:17" x14ac:dyDescent="0.2">
      <c r="A1600" t="s">
        <v>2115</v>
      </c>
      <c r="B1600" t="s">
        <v>576</v>
      </c>
      <c r="C1600" s="1">
        <v>45358.583333333336</v>
      </c>
      <c r="D1600">
        <v>4328.63</v>
      </c>
      <c r="E1600" t="s">
        <v>42</v>
      </c>
      <c r="F1600" t="s">
        <v>47</v>
      </c>
      <c r="G1600" t="s">
        <v>18</v>
      </c>
      <c r="H1600" t="s">
        <v>24</v>
      </c>
      <c r="I1600" t="s">
        <v>19</v>
      </c>
      <c r="J1600" t="s">
        <v>51</v>
      </c>
      <c r="K1600">
        <v>1</v>
      </c>
      <c r="L1600">
        <v>1</v>
      </c>
      <c r="M1600">
        <v>4.93</v>
      </c>
      <c r="N1600">
        <v>0</v>
      </c>
      <c r="O1600" t="str">
        <f>IF(financial_fraud_data[[#This Row],[Risk_Score]]&gt;8,"High",IF(financial_fraud_data[[#This Row],[Risk_Score]]&gt;5,"Med","Low"))</f>
        <v>Low</v>
      </c>
      <c r="P1600" t="str">
        <f>TEXT(financial_fraud_data[[#This Row],[Transaction_Date]],"MMM")</f>
        <v>Mar</v>
      </c>
      <c r="Q1600" t="str">
        <f>IF(financial_fraud_data[[#This Row],[Is_Fraud]]=1,"Yes","No")</f>
        <v>No</v>
      </c>
    </row>
    <row r="1601" spans="1:17" x14ac:dyDescent="0.2">
      <c r="A1601" t="s">
        <v>2116</v>
      </c>
      <c r="B1601" t="s">
        <v>388</v>
      </c>
      <c r="C1601" s="1">
        <v>45358.625</v>
      </c>
      <c r="D1601">
        <v>44714.83</v>
      </c>
      <c r="E1601" t="s">
        <v>80</v>
      </c>
      <c r="F1601" t="s">
        <v>50</v>
      </c>
      <c r="G1601" t="s">
        <v>56</v>
      </c>
      <c r="H1601" t="s">
        <v>36</v>
      </c>
      <c r="I1601" t="s">
        <v>23</v>
      </c>
      <c r="J1601" t="s">
        <v>20</v>
      </c>
      <c r="K1601">
        <v>1</v>
      </c>
      <c r="L1601">
        <v>0</v>
      </c>
      <c r="M1601">
        <v>7.47</v>
      </c>
      <c r="N1601">
        <v>1</v>
      </c>
      <c r="O1601" t="str">
        <f>IF(financial_fraud_data[[#This Row],[Risk_Score]]&gt;8,"High",IF(financial_fraud_data[[#This Row],[Risk_Score]]&gt;5,"Med","Low"))</f>
        <v>Med</v>
      </c>
      <c r="P1601" t="str">
        <f>TEXT(financial_fraud_data[[#This Row],[Transaction_Date]],"MMM")</f>
        <v>Mar</v>
      </c>
      <c r="Q1601" t="str">
        <f>IF(financial_fraud_data[[#This Row],[Is_Fraud]]=1,"Yes","No")</f>
        <v>Yes</v>
      </c>
    </row>
    <row r="1602" spans="1:17" x14ac:dyDescent="0.2">
      <c r="A1602" t="s">
        <v>2117</v>
      </c>
      <c r="B1602" t="s">
        <v>562</v>
      </c>
      <c r="C1602" s="1">
        <v>45358.666666666664</v>
      </c>
      <c r="D1602">
        <v>9633.77</v>
      </c>
      <c r="E1602" t="s">
        <v>16</v>
      </c>
      <c r="F1602" t="s">
        <v>17</v>
      </c>
      <c r="G1602" t="s">
        <v>28</v>
      </c>
      <c r="H1602" t="s">
        <v>23</v>
      </c>
      <c r="I1602" t="s">
        <v>24</v>
      </c>
      <c r="J1602" t="s">
        <v>51</v>
      </c>
      <c r="K1602">
        <v>1</v>
      </c>
      <c r="L1602">
        <v>0</v>
      </c>
      <c r="M1602">
        <v>3.96</v>
      </c>
      <c r="N1602">
        <v>0</v>
      </c>
      <c r="O1602" t="str">
        <f>IF(financial_fraud_data[[#This Row],[Risk_Score]]&gt;8,"High",IF(financial_fraud_data[[#This Row],[Risk_Score]]&gt;5,"Med","Low"))</f>
        <v>Low</v>
      </c>
      <c r="P1602" t="str">
        <f>TEXT(financial_fraud_data[[#This Row],[Transaction_Date]],"MMM")</f>
        <v>Mar</v>
      </c>
      <c r="Q1602" t="str">
        <f>IF(financial_fraud_data[[#This Row],[Is_Fraud]]=1,"Yes","No")</f>
        <v>No</v>
      </c>
    </row>
    <row r="1603" spans="1:17" x14ac:dyDescent="0.2">
      <c r="A1603" t="s">
        <v>2118</v>
      </c>
      <c r="B1603" t="s">
        <v>435</v>
      </c>
      <c r="C1603" s="1">
        <v>45358.708333333336</v>
      </c>
      <c r="D1603">
        <v>16202.41</v>
      </c>
      <c r="E1603" t="s">
        <v>34</v>
      </c>
      <c r="F1603" t="s">
        <v>47</v>
      </c>
      <c r="G1603" t="s">
        <v>18</v>
      </c>
      <c r="H1603" t="s">
        <v>24</v>
      </c>
      <c r="I1603" t="s">
        <v>24</v>
      </c>
      <c r="J1603" t="s">
        <v>37</v>
      </c>
      <c r="K1603">
        <v>1</v>
      </c>
      <c r="L1603">
        <v>4</v>
      </c>
      <c r="M1603">
        <v>9.6199999999999992</v>
      </c>
      <c r="N1603">
        <v>1</v>
      </c>
      <c r="O1603" t="str">
        <f>IF(financial_fraud_data[[#This Row],[Risk_Score]]&gt;8,"High",IF(financial_fraud_data[[#This Row],[Risk_Score]]&gt;5,"Med","Low"))</f>
        <v>High</v>
      </c>
      <c r="P1603" t="str">
        <f>TEXT(financial_fraud_data[[#This Row],[Transaction_Date]],"MMM")</f>
        <v>Mar</v>
      </c>
      <c r="Q1603" t="str">
        <f>IF(financial_fraud_data[[#This Row],[Is_Fraud]]=1,"Yes","No")</f>
        <v>Yes</v>
      </c>
    </row>
    <row r="1604" spans="1:17" x14ac:dyDescent="0.2">
      <c r="A1604" t="s">
        <v>2119</v>
      </c>
      <c r="B1604" t="s">
        <v>293</v>
      </c>
      <c r="C1604" s="1">
        <v>45358.75</v>
      </c>
      <c r="D1604">
        <v>11371.49</v>
      </c>
      <c r="E1604" t="s">
        <v>34</v>
      </c>
      <c r="F1604" t="s">
        <v>17</v>
      </c>
      <c r="G1604" t="s">
        <v>18</v>
      </c>
      <c r="H1604" t="s">
        <v>36</v>
      </c>
      <c r="I1604" t="s">
        <v>19</v>
      </c>
      <c r="J1604" t="s">
        <v>51</v>
      </c>
      <c r="K1604">
        <v>0</v>
      </c>
      <c r="L1604">
        <v>1</v>
      </c>
      <c r="M1604">
        <v>3.64</v>
      </c>
      <c r="N1604">
        <v>0</v>
      </c>
      <c r="O1604" t="str">
        <f>IF(financial_fraud_data[[#This Row],[Risk_Score]]&gt;8,"High",IF(financial_fraud_data[[#This Row],[Risk_Score]]&gt;5,"Med","Low"))</f>
        <v>Low</v>
      </c>
      <c r="P1604" t="str">
        <f>TEXT(financial_fraud_data[[#This Row],[Transaction_Date]],"MMM")</f>
        <v>Mar</v>
      </c>
      <c r="Q1604" t="str">
        <f>IF(financial_fraud_data[[#This Row],[Is_Fraud]]=1,"Yes","No")</f>
        <v>No</v>
      </c>
    </row>
    <row r="1605" spans="1:17" x14ac:dyDescent="0.2">
      <c r="A1605" t="s">
        <v>2120</v>
      </c>
      <c r="B1605" t="s">
        <v>295</v>
      </c>
      <c r="C1605" s="1">
        <v>45358.791666666664</v>
      </c>
      <c r="D1605">
        <v>17782.07</v>
      </c>
      <c r="E1605" t="s">
        <v>42</v>
      </c>
      <c r="F1605" t="s">
        <v>27</v>
      </c>
      <c r="G1605" t="s">
        <v>28</v>
      </c>
      <c r="H1605" t="s">
        <v>36</v>
      </c>
      <c r="I1605" t="s">
        <v>23</v>
      </c>
      <c r="J1605" t="s">
        <v>37</v>
      </c>
      <c r="K1605">
        <v>0</v>
      </c>
      <c r="L1605">
        <v>1</v>
      </c>
      <c r="M1605">
        <v>4.28</v>
      </c>
      <c r="N1605">
        <v>0</v>
      </c>
      <c r="O1605" t="str">
        <f>IF(financial_fraud_data[[#This Row],[Risk_Score]]&gt;8,"High",IF(financial_fraud_data[[#This Row],[Risk_Score]]&gt;5,"Med","Low"))</f>
        <v>Low</v>
      </c>
      <c r="P1605" t="str">
        <f>TEXT(financial_fraud_data[[#This Row],[Transaction_Date]],"MMM")</f>
        <v>Mar</v>
      </c>
      <c r="Q1605" t="str">
        <f>IF(financial_fraud_data[[#This Row],[Is_Fraud]]=1,"Yes","No")</f>
        <v>No</v>
      </c>
    </row>
    <row r="1606" spans="1:17" x14ac:dyDescent="0.2">
      <c r="A1606" t="s">
        <v>2121</v>
      </c>
      <c r="B1606" t="s">
        <v>88</v>
      </c>
      <c r="C1606" s="1">
        <v>45358.833333333336</v>
      </c>
      <c r="D1606">
        <v>3517.72</v>
      </c>
      <c r="E1606" t="s">
        <v>16</v>
      </c>
      <c r="F1606" t="s">
        <v>27</v>
      </c>
      <c r="G1606" t="s">
        <v>35</v>
      </c>
      <c r="H1606" t="s">
        <v>36</v>
      </c>
      <c r="I1606" t="s">
        <v>19</v>
      </c>
      <c r="J1606" t="s">
        <v>20</v>
      </c>
      <c r="K1606">
        <v>0</v>
      </c>
      <c r="L1606">
        <v>1</v>
      </c>
      <c r="M1606">
        <v>2.85</v>
      </c>
      <c r="N1606">
        <v>0</v>
      </c>
      <c r="O1606" t="str">
        <f>IF(financial_fraud_data[[#This Row],[Risk_Score]]&gt;8,"High",IF(financial_fraud_data[[#This Row],[Risk_Score]]&gt;5,"Med","Low"))</f>
        <v>Low</v>
      </c>
      <c r="P1606" t="str">
        <f>TEXT(financial_fraud_data[[#This Row],[Transaction_Date]],"MMM")</f>
        <v>Mar</v>
      </c>
      <c r="Q1606" t="str">
        <f>IF(financial_fraud_data[[#This Row],[Is_Fraud]]=1,"Yes","No")</f>
        <v>No</v>
      </c>
    </row>
    <row r="1607" spans="1:17" x14ac:dyDescent="0.2">
      <c r="A1607" t="s">
        <v>2122</v>
      </c>
      <c r="B1607" t="s">
        <v>486</v>
      </c>
      <c r="C1607" s="1">
        <v>45358.875</v>
      </c>
      <c r="D1607">
        <v>25977.040000000001</v>
      </c>
      <c r="E1607" t="s">
        <v>80</v>
      </c>
      <c r="F1607" t="s">
        <v>47</v>
      </c>
      <c r="G1607" t="s">
        <v>18</v>
      </c>
      <c r="H1607" t="s">
        <v>29</v>
      </c>
      <c r="I1607" t="s">
        <v>29</v>
      </c>
      <c r="J1607" t="s">
        <v>37</v>
      </c>
      <c r="K1607">
        <v>0</v>
      </c>
      <c r="L1607">
        <v>2</v>
      </c>
      <c r="M1607">
        <v>5.6</v>
      </c>
      <c r="N1607">
        <v>1</v>
      </c>
      <c r="O1607" t="str">
        <f>IF(financial_fraud_data[[#This Row],[Risk_Score]]&gt;8,"High",IF(financial_fraud_data[[#This Row],[Risk_Score]]&gt;5,"Med","Low"))</f>
        <v>Med</v>
      </c>
      <c r="P1607" t="str">
        <f>TEXT(financial_fraud_data[[#This Row],[Transaction_Date]],"MMM")</f>
        <v>Mar</v>
      </c>
      <c r="Q1607" t="str">
        <f>IF(financial_fraud_data[[#This Row],[Is_Fraud]]=1,"Yes","No")</f>
        <v>Yes</v>
      </c>
    </row>
    <row r="1608" spans="1:17" x14ac:dyDescent="0.2">
      <c r="A1608" t="s">
        <v>2123</v>
      </c>
      <c r="B1608" t="s">
        <v>404</v>
      </c>
      <c r="C1608" s="1">
        <v>45358.916666666664</v>
      </c>
      <c r="D1608">
        <v>3427.25</v>
      </c>
      <c r="E1608" t="s">
        <v>42</v>
      </c>
      <c r="F1608" t="s">
        <v>17</v>
      </c>
      <c r="G1608" t="s">
        <v>65</v>
      </c>
      <c r="H1608" t="s">
        <v>19</v>
      </c>
      <c r="I1608" t="s">
        <v>24</v>
      </c>
      <c r="J1608" t="s">
        <v>51</v>
      </c>
      <c r="K1608">
        <v>1</v>
      </c>
      <c r="L1608">
        <v>4</v>
      </c>
      <c r="M1608">
        <v>9.34</v>
      </c>
      <c r="N1608">
        <v>1</v>
      </c>
      <c r="O1608" t="str">
        <f>IF(financial_fraud_data[[#This Row],[Risk_Score]]&gt;8,"High",IF(financial_fraud_data[[#This Row],[Risk_Score]]&gt;5,"Med","Low"))</f>
        <v>High</v>
      </c>
      <c r="P1608" t="str">
        <f>TEXT(financial_fraud_data[[#This Row],[Transaction_Date]],"MMM")</f>
        <v>Mar</v>
      </c>
      <c r="Q1608" t="str">
        <f>IF(financial_fraud_data[[#This Row],[Is_Fraud]]=1,"Yes","No")</f>
        <v>Yes</v>
      </c>
    </row>
    <row r="1609" spans="1:17" x14ac:dyDescent="0.2">
      <c r="A1609" t="s">
        <v>2124</v>
      </c>
      <c r="B1609" t="s">
        <v>1352</v>
      </c>
      <c r="C1609" s="1">
        <v>45358.958333333336</v>
      </c>
      <c r="D1609">
        <v>40027.81</v>
      </c>
      <c r="E1609" t="s">
        <v>16</v>
      </c>
      <c r="F1609" t="s">
        <v>47</v>
      </c>
      <c r="G1609" t="s">
        <v>56</v>
      </c>
      <c r="H1609" t="s">
        <v>23</v>
      </c>
      <c r="I1609" t="s">
        <v>24</v>
      </c>
      <c r="J1609" t="s">
        <v>51</v>
      </c>
      <c r="K1609">
        <v>1</v>
      </c>
      <c r="L1609">
        <v>0</v>
      </c>
      <c r="M1609">
        <v>7</v>
      </c>
      <c r="N1609">
        <v>1</v>
      </c>
      <c r="O1609" t="str">
        <f>IF(financial_fraud_data[[#This Row],[Risk_Score]]&gt;8,"High",IF(financial_fraud_data[[#This Row],[Risk_Score]]&gt;5,"Med","Low"))</f>
        <v>Med</v>
      </c>
      <c r="P1609" t="str">
        <f>TEXT(financial_fraud_data[[#This Row],[Transaction_Date]],"MMM")</f>
        <v>Mar</v>
      </c>
      <c r="Q1609" t="str">
        <f>IF(financial_fraud_data[[#This Row],[Is_Fraud]]=1,"Yes","No")</f>
        <v>Yes</v>
      </c>
    </row>
    <row r="1610" spans="1:17" x14ac:dyDescent="0.2">
      <c r="A1610" t="s">
        <v>2125</v>
      </c>
      <c r="B1610" t="s">
        <v>1590</v>
      </c>
      <c r="C1610" s="1">
        <v>45359</v>
      </c>
      <c r="D1610">
        <v>11723.92</v>
      </c>
      <c r="E1610" t="s">
        <v>16</v>
      </c>
      <c r="F1610" t="s">
        <v>27</v>
      </c>
      <c r="G1610" t="s">
        <v>18</v>
      </c>
      <c r="H1610" t="s">
        <v>19</v>
      </c>
      <c r="I1610" t="s">
        <v>29</v>
      </c>
      <c r="J1610" t="s">
        <v>20</v>
      </c>
      <c r="K1610">
        <v>0</v>
      </c>
      <c r="L1610">
        <v>1</v>
      </c>
      <c r="M1610">
        <v>3.67</v>
      </c>
      <c r="N1610">
        <v>0</v>
      </c>
      <c r="O1610" t="str">
        <f>IF(financial_fraud_data[[#This Row],[Risk_Score]]&gt;8,"High",IF(financial_fraud_data[[#This Row],[Risk_Score]]&gt;5,"Med","Low"))</f>
        <v>Low</v>
      </c>
      <c r="P1610" t="str">
        <f>TEXT(financial_fraud_data[[#This Row],[Transaction_Date]],"MMM")</f>
        <v>Mar</v>
      </c>
      <c r="Q1610" t="str">
        <f>IF(financial_fraud_data[[#This Row],[Is_Fraud]]=1,"Yes","No")</f>
        <v>No</v>
      </c>
    </row>
    <row r="1611" spans="1:17" x14ac:dyDescent="0.2">
      <c r="A1611" t="s">
        <v>2126</v>
      </c>
      <c r="B1611" t="s">
        <v>1194</v>
      </c>
      <c r="C1611" s="1">
        <v>45359.041666666664</v>
      </c>
      <c r="D1611">
        <v>27023.599999999999</v>
      </c>
      <c r="E1611" t="s">
        <v>16</v>
      </c>
      <c r="F1611" t="s">
        <v>47</v>
      </c>
      <c r="G1611" t="s">
        <v>18</v>
      </c>
      <c r="H1611" t="s">
        <v>19</v>
      </c>
      <c r="I1611" t="s">
        <v>23</v>
      </c>
      <c r="J1611" t="s">
        <v>51</v>
      </c>
      <c r="K1611">
        <v>0</v>
      </c>
      <c r="L1611">
        <v>4</v>
      </c>
      <c r="M1611">
        <v>9.6999999999999993</v>
      </c>
      <c r="N1611">
        <v>1</v>
      </c>
      <c r="O1611" t="str">
        <f>IF(financial_fraud_data[[#This Row],[Risk_Score]]&gt;8,"High",IF(financial_fraud_data[[#This Row],[Risk_Score]]&gt;5,"Med","Low"))</f>
        <v>High</v>
      </c>
      <c r="P1611" t="str">
        <f>TEXT(financial_fraud_data[[#This Row],[Transaction_Date]],"MMM")</f>
        <v>Mar</v>
      </c>
      <c r="Q1611" t="str">
        <f>IF(financial_fraud_data[[#This Row],[Is_Fraud]]=1,"Yes","No")</f>
        <v>Yes</v>
      </c>
    </row>
    <row r="1612" spans="1:17" x14ac:dyDescent="0.2">
      <c r="A1612" t="s">
        <v>2127</v>
      </c>
      <c r="B1612" t="s">
        <v>62</v>
      </c>
      <c r="C1612" s="1">
        <v>45359.083333333336</v>
      </c>
      <c r="D1612">
        <v>44009.95</v>
      </c>
      <c r="E1612" t="s">
        <v>80</v>
      </c>
      <c r="F1612" t="s">
        <v>17</v>
      </c>
      <c r="G1612" t="s">
        <v>35</v>
      </c>
      <c r="H1612" t="s">
        <v>19</v>
      </c>
      <c r="I1612" t="s">
        <v>24</v>
      </c>
      <c r="J1612" t="s">
        <v>51</v>
      </c>
      <c r="K1612">
        <v>0</v>
      </c>
      <c r="L1612">
        <v>0</v>
      </c>
      <c r="M1612">
        <v>5.4</v>
      </c>
      <c r="N1612">
        <v>1</v>
      </c>
      <c r="O1612" t="str">
        <f>IF(financial_fraud_data[[#This Row],[Risk_Score]]&gt;8,"High",IF(financial_fraud_data[[#This Row],[Risk_Score]]&gt;5,"Med","Low"))</f>
        <v>Med</v>
      </c>
      <c r="P1612" t="str">
        <f>TEXT(financial_fraud_data[[#This Row],[Transaction_Date]],"MMM")</f>
        <v>Mar</v>
      </c>
      <c r="Q1612" t="str">
        <f>IF(financial_fraud_data[[#This Row],[Is_Fraud]]=1,"Yes","No")</f>
        <v>Yes</v>
      </c>
    </row>
    <row r="1613" spans="1:17" x14ac:dyDescent="0.2">
      <c r="A1613" t="s">
        <v>2128</v>
      </c>
      <c r="B1613" t="s">
        <v>162</v>
      </c>
      <c r="C1613" s="1">
        <v>45359.125</v>
      </c>
      <c r="D1613">
        <v>32561.32</v>
      </c>
      <c r="E1613" t="s">
        <v>80</v>
      </c>
      <c r="F1613" t="s">
        <v>27</v>
      </c>
      <c r="G1613" t="s">
        <v>65</v>
      </c>
      <c r="H1613" t="s">
        <v>36</v>
      </c>
      <c r="I1613" t="s">
        <v>36</v>
      </c>
      <c r="J1613" t="s">
        <v>20</v>
      </c>
      <c r="K1613">
        <v>0</v>
      </c>
      <c r="L1613">
        <v>2</v>
      </c>
      <c r="M1613">
        <v>6.26</v>
      </c>
      <c r="N1613">
        <v>1</v>
      </c>
      <c r="O1613" t="str">
        <f>IF(financial_fraud_data[[#This Row],[Risk_Score]]&gt;8,"High",IF(financial_fraud_data[[#This Row],[Risk_Score]]&gt;5,"Med","Low"))</f>
        <v>Med</v>
      </c>
      <c r="P1613" t="str">
        <f>TEXT(financial_fraud_data[[#This Row],[Transaction_Date]],"MMM")</f>
        <v>Mar</v>
      </c>
      <c r="Q1613" t="str">
        <f>IF(financial_fraud_data[[#This Row],[Is_Fraud]]=1,"Yes","No")</f>
        <v>Yes</v>
      </c>
    </row>
    <row r="1614" spans="1:17" x14ac:dyDescent="0.2">
      <c r="A1614" t="s">
        <v>2129</v>
      </c>
      <c r="B1614" t="s">
        <v>221</v>
      </c>
      <c r="C1614" s="1">
        <v>45359.166666666664</v>
      </c>
      <c r="D1614">
        <v>26671.24</v>
      </c>
      <c r="E1614" t="s">
        <v>34</v>
      </c>
      <c r="F1614" t="s">
        <v>50</v>
      </c>
      <c r="G1614" t="s">
        <v>56</v>
      </c>
      <c r="H1614" t="s">
        <v>19</v>
      </c>
      <c r="I1614" t="s">
        <v>36</v>
      </c>
      <c r="J1614" t="s">
        <v>20</v>
      </c>
      <c r="K1614">
        <v>0</v>
      </c>
      <c r="L1614">
        <v>3</v>
      </c>
      <c r="M1614">
        <v>8.17</v>
      </c>
      <c r="N1614">
        <v>1</v>
      </c>
      <c r="O1614" t="str">
        <f>IF(financial_fraud_data[[#This Row],[Risk_Score]]&gt;8,"High",IF(financial_fraud_data[[#This Row],[Risk_Score]]&gt;5,"Med","Low"))</f>
        <v>High</v>
      </c>
      <c r="P1614" t="str">
        <f>TEXT(financial_fraud_data[[#This Row],[Transaction_Date]],"MMM")</f>
        <v>Mar</v>
      </c>
      <c r="Q1614" t="str">
        <f>IF(financial_fraud_data[[#This Row],[Is_Fraud]]=1,"Yes","No")</f>
        <v>Yes</v>
      </c>
    </row>
    <row r="1615" spans="1:17" x14ac:dyDescent="0.2">
      <c r="A1615" t="s">
        <v>2130</v>
      </c>
      <c r="B1615" t="s">
        <v>951</v>
      </c>
      <c r="C1615" s="1">
        <v>45359.208333333336</v>
      </c>
      <c r="D1615">
        <v>16250.47</v>
      </c>
      <c r="E1615" t="s">
        <v>34</v>
      </c>
      <c r="F1615" t="s">
        <v>27</v>
      </c>
      <c r="G1615" t="s">
        <v>18</v>
      </c>
      <c r="H1615" t="s">
        <v>29</v>
      </c>
      <c r="I1615" t="s">
        <v>23</v>
      </c>
      <c r="J1615" t="s">
        <v>37</v>
      </c>
      <c r="K1615">
        <v>0</v>
      </c>
      <c r="L1615">
        <v>0</v>
      </c>
      <c r="M1615">
        <v>2.63</v>
      </c>
      <c r="N1615">
        <v>0</v>
      </c>
      <c r="O1615" t="str">
        <f>IF(financial_fraud_data[[#This Row],[Risk_Score]]&gt;8,"High",IF(financial_fraud_data[[#This Row],[Risk_Score]]&gt;5,"Med","Low"))</f>
        <v>Low</v>
      </c>
      <c r="P1615" t="str">
        <f>TEXT(financial_fraud_data[[#This Row],[Transaction_Date]],"MMM")</f>
        <v>Mar</v>
      </c>
      <c r="Q1615" t="str">
        <f>IF(financial_fraud_data[[#This Row],[Is_Fraud]]=1,"Yes","No")</f>
        <v>No</v>
      </c>
    </row>
    <row r="1616" spans="1:17" x14ac:dyDescent="0.2">
      <c r="A1616" t="s">
        <v>2131</v>
      </c>
      <c r="B1616" t="s">
        <v>715</v>
      </c>
      <c r="C1616" s="1">
        <v>45359.25</v>
      </c>
      <c r="D1616">
        <v>16683.45</v>
      </c>
      <c r="E1616" t="s">
        <v>16</v>
      </c>
      <c r="F1616" t="s">
        <v>50</v>
      </c>
      <c r="G1616" t="s">
        <v>56</v>
      </c>
      <c r="H1616" t="s">
        <v>24</v>
      </c>
      <c r="I1616" t="s">
        <v>29</v>
      </c>
      <c r="J1616" t="s">
        <v>20</v>
      </c>
      <c r="K1616">
        <v>1</v>
      </c>
      <c r="L1616">
        <v>0</v>
      </c>
      <c r="M1616">
        <v>4.67</v>
      </c>
      <c r="N1616">
        <v>0</v>
      </c>
      <c r="O1616" t="str">
        <f>IF(financial_fraud_data[[#This Row],[Risk_Score]]&gt;8,"High",IF(financial_fraud_data[[#This Row],[Risk_Score]]&gt;5,"Med","Low"))</f>
        <v>Low</v>
      </c>
      <c r="P1616" t="str">
        <f>TEXT(financial_fraud_data[[#This Row],[Transaction_Date]],"MMM")</f>
        <v>Mar</v>
      </c>
      <c r="Q1616" t="str">
        <f>IF(financial_fraud_data[[#This Row],[Is_Fraud]]=1,"Yes","No")</f>
        <v>No</v>
      </c>
    </row>
    <row r="1617" spans="1:17" x14ac:dyDescent="0.2">
      <c r="A1617" t="s">
        <v>2132</v>
      </c>
      <c r="B1617" t="s">
        <v>1625</v>
      </c>
      <c r="C1617" s="1">
        <v>45359.291666666664</v>
      </c>
      <c r="D1617">
        <v>33490.870000000003</v>
      </c>
      <c r="E1617" t="s">
        <v>16</v>
      </c>
      <c r="F1617" t="s">
        <v>47</v>
      </c>
      <c r="G1617" t="s">
        <v>28</v>
      </c>
      <c r="H1617" t="s">
        <v>36</v>
      </c>
      <c r="I1617" t="s">
        <v>19</v>
      </c>
      <c r="J1617" t="s">
        <v>51</v>
      </c>
      <c r="K1617">
        <v>0</v>
      </c>
      <c r="L1617">
        <v>0</v>
      </c>
      <c r="M1617">
        <v>4.3499999999999996</v>
      </c>
      <c r="N1617">
        <v>0</v>
      </c>
      <c r="O1617" t="str">
        <f>IF(financial_fraud_data[[#This Row],[Risk_Score]]&gt;8,"High",IF(financial_fraud_data[[#This Row],[Risk_Score]]&gt;5,"Med","Low"))</f>
        <v>Low</v>
      </c>
      <c r="P1617" t="str">
        <f>TEXT(financial_fraud_data[[#This Row],[Transaction_Date]],"MMM")</f>
        <v>Mar</v>
      </c>
      <c r="Q1617" t="str">
        <f>IF(financial_fraud_data[[#This Row],[Is_Fraud]]=1,"Yes","No")</f>
        <v>No</v>
      </c>
    </row>
    <row r="1618" spans="1:17" x14ac:dyDescent="0.2">
      <c r="A1618" t="s">
        <v>2133</v>
      </c>
      <c r="B1618" t="s">
        <v>913</v>
      </c>
      <c r="C1618" s="1">
        <v>45359.333333333336</v>
      </c>
      <c r="D1618">
        <v>49707.26</v>
      </c>
      <c r="E1618" t="s">
        <v>80</v>
      </c>
      <c r="F1618" t="s">
        <v>47</v>
      </c>
      <c r="G1618" t="s">
        <v>18</v>
      </c>
      <c r="H1618" t="s">
        <v>23</v>
      </c>
      <c r="I1618" t="s">
        <v>23</v>
      </c>
      <c r="J1618" t="s">
        <v>20</v>
      </c>
      <c r="K1618">
        <v>1</v>
      </c>
      <c r="L1618">
        <v>3</v>
      </c>
      <c r="M1618">
        <v>11.47</v>
      </c>
      <c r="N1618">
        <v>1</v>
      </c>
      <c r="O1618" t="str">
        <f>IF(financial_fraud_data[[#This Row],[Risk_Score]]&gt;8,"High",IF(financial_fraud_data[[#This Row],[Risk_Score]]&gt;5,"Med","Low"))</f>
        <v>High</v>
      </c>
      <c r="P1618" t="str">
        <f>TEXT(financial_fraud_data[[#This Row],[Transaction_Date]],"MMM")</f>
        <v>Mar</v>
      </c>
      <c r="Q1618" t="str">
        <f>IF(financial_fraud_data[[#This Row],[Is_Fraud]]=1,"Yes","No")</f>
        <v>Yes</v>
      </c>
    </row>
    <row r="1619" spans="1:17" x14ac:dyDescent="0.2">
      <c r="A1619" t="s">
        <v>2134</v>
      </c>
      <c r="B1619" t="s">
        <v>108</v>
      </c>
      <c r="C1619" s="1">
        <v>45359.375</v>
      </c>
      <c r="D1619">
        <v>33108.870000000003</v>
      </c>
      <c r="E1619" t="s">
        <v>34</v>
      </c>
      <c r="F1619" t="s">
        <v>17</v>
      </c>
      <c r="G1619" t="s">
        <v>18</v>
      </c>
      <c r="H1619" t="s">
        <v>24</v>
      </c>
      <c r="I1619" t="s">
        <v>19</v>
      </c>
      <c r="J1619" t="s">
        <v>51</v>
      </c>
      <c r="K1619">
        <v>0</v>
      </c>
      <c r="L1619">
        <v>1</v>
      </c>
      <c r="M1619">
        <v>5.81</v>
      </c>
      <c r="N1619">
        <v>1</v>
      </c>
      <c r="O1619" t="str">
        <f>IF(financial_fraud_data[[#This Row],[Risk_Score]]&gt;8,"High",IF(financial_fraud_data[[#This Row],[Risk_Score]]&gt;5,"Med","Low"))</f>
        <v>Med</v>
      </c>
      <c r="P1619" t="str">
        <f>TEXT(financial_fraud_data[[#This Row],[Transaction_Date]],"MMM")</f>
        <v>Mar</v>
      </c>
      <c r="Q1619" t="str">
        <f>IF(financial_fraud_data[[#This Row],[Is_Fraud]]=1,"Yes","No")</f>
        <v>Yes</v>
      </c>
    </row>
    <row r="1620" spans="1:17" x14ac:dyDescent="0.2">
      <c r="A1620" t="s">
        <v>2135</v>
      </c>
      <c r="B1620" t="s">
        <v>106</v>
      </c>
      <c r="C1620" s="1">
        <v>45359.416666666664</v>
      </c>
      <c r="D1620">
        <v>27911.279999999999</v>
      </c>
      <c r="E1620" t="s">
        <v>16</v>
      </c>
      <c r="F1620" t="s">
        <v>50</v>
      </c>
      <c r="G1620" t="s">
        <v>28</v>
      </c>
      <c r="H1620" t="s">
        <v>24</v>
      </c>
      <c r="I1620" t="s">
        <v>23</v>
      </c>
      <c r="J1620" t="s">
        <v>37</v>
      </c>
      <c r="K1620">
        <v>0</v>
      </c>
      <c r="L1620">
        <v>3</v>
      </c>
      <c r="M1620">
        <v>8.2899999999999991</v>
      </c>
      <c r="N1620">
        <v>1</v>
      </c>
      <c r="O1620" t="str">
        <f>IF(financial_fraud_data[[#This Row],[Risk_Score]]&gt;8,"High",IF(financial_fraud_data[[#This Row],[Risk_Score]]&gt;5,"Med","Low"))</f>
        <v>High</v>
      </c>
      <c r="P1620" t="str">
        <f>TEXT(financial_fraud_data[[#This Row],[Transaction_Date]],"MMM")</f>
        <v>Mar</v>
      </c>
      <c r="Q1620" t="str">
        <f>IF(financial_fraud_data[[#This Row],[Is_Fraud]]=1,"Yes","No")</f>
        <v>Yes</v>
      </c>
    </row>
    <row r="1621" spans="1:17" x14ac:dyDescent="0.2">
      <c r="A1621" t="s">
        <v>2136</v>
      </c>
      <c r="B1621" t="s">
        <v>282</v>
      </c>
      <c r="C1621" s="1">
        <v>45359.458333333336</v>
      </c>
      <c r="D1621">
        <v>36545.99</v>
      </c>
      <c r="E1621" t="s">
        <v>34</v>
      </c>
      <c r="F1621" t="s">
        <v>47</v>
      </c>
      <c r="G1621" t="s">
        <v>35</v>
      </c>
      <c r="H1621" t="s">
        <v>24</v>
      </c>
      <c r="I1621" t="s">
        <v>36</v>
      </c>
      <c r="J1621" t="s">
        <v>20</v>
      </c>
      <c r="K1621">
        <v>0</v>
      </c>
      <c r="L1621">
        <v>0</v>
      </c>
      <c r="M1621">
        <v>4.6500000000000004</v>
      </c>
      <c r="N1621">
        <v>0</v>
      </c>
      <c r="O1621" t="str">
        <f>IF(financial_fraud_data[[#This Row],[Risk_Score]]&gt;8,"High",IF(financial_fraud_data[[#This Row],[Risk_Score]]&gt;5,"Med","Low"))</f>
        <v>Low</v>
      </c>
      <c r="P1621" t="str">
        <f>TEXT(financial_fraud_data[[#This Row],[Transaction_Date]],"MMM")</f>
        <v>Mar</v>
      </c>
      <c r="Q1621" t="str">
        <f>IF(financial_fraud_data[[#This Row],[Is_Fraud]]=1,"Yes","No")</f>
        <v>No</v>
      </c>
    </row>
    <row r="1622" spans="1:17" x14ac:dyDescent="0.2">
      <c r="A1622" t="s">
        <v>2137</v>
      </c>
      <c r="B1622" t="s">
        <v>261</v>
      </c>
      <c r="C1622" s="1">
        <v>45359.5</v>
      </c>
      <c r="D1622">
        <v>23287.02</v>
      </c>
      <c r="E1622" t="s">
        <v>34</v>
      </c>
      <c r="F1622" t="s">
        <v>50</v>
      </c>
      <c r="G1622" t="s">
        <v>18</v>
      </c>
      <c r="H1622" t="s">
        <v>19</v>
      </c>
      <c r="I1622" t="s">
        <v>29</v>
      </c>
      <c r="J1622" t="s">
        <v>51</v>
      </c>
      <c r="K1622">
        <v>1</v>
      </c>
      <c r="L1622">
        <v>2</v>
      </c>
      <c r="M1622">
        <v>8.33</v>
      </c>
      <c r="N1622">
        <v>1</v>
      </c>
      <c r="O1622" t="str">
        <f>IF(financial_fraud_data[[#This Row],[Risk_Score]]&gt;8,"High",IF(financial_fraud_data[[#This Row],[Risk_Score]]&gt;5,"Med","Low"))</f>
        <v>High</v>
      </c>
      <c r="P1622" t="str">
        <f>TEXT(financial_fraud_data[[#This Row],[Transaction_Date]],"MMM")</f>
        <v>Mar</v>
      </c>
      <c r="Q1622" t="str">
        <f>IF(financial_fraud_data[[#This Row],[Is_Fraud]]=1,"Yes","No")</f>
        <v>Yes</v>
      </c>
    </row>
    <row r="1623" spans="1:17" x14ac:dyDescent="0.2">
      <c r="A1623" t="s">
        <v>2138</v>
      </c>
      <c r="B1623" t="s">
        <v>402</v>
      </c>
      <c r="C1623" s="1">
        <v>45359.541666666664</v>
      </c>
      <c r="D1623">
        <v>3054.11</v>
      </c>
      <c r="E1623" t="s">
        <v>16</v>
      </c>
      <c r="F1623" t="s">
        <v>47</v>
      </c>
      <c r="G1623" t="s">
        <v>56</v>
      </c>
      <c r="H1623" t="s">
        <v>19</v>
      </c>
      <c r="I1623" t="s">
        <v>36</v>
      </c>
      <c r="J1623" t="s">
        <v>20</v>
      </c>
      <c r="K1623">
        <v>0</v>
      </c>
      <c r="L1623">
        <v>0</v>
      </c>
      <c r="M1623">
        <v>1.31</v>
      </c>
      <c r="N1623">
        <v>0</v>
      </c>
      <c r="O1623" t="str">
        <f>IF(financial_fraud_data[[#This Row],[Risk_Score]]&gt;8,"High",IF(financial_fraud_data[[#This Row],[Risk_Score]]&gt;5,"Med","Low"))</f>
        <v>Low</v>
      </c>
      <c r="P1623" t="str">
        <f>TEXT(financial_fraud_data[[#This Row],[Transaction_Date]],"MMM")</f>
        <v>Mar</v>
      </c>
      <c r="Q1623" t="str">
        <f>IF(financial_fraud_data[[#This Row],[Is_Fraud]]=1,"Yes","No")</f>
        <v>No</v>
      </c>
    </row>
    <row r="1624" spans="1:17" x14ac:dyDescent="0.2">
      <c r="A1624" t="s">
        <v>2139</v>
      </c>
      <c r="B1624" t="s">
        <v>121</v>
      </c>
      <c r="C1624" s="1">
        <v>45359.583333333336</v>
      </c>
      <c r="D1624">
        <v>28136.73</v>
      </c>
      <c r="E1624" t="s">
        <v>80</v>
      </c>
      <c r="F1624" t="s">
        <v>27</v>
      </c>
      <c r="G1624" t="s">
        <v>65</v>
      </c>
      <c r="H1624" t="s">
        <v>36</v>
      </c>
      <c r="I1624" t="s">
        <v>29</v>
      </c>
      <c r="J1624" t="s">
        <v>20</v>
      </c>
      <c r="K1624">
        <v>1</v>
      </c>
      <c r="L1624">
        <v>2</v>
      </c>
      <c r="M1624">
        <v>8.81</v>
      </c>
      <c r="N1624">
        <v>1</v>
      </c>
      <c r="O1624" t="str">
        <f>IF(financial_fraud_data[[#This Row],[Risk_Score]]&gt;8,"High",IF(financial_fraud_data[[#This Row],[Risk_Score]]&gt;5,"Med","Low"))</f>
        <v>High</v>
      </c>
      <c r="P1624" t="str">
        <f>TEXT(financial_fraud_data[[#This Row],[Transaction_Date]],"MMM")</f>
        <v>Mar</v>
      </c>
      <c r="Q1624" t="str">
        <f>IF(financial_fraud_data[[#This Row],[Is_Fraud]]=1,"Yes","No")</f>
        <v>Yes</v>
      </c>
    </row>
    <row r="1625" spans="1:17" x14ac:dyDescent="0.2">
      <c r="A1625" t="s">
        <v>2140</v>
      </c>
      <c r="B1625" t="s">
        <v>1107</v>
      </c>
      <c r="C1625" s="1">
        <v>45359.625</v>
      </c>
      <c r="D1625">
        <v>47883.38</v>
      </c>
      <c r="E1625" t="s">
        <v>16</v>
      </c>
      <c r="F1625" t="s">
        <v>47</v>
      </c>
      <c r="G1625" t="s">
        <v>56</v>
      </c>
      <c r="H1625" t="s">
        <v>19</v>
      </c>
      <c r="I1625" t="s">
        <v>19</v>
      </c>
      <c r="J1625" t="s">
        <v>20</v>
      </c>
      <c r="K1625">
        <v>0</v>
      </c>
      <c r="L1625">
        <v>4</v>
      </c>
      <c r="M1625">
        <v>10.79</v>
      </c>
      <c r="N1625">
        <v>1</v>
      </c>
      <c r="O1625" t="str">
        <f>IF(financial_fraud_data[[#This Row],[Risk_Score]]&gt;8,"High",IF(financial_fraud_data[[#This Row],[Risk_Score]]&gt;5,"Med","Low"))</f>
        <v>High</v>
      </c>
      <c r="P1625" t="str">
        <f>TEXT(financial_fraud_data[[#This Row],[Transaction_Date]],"MMM")</f>
        <v>Mar</v>
      </c>
      <c r="Q1625" t="str">
        <f>IF(financial_fraud_data[[#This Row],[Is_Fraud]]=1,"Yes","No")</f>
        <v>Yes</v>
      </c>
    </row>
    <row r="1626" spans="1:17" x14ac:dyDescent="0.2">
      <c r="A1626" t="s">
        <v>2141</v>
      </c>
      <c r="B1626" t="s">
        <v>699</v>
      </c>
      <c r="C1626" s="1">
        <v>45359.666666666664</v>
      </c>
      <c r="D1626">
        <v>8806.3799999999992</v>
      </c>
      <c r="E1626" t="s">
        <v>16</v>
      </c>
      <c r="F1626" t="s">
        <v>17</v>
      </c>
      <c r="G1626" t="s">
        <v>35</v>
      </c>
      <c r="H1626" t="s">
        <v>19</v>
      </c>
      <c r="I1626" t="s">
        <v>23</v>
      </c>
      <c r="J1626" t="s">
        <v>20</v>
      </c>
      <c r="K1626">
        <v>0</v>
      </c>
      <c r="L1626">
        <v>2</v>
      </c>
      <c r="M1626">
        <v>4.88</v>
      </c>
      <c r="N1626">
        <v>0</v>
      </c>
      <c r="O1626" t="str">
        <f>IF(financial_fraud_data[[#This Row],[Risk_Score]]&gt;8,"High",IF(financial_fraud_data[[#This Row],[Risk_Score]]&gt;5,"Med","Low"))</f>
        <v>Low</v>
      </c>
      <c r="P1626" t="str">
        <f>TEXT(financial_fraud_data[[#This Row],[Transaction_Date]],"MMM")</f>
        <v>Mar</v>
      </c>
      <c r="Q1626" t="str">
        <f>IF(financial_fraud_data[[#This Row],[Is_Fraud]]=1,"Yes","No")</f>
        <v>No</v>
      </c>
    </row>
    <row r="1627" spans="1:17" x14ac:dyDescent="0.2">
      <c r="A1627" t="s">
        <v>2142</v>
      </c>
      <c r="B1627" t="s">
        <v>930</v>
      </c>
      <c r="C1627" s="1">
        <v>45359.708333333336</v>
      </c>
      <c r="D1627">
        <v>34515.74</v>
      </c>
      <c r="E1627" t="s">
        <v>34</v>
      </c>
      <c r="F1627" t="s">
        <v>27</v>
      </c>
      <c r="G1627" t="s">
        <v>65</v>
      </c>
      <c r="H1627" t="s">
        <v>19</v>
      </c>
      <c r="I1627" t="s">
        <v>24</v>
      </c>
      <c r="J1627" t="s">
        <v>37</v>
      </c>
      <c r="K1627">
        <v>0</v>
      </c>
      <c r="L1627">
        <v>0</v>
      </c>
      <c r="M1627">
        <v>4.45</v>
      </c>
      <c r="N1627">
        <v>0</v>
      </c>
      <c r="O1627" t="str">
        <f>IF(financial_fraud_data[[#This Row],[Risk_Score]]&gt;8,"High",IF(financial_fraud_data[[#This Row],[Risk_Score]]&gt;5,"Med","Low"))</f>
        <v>Low</v>
      </c>
      <c r="P1627" t="str">
        <f>TEXT(financial_fraud_data[[#This Row],[Transaction_Date]],"MMM")</f>
        <v>Mar</v>
      </c>
      <c r="Q1627" t="str">
        <f>IF(financial_fraud_data[[#This Row],[Is_Fraud]]=1,"Yes","No")</f>
        <v>No</v>
      </c>
    </row>
    <row r="1628" spans="1:17" x14ac:dyDescent="0.2">
      <c r="A1628" t="s">
        <v>2143</v>
      </c>
      <c r="B1628" t="s">
        <v>322</v>
      </c>
      <c r="C1628" s="1">
        <v>45359.75</v>
      </c>
      <c r="D1628">
        <v>10086.64</v>
      </c>
      <c r="E1628" t="s">
        <v>16</v>
      </c>
      <c r="F1628" t="s">
        <v>17</v>
      </c>
      <c r="G1628" t="s">
        <v>56</v>
      </c>
      <c r="H1628" t="s">
        <v>36</v>
      </c>
      <c r="I1628" t="s">
        <v>24</v>
      </c>
      <c r="J1628" t="s">
        <v>51</v>
      </c>
      <c r="K1628">
        <v>0</v>
      </c>
      <c r="L1628">
        <v>3</v>
      </c>
      <c r="M1628">
        <v>6.51</v>
      </c>
      <c r="N1628">
        <v>1</v>
      </c>
      <c r="O1628" t="str">
        <f>IF(financial_fraud_data[[#This Row],[Risk_Score]]&gt;8,"High",IF(financial_fraud_data[[#This Row],[Risk_Score]]&gt;5,"Med","Low"))</f>
        <v>Med</v>
      </c>
      <c r="P1628" t="str">
        <f>TEXT(financial_fraud_data[[#This Row],[Transaction_Date]],"MMM")</f>
        <v>Mar</v>
      </c>
      <c r="Q1628" t="str">
        <f>IF(financial_fraud_data[[#This Row],[Is_Fraud]]=1,"Yes","No")</f>
        <v>Yes</v>
      </c>
    </row>
    <row r="1629" spans="1:17" x14ac:dyDescent="0.2">
      <c r="A1629" t="s">
        <v>2144</v>
      </c>
      <c r="B1629" t="s">
        <v>425</v>
      </c>
      <c r="C1629" s="1">
        <v>45359.791666666664</v>
      </c>
      <c r="D1629">
        <v>26814.59</v>
      </c>
      <c r="E1629" t="s">
        <v>80</v>
      </c>
      <c r="F1629" t="s">
        <v>27</v>
      </c>
      <c r="G1629" t="s">
        <v>56</v>
      </c>
      <c r="H1629" t="s">
        <v>36</v>
      </c>
      <c r="I1629" t="s">
        <v>29</v>
      </c>
      <c r="J1629" t="s">
        <v>20</v>
      </c>
      <c r="K1629">
        <v>0</v>
      </c>
      <c r="L1629">
        <v>0</v>
      </c>
      <c r="M1629">
        <v>3.68</v>
      </c>
      <c r="N1629">
        <v>0</v>
      </c>
      <c r="O1629" t="str">
        <f>IF(financial_fraud_data[[#This Row],[Risk_Score]]&gt;8,"High",IF(financial_fraud_data[[#This Row],[Risk_Score]]&gt;5,"Med","Low"))</f>
        <v>Low</v>
      </c>
      <c r="P1629" t="str">
        <f>TEXT(financial_fraud_data[[#This Row],[Transaction_Date]],"MMM")</f>
        <v>Mar</v>
      </c>
      <c r="Q1629" t="str">
        <f>IF(financial_fraud_data[[#This Row],[Is_Fraud]]=1,"Yes","No")</f>
        <v>No</v>
      </c>
    </row>
    <row r="1630" spans="1:17" x14ac:dyDescent="0.2">
      <c r="A1630" t="s">
        <v>2145</v>
      </c>
      <c r="B1630" t="s">
        <v>455</v>
      </c>
      <c r="C1630" s="1">
        <v>45359.833333333336</v>
      </c>
      <c r="D1630">
        <v>4878.99</v>
      </c>
      <c r="E1630" t="s">
        <v>16</v>
      </c>
      <c r="F1630" t="s">
        <v>50</v>
      </c>
      <c r="G1630" t="s">
        <v>28</v>
      </c>
      <c r="H1630" t="s">
        <v>29</v>
      </c>
      <c r="I1630" t="s">
        <v>29</v>
      </c>
      <c r="J1630" t="s">
        <v>51</v>
      </c>
      <c r="K1630">
        <v>0</v>
      </c>
      <c r="L1630">
        <v>0</v>
      </c>
      <c r="M1630">
        <v>0.49</v>
      </c>
      <c r="N1630">
        <v>0</v>
      </c>
      <c r="O1630" t="str">
        <f>IF(financial_fraud_data[[#This Row],[Risk_Score]]&gt;8,"High",IF(financial_fraud_data[[#This Row],[Risk_Score]]&gt;5,"Med","Low"))</f>
        <v>Low</v>
      </c>
      <c r="P1630" t="str">
        <f>TEXT(financial_fraud_data[[#This Row],[Transaction_Date]],"MMM")</f>
        <v>Mar</v>
      </c>
      <c r="Q1630" t="str">
        <f>IF(financial_fraud_data[[#This Row],[Is_Fraud]]=1,"Yes","No")</f>
        <v>No</v>
      </c>
    </row>
    <row r="1631" spans="1:17" x14ac:dyDescent="0.2">
      <c r="A1631" t="s">
        <v>2146</v>
      </c>
      <c r="B1631" t="s">
        <v>133</v>
      </c>
      <c r="C1631" s="1">
        <v>45359.875</v>
      </c>
      <c r="D1631">
        <v>22546.03</v>
      </c>
      <c r="E1631" t="s">
        <v>80</v>
      </c>
      <c r="F1631" t="s">
        <v>17</v>
      </c>
      <c r="G1631" t="s">
        <v>35</v>
      </c>
      <c r="H1631" t="s">
        <v>29</v>
      </c>
      <c r="I1631" t="s">
        <v>36</v>
      </c>
      <c r="J1631" t="s">
        <v>37</v>
      </c>
      <c r="K1631">
        <v>0</v>
      </c>
      <c r="L1631">
        <v>4</v>
      </c>
      <c r="M1631">
        <v>9.25</v>
      </c>
      <c r="N1631">
        <v>1</v>
      </c>
      <c r="O1631" t="str">
        <f>IF(financial_fraud_data[[#This Row],[Risk_Score]]&gt;8,"High",IF(financial_fraud_data[[#This Row],[Risk_Score]]&gt;5,"Med","Low"))</f>
        <v>High</v>
      </c>
      <c r="P1631" t="str">
        <f>TEXT(financial_fraud_data[[#This Row],[Transaction_Date]],"MMM")</f>
        <v>Mar</v>
      </c>
      <c r="Q1631" t="str">
        <f>IF(financial_fraud_data[[#This Row],[Is_Fraud]]=1,"Yes","No")</f>
        <v>Yes</v>
      </c>
    </row>
    <row r="1632" spans="1:17" x14ac:dyDescent="0.2">
      <c r="A1632" t="s">
        <v>2147</v>
      </c>
      <c r="B1632" t="s">
        <v>339</v>
      </c>
      <c r="C1632" s="1">
        <v>45359.916666666664</v>
      </c>
      <c r="D1632">
        <v>37820.36</v>
      </c>
      <c r="E1632" t="s">
        <v>80</v>
      </c>
      <c r="F1632" t="s">
        <v>47</v>
      </c>
      <c r="G1632" t="s">
        <v>28</v>
      </c>
      <c r="H1632" t="s">
        <v>29</v>
      </c>
      <c r="I1632" t="s">
        <v>24</v>
      </c>
      <c r="J1632" t="s">
        <v>51</v>
      </c>
      <c r="K1632">
        <v>0</v>
      </c>
      <c r="L1632">
        <v>1</v>
      </c>
      <c r="M1632">
        <v>6.28</v>
      </c>
      <c r="N1632">
        <v>1</v>
      </c>
      <c r="O1632" t="str">
        <f>IF(financial_fraud_data[[#This Row],[Risk_Score]]&gt;8,"High",IF(financial_fraud_data[[#This Row],[Risk_Score]]&gt;5,"Med","Low"))</f>
        <v>Med</v>
      </c>
      <c r="P1632" t="str">
        <f>TEXT(financial_fraud_data[[#This Row],[Transaction_Date]],"MMM")</f>
        <v>Mar</v>
      </c>
      <c r="Q1632" t="str">
        <f>IF(financial_fraud_data[[#This Row],[Is_Fraud]]=1,"Yes","No")</f>
        <v>Yes</v>
      </c>
    </row>
    <row r="1633" spans="1:17" x14ac:dyDescent="0.2">
      <c r="A1633" t="s">
        <v>2148</v>
      </c>
      <c r="B1633" t="s">
        <v>62</v>
      </c>
      <c r="C1633" s="1">
        <v>45359.958333333336</v>
      </c>
      <c r="D1633">
        <v>17411.2</v>
      </c>
      <c r="E1633" t="s">
        <v>34</v>
      </c>
      <c r="F1633" t="s">
        <v>50</v>
      </c>
      <c r="G1633" t="s">
        <v>65</v>
      </c>
      <c r="H1633" t="s">
        <v>29</v>
      </c>
      <c r="I1633" t="s">
        <v>36</v>
      </c>
      <c r="J1633" t="s">
        <v>51</v>
      </c>
      <c r="K1633">
        <v>1</v>
      </c>
      <c r="L1633">
        <v>0</v>
      </c>
      <c r="M1633">
        <v>4.74</v>
      </c>
      <c r="N1633">
        <v>0</v>
      </c>
      <c r="O1633" t="str">
        <f>IF(financial_fraud_data[[#This Row],[Risk_Score]]&gt;8,"High",IF(financial_fraud_data[[#This Row],[Risk_Score]]&gt;5,"Med","Low"))</f>
        <v>Low</v>
      </c>
      <c r="P1633" t="str">
        <f>TEXT(financial_fraud_data[[#This Row],[Transaction_Date]],"MMM")</f>
        <v>Mar</v>
      </c>
      <c r="Q1633" t="str">
        <f>IF(financial_fraud_data[[#This Row],[Is_Fraud]]=1,"Yes","No")</f>
        <v>No</v>
      </c>
    </row>
    <row r="1634" spans="1:17" x14ac:dyDescent="0.2">
      <c r="A1634" t="s">
        <v>2149</v>
      </c>
      <c r="B1634" t="s">
        <v>439</v>
      </c>
      <c r="C1634" s="1">
        <v>45360</v>
      </c>
      <c r="D1634">
        <v>33262.339999999997</v>
      </c>
      <c r="E1634" t="s">
        <v>42</v>
      </c>
      <c r="F1634" t="s">
        <v>47</v>
      </c>
      <c r="G1634" t="s">
        <v>28</v>
      </c>
      <c r="H1634" t="s">
        <v>24</v>
      </c>
      <c r="I1634" t="s">
        <v>19</v>
      </c>
      <c r="J1634" t="s">
        <v>37</v>
      </c>
      <c r="K1634">
        <v>0</v>
      </c>
      <c r="L1634">
        <v>4</v>
      </c>
      <c r="M1634">
        <v>10.33</v>
      </c>
      <c r="N1634">
        <v>1</v>
      </c>
      <c r="O1634" t="str">
        <f>IF(financial_fraud_data[[#This Row],[Risk_Score]]&gt;8,"High",IF(financial_fraud_data[[#This Row],[Risk_Score]]&gt;5,"Med","Low"))</f>
        <v>High</v>
      </c>
      <c r="P1634" t="str">
        <f>TEXT(financial_fraud_data[[#This Row],[Transaction_Date]],"MMM")</f>
        <v>Mar</v>
      </c>
      <c r="Q1634" t="str">
        <f>IF(financial_fraud_data[[#This Row],[Is_Fraud]]=1,"Yes","No")</f>
        <v>Yes</v>
      </c>
    </row>
    <row r="1635" spans="1:17" x14ac:dyDescent="0.2">
      <c r="A1635" t="s">
        <v>2150</v>
      </c>
      <c r="B1635" t="s">
        <v>1345</v>
      </c>
      <c r="C1635" s="1">
        <v>45360.041666666664</v>
      </c>
      <c r="D1635">
        <v>39782.730000000003</v>
      </c>
      <c r="E1635" t="s">
        <v>42</v>
      </c>
      <c r="F1635" t="s">
        <v>27</v>
      </c>
      <c r="G1635" t="s">
        <v>35</v>
      </c>
      <c r="H1635" t="s">
        <v>24</v>
      </c>
      <c r="I1635" t="s">
        <v>24</v>
      </c>
      <c r="J1635" t="s">
        <v>20</v>
      </c>
      <c r="K1635">
        <v>1</v>
      </c>
      <c r="L1635">
        <v>3</v>
      </c>
      <c r="M1635">
        <v>10.48</v>
      </c>
      <c r="N1635">
        <v>1</v>
      </c>
      <c r="O1635" t="str">
        <f>IF(financial_fraud_data[[#This Row],[Risk_Score]]&gt;8,"High",IF(financial_fraud_data[[#This Row],[Risk_Score]]&gt;5,"Med","Low"))</f>
        <v>High</v>
      </c>
      <c r="P1635" t="str">
        <f>TEXT(financial_fraud_data[[#This Row],[Transaction_Date]],"MMM")</f>
        <v>Mar</v>
      </c>
      <c r="Q1635" t="str">
        <f>IF(financial_fraud_data[[#This Row],[Is_Fraud]]=1,"Yes","No")</f>
        <v>Yes</v>
      </c>
    </row>
    <row r="1636" spans="1:17" x14ac:dyDescent="0.2">
      <c r="A1636" t="s">
        <v>2151</v>
      </c>
      <c r="B1636" t="s">
        <v>901</v>
      </c>
      <c r="C1636" s="1">
        <v>45360.083333333336</v>
      </c>
      <c r="D1636">
        <v>46362.53</v>
      </c>
      <c r="E1636" t="s">
        <v>34</v>
      </c>
      <c r="F1636" t="s">
        <v>27</v>
      </c>
      <c r="G1636" t="s">
        <v>18</v>
      </c>
      <c r="H1636" t="s">
        <v>29</v>
      </c>
      <c r="I1636" t="s">
        <v>19</v>
      </c>
      <c r="J1636" t="s">
        <v>51</v>
      </c>
      <c r="K1636">
        <v>0</v>
      </c>
      <c r="L1636">
        <v>4</v>
      </c>
      <c r="M1636">
        <v>11.64</v>
      </c>
      <c r="N1636">
        <v>1</v>
      </c>
      <c r="O1636" t="str">
        <f>IF(financial_fraud_data[[#This Row],[Risk_Score]]&gt;8,"High",IF(financial_fraud_data[[#This Row],[Risk_Score]]&gt;5,"Med","Low"))</f>
        <v>High</v>
      </c>
      <c r="P1636" t="str">
        <f>TEXT(financial_fraud_data[[#This Row],[Transaction_Date]],"MMM")</f>
        <v>Mar</v>
      </c>
      <c r="Q1636" t="str">
        <f>IF(financial_fraud_data[[#This Row],[Is_Fraud]]=1,"Yes","No")</f>
        <v>Yes</v>
      </c>
    </row>
    <row r="1637" spans="1:17" x14ac:dyDescent="0.2">
      <c r="A1637" t="s">
        <v>2152</v>
      </c>
      <c r="B1637" t="s">
        <v>407</v>
      </c>
      <c r="C1637" s="1">
        <v>45360.125</v>
      </c>
      <c r="D1637">
        <v>11770.37</v>
      </c>
      <c r="E1637" t="s">
        <v>16</v>
      </c>
      <c r="F1637" t="s">
        <v>47</v>
      </c>
      <c r="G1637" t="s">
        <v>18</v>
      </c>
      <c r="H1637" t="s">
        <v>29</v>
      </c>
      <c r="I1637" t="s">
        <v>23</v>
      </c>
      <c r="J1637" t="s">
        <v>51</v>
      </c>
      <c r="K1637">
        <v>0</v>
      </c>
      <c r="L1637">
        <v>4</v>
      </c>
      <c r="M1637">
        <v>8.18</v>
      </c>
      <c r="N1637">
        <v>1</v>
      </c>
      <c r="O1637" t="str">
        <f>IF(financial_fraud_data[[#This Row],[Risk_Score]]&gt;8,"High",IF(financial_fraud_data[[#This Row],[Risk_Score]]&gt;5,"Med","Low"))</f>
        <v>High</v>
      </c>
      <c r="P1637" t="str">
        <f>TEXT(financial_fraud_data[[#This Row],[Transaction_Date]],"MMM")</f>
        <v>Mar</v>
      </c>
      <c r="Q1637" t="str">
        <f>IF(financial_fraud_data[[#This Row],[Is_Fraud]]=1,"Yes","No")</f>
        <v>Yes</v>
      </c>
    </row>
    <row r="1638" spans="1:17" x14ac:dyDescent="0.2">
      <c r="A1638" t="s">
        <v>2153</v>
      </c>
      <c r="B1638" t="s">
        <v>365</v>
      </c>
      <c r="C1638" s="1">
        <v>45360.166666666664</v>
      </c>
      <c r="D1638">
        <v>19995.830000000002</v>
      </c>
      <c r="E1638" t="s">
        <v>34</v>
      </c>
      <c r="F1638" t="s">
        <v>47</v>
      </c>
      <c r="G1638" t="s">
        <v>65</v>
      </c>
      <c r="H1638" t="s">
        <v>23</v>
      </c>
      <c r="I1638" t="s">
        <v>36</v>
      </c>
      <c r="J1638" t="s">
        <v>20</v>
      </c>
      <c r="K1638">
        <v>0</v>
      </c>
      <c r="L1638">
        <v>2</v>
      </c>
      <c r="M1638">
        <v>6</v>
      </c>
      <c r="N1638">
        <v>1</v>
      </c>
      <c r="O1638" t="str">
        <f>IF(financial_fraud_data[[#This Row],[Risk_Score]]&gt;8,"High",IF(financial_fraud_data[[#This Row],[Risk_Score]]&gt;5,"Med","Low"))</f>
        <v>Med</v>
      </c>
      <c r="P1638" t="str">
        <f>TEXT(financial_fraud_data[[#This Row],[Transaction_Date]],"MMM")</f>
        <v>Mar</v>
      </c>
      <c r="Q1638" t="str">
        <f>IF(financial_fraud_data[[#This Row],[Is_Fraud]]=1,"Yes","No")</f>
        <v>Yes</v>
      </c>
    </row>
    <row r="1639" spans="1:17" x14ac:dyDescent="0.2">
      <c r="A1639" t="s">
        <v>2154</v>
      </c>
      <c r="B1639" t="s">
        <v>457</v>
      </c>
      <c r="C1639" s="1">
        <v>45360.208333333336</v>
      </c>
      <c r="D1639">
        <v>7663.18</v>
      </c>
      <c r="E1639" t="s">
        <v>80</v>
      </c>
      <c r="F1639" t="s">
        <v>50</v>
      </c>
      <c r="G1639" t="s">
        <v>18</v>
      </c>
      <c r="H1639" t="s">
        <v>24</v>
      </c>
      <c r="I1639" t="s">
        <v>29</v>
      </c>
      <c r="J1639" t="s">
        <v>20</v>
      </c>
      <c r="K1639">
        <v>0</v>
      </c>
      <c r="L1639">
        <v>1</v>
      </c>
      <c r="M1639">
        <v>3.27</v>
      </c>
      <c r="N1639">
        <v>0</v>
      </c>
      <c r="O1639" t="str">
        <f>IF(financial_fraud_data[[#This Row],[Risk_Score]]&gt;8,"High",IF(financial_fraud_data[[#This Row],[Risk_Score]]&gt;5,"Med","Low"))</f>
        <v>Low</v>
      </c>
      <c r="P1639" t="str">
        <f>TEXT(financial_fraud_data[[#This Row],[Transaction_Date]],"MMM")</f>
        <v>Mar</v>
      </c>
      <c r="Q1639" t="str">
        <f>IF(financial_fraud_data[[#This Row],[Is_Fraud]]=1,"Yes","No")</f>
        <v>No</v>
      </c>
    </row>
    <row r="1640" spans="1:17" x14ac:dyDescent="0.2">
      <c r="A1640" t="s">
        <v>2155</v>
      </c>
      <c r="B1640" t="s">
        <v>257</v>
      </c>
      <c r="C1640" s="1">
        <v>45360.25</v>
      </c>
      <c r="D1640">
        <v>49624.55</v>
      </c>
      <c r="E1640" t="s">
        <v>42</v>
      </c>
      <c r="F1640" t="s">
        <v>47</v>
      </c>
      <c r="G1640" t="s">
        <v>28</v>
      </c>
      <c r="H1640" t="s">
        <v>23</v>
      </c>
      <c r="I1640" t="s">
        <v>24</v>
      </c>
      <c r="J1640" t="s">
        <v>51</v>
      </c>
      <c r="K1640">
        <v>0</v>
      </c>
      <c r="L1640">
        <v>1</v>
      </c>
      <c r="M1640">
        <v>7.46</v>
      </c>
      <c r="N1640">
        <v>1</v>
      </c>
      <c r="O1640" t="str">
        <f>IF(financial_fraud_data[[#This Row],[Risk_Score]]&gt;8,"High",IF(financial_fraud_data[[#This Row],[Risk_Score]]&gt;5,"Med","Low"))</f>
        <v>Med</v>
      </c>
      <c r="P1640" t="str">
        <f>TEXT(financial_fraud_data[[#This Row],[Transaction_Date]],"MMM")</f>
        <v>Mar</v>
      </c>
      <c r="Q1640" t="str">
        <f>IF(financial_fraud_data[[#This Row],[Is_Fraud]]=1,"Yes","No")</f>
        <v>Yes</v>
      </c>
    </row>
    <row r="1641" spans="1:17" x14ac:dyDescent="0.2">
      <c r="A1641" t="s">
        <v>2156</v>
      </c>
      <c r="B1641" t="s">
        <v>1671</v>
      </c>
      <c r="C1641" s="1">
        <v>45360.291666666664</v>
      </c>
      <c r="D1641">
        <v>46353.7</v>
      </c>
      <c r="E1641" t="s">
        <v>34</v>
      </c>
      <c r="F1641" t="s">
        <v>17</v>
      </c>
      <c r="G1641" t="s">
        <v>65</v>
      </c>
      <c r="H1641" t="s">
        <v>23</v>
      </c>
      <c r="I1641" t="s">
        <v>36</v>
      </c>
      <c r="J1641" t="s">
        <v>37</v>
      </c>
      <c r="K1641">
        <v>0</v>
      </c>
      <c r="L1641">
        <v>3</v>
      </c>
      <c r="M1641">
        <v>10.14</v>
      </c>
      <c r="N1641">
        <v>1</v>
      </c>
      <c r="O1641" t="str">
        <f>IF(financial_fraud_data[[#This Row],[Risk_Score]]&gt;8,"High",IF(financial_fraud_data[[#This Row],[Risk_Score]]&gt;5,"Med","Low"))</f>
        <v>High</v>
      </c>
      <c r="P1641" t="str">
        <f>TEXT(financial_fraud_data[[#This Row],[Transaction_Date]],"MMM")</f>
        <v>Mar</v>
      </c>
      <c r="Q1641" t="str">
        <f>IF(financial_fraud_data[[#This Row],[Is_Fraud]]=1,"Yes","No")</f>
        <v>Yes</v>
      </c>
    </row>
    <row r="1642" spans="1:17" x14ac:dyDescent="0.2">
      <c r="A1642" t="s">
        <v>2157</v>
      </c>
      <c r="B1642" t="s">
        <v>380</v>
      </c>
      <c r="C1642" s="1">
        <v>45360.333333333336</v>
      </c>
      <c r="D1642">
        <v>27020.86</v>
      </c>
      <c r="E1642" t="s">
        <v>16</v>
      </c>
      <c r="F1642" t="s">
        <v>17</v>
      </c>
      <c r="G1642" t="s">
        <v>35</v>
      </c>
      <c r="H1642" t="s">
        <v>19</v>
      </c>
      <c r="I1642" t="s">
        <v>29</v>
      </c>
      <c r="J1642" t="s">
        <v>20</v>
      </c>
      <c r="K1642">
        <v>0</v>
      </c>
      <c r="L1642">
        <v>4</v>
      </c>
      <c r="M1642">
        <v>9.6999999999999993</v>
      </c>
      <c r="N1642">
        <v>1</v>
      </c>
      <c r="O1642" t="str">
        <f>IF(financial_fraud_data[[#This Row],[Risk_Score]]&gt;8,"High",IF(financial_fraud_data[[#This Row],[Risk_Score]]&gt;5,"Med","Low"))</f>
        <v>High</v>
      </c>
      <c r="P1642" t="str">
        <f>TEXT(financial_fraud_data[[#This Row],[Transaction_Date]],"MMM")</f>
        <v>Mar</v>
      </c>
      <c r="Q1642" t="str">
        <f>IF(financial_fraud_data[[#This Row],[Is_Fraud]]=1,"Yes","No")</f>
        <v>Yes</v>
      </c>
    </row>
    <row r="1643" spans="1:17" x14ac:dyDescent="0.2">
      <c r="A1643" t="s">
        <v>2158</v>
      </c>
      <c r="B1643" t="s">
        <v>746</v>
      </c>
      <c r="C1643" s="1">
        <v>45360.375</v>
      </c>
      <c r="D1643">
        <v>42109.56</v>
      </c>
      <c r="E1643" t="s">
        <v>34</v>
      </c>
      <c r="F1643" t="s">
        <v>47</v>
      </c>
      <c r="G1643" t="s">
        <v>65</v>
      </c>
      <c r="H1643" t="s">
        <v>36</v>
      </c>
      <c r="I1643" t="s">
        <v>23</v>
      </c>
      <c r="J1643" t="s">
        <v>20</v>
      </c>
      <c r="K1643">
        <v>0</v>
      </c>
      <c r="L1643">
        <v>3</v>
      </c>
      <c r="M1643">
        <v>9.7100000000000009</v>
      </c>
      <c r="N1643">
        <v>1</v>
      </c>
      <c r="O1643" t="str">
        <f>IF(financial_fraud_data[[#This Row],[Risk_Score]]&gt;8,"High",IF(financial_fraud_data[[#This Row],[Risk_Score]]&gt;5,"Med","Low"))</f>
        <v>High</v>
      </c>
      <c r="P1643" t="str">
        <f>TEXT(financial_fraud_data[[#This Row],[Transaction_Date]],"MMM")</f>
        <v>Mar</v>
      </c>
      <c r="Q1643" t="str">
        <f>IF(financial_fraud_data[[#This Row],[Is_Fraud]]=1,"Yes","No")</f>
        <v>Yes</v>
      </c>
    </row>
    <row r="1644" spans="1:17" x14ac:dyDescent="0.2">
      <c r="A1644" t="s">
        <v>2159</v>
      </c>
      <c r="B1644" t="s">
        <v>162</v>
      </c>
      <c r="C1644" s="1">
        <v>45360.416666666664</v>
      </c>
      <c r="D1644">
        <v>26071.85</v>
      </c>
      <c r="E1644" t="s">
        <v>42</v>
      </c>
      <c r="F1644" t="s">
        <v>17</v>
      </c>
      <c r="G1644" t="s">
        <v>65</v>
      </c>
      <c r="H1644" t="s">
        <v>24</v>
      </c>
      <c r="I1644" t="s">
        <v>24</v>
      </c>
      <c r="J1644" t="s">
        <v>37</v>
      </c>
      <c r="K1644">
        <v>0</v>
      </c>
      <c r="L1644">
        <v>3</v>
      </c>
      <c r="M1644">
        <v>7.11</v>
      </c>
      <c r="N1644">
        <v>1</v>
      </c>
      <c r="O1644" t="str">
        <f>IF(financial_fraud_data[[#This Row],[Risk_Score]]&gt;8,"High",IF(financial_fraud_data[[#This Row],[Risk_Score]]&gt;5,"Med","Low"))</f>
        <v>Med</v>
      </c>
      <c r="P1644" t="str">
        <f>TEXT(financial_fraud_data[[#This Row],[Transaction_Date]],"MMM")</f>
        <v>Mar</v>
      </c>
      <c r="Q1644" t="str">
        <f>IF(financial_fraud_data[[#This Row],[Is_Fraud]]=1,"Yes","No")</f>
        <v>Yes</v>
      </c>
    </row>
    <row r="1645" spans="1:17" x14ac:dyDescent="0.2">
      <c r="A1645" t="s">
        <v>2160</v>
      </c>
      <c r="B1645" t="s">
        <v>186</v>
      </c>
      <c r="C1645" s="1">
        <v>45360.458333333336</v>
      </c>
      <c r="D1645">
        <v>31198.11</v>
      </c>
      <c r="E1645" t="s">
        <v>34</v>
      </c>
      <c r="F1645" t="s">
        <v>47</v>
      </c>
      <c r="G1645" t="s">
        <v>56</v>
      </c>
      <c r="H1645" t="s">
        <v>29</v>
      </c>
      <c r="I1645" t="s">
        <v>19</v>
      </c>
      <c r="J1645" t="s">
        <v>51</v>
      </c>
      <c r="K1645">
        <v>0</v>
      </c>
      <c r="L1645">
        <v>1</v>
      </c>
      <c r="M1645">
        <v>5.62</v>
      </c>
      <c r="N1645">
        <v>1</v>
      </c>
      <c r="O1645" t="str">
        <f>IF(financial_fraud_data[[#This Row],[Risk_Score]]&gt;8,"High",IF(financial_fraud_data[[#This Row],[Risk_Score]]&gt;5,"Med","Low"))</f>
        <v>Med</v>
      </c>
      <c r="P1645" t="str">
        <f>TEXT(financial_fraud_data[[#This Row],[Transaction_Date]],"MMM")</f>
        <v>Mar</v>
      </c>
      <c r="Q1645" t="str">
        <f>IF(financial_fraud_data[[#This Row],[Is_Fraud]]=1,"Yes","No")</f>
        <v>Yes</v>
      </c>
    </row>
    <row r="1646" spans="1:17" x14ac:dyDescent="0.2">
      <c r="A1646" t="s">
        <v>2161</v>
      </c>
      <c r="B1646" t="s">
        <v>433</v>
      </c>
      <c r="C1646" s="1">
        <v>45360.5</v>
      </c>
      <c r="D1646">
        <v>4501.7700000000004</v>
      </c>
      <c r="E1646" t="s">
        <v>34</v>
      </c>
      <c r="F1646" t="s">
        <v>50</v>
      </c>
      <c r="G1646" t="s">
        <v>56</v>
      </c>
      <c r="H1646" t="s">
        <v>29</v>
      </c>
      <c r="I1646" t="s">
        <v>23</v>
      </c>
      <c r="J1646" t="s">
        <v>20</v>
      </c>
      <c r="K1646">
        <v>0</v>
      </c>
      <c r="L1646">
        <v>1</v>
      </c>
      <c r="M1646">
        <v>2.95</v>
      </c>
      <c r="N1646">
        <v>0</v>
      </c>
      <c r="O1646" t="str">
        <f>IF(financial_fraud_data[[#This Row],[Risk_Score]]&gt;8,"High",IF(financial_fraud_data[[#This Row],[Risk_Score]]&gt;5,"Med","Low"))</f>
        <v>Low</v>
      </c>
      <c r="P1646" t="str">
        <f>TEXT(financial_fraud_data[[#This Row],[Transaction_Date]],"MMM")</f>
        <v>Mar</v>
      </c>
      <c r="Q1646" t="str">
        <f>IF(financial_fraud_data[[#This Row],[Is_Fraud]]=1,"Yes","No")</f>
        <v>No</v>
      </c>
    </row>
    <row r="1647" spans="1:17" x14ac:dyDescent="0.2">
      <c r="A1647" t="s">
        <v>2162</v>
      </c>
      <c r="B1647" t="s">
        <v>989</v>
      </c>
      <c r="C1647" s="1">
        <v>45360.541666666664</v>
      </c>
      <c r="D1647">
        <v>37775.760000000002</v>
      </c>
      <c r="E1647" t="s">
        <v>42</v>
      </c>
      <c r="F1647" t="s">
        <v>17</v>
      </c>
      <c r="G1647" t="s">
        <v>65</v>
      </c>
      <c r="H1647" t="s">
        <v>36</v>
      </c>
      <c r="I1647" t="s">
        <v>29</v>
      </c>
      <c r="J1647" t="s">
        <v>51</v>
      </c>
      <c r="K1647">
        <v>1</v>
      </c>
      <c r="L1647">
        <v>1</v>
      </c>
      <c r="M1647">
        <v>8.2799999999999994</v>
      </c>
      <c r="N1647">
        <v>1</v>
      </c>
      <c r="O1647" t="str">
        <f>IF(financial_fraud_data[[#This Row],[Risk_Score]]&gt;8,"High",IF(financial_fraud_data[[#This Row],[Risk_Score]]&gt;5,"Med","Low"))</f>
        <v>High</v>
      </c>
      <c r="P1647" t="str">
        <f>TEXT(financial_fraud_data[[#This Row],[Transaction_Date]],"MMM")</f>
        <v>Mar</v>
      </c>
      <c r="Q1647" t="str">
        <f>IF(financial_fraud_data[[#This Row],[Is_Fraud]]=1,"Yes","No")</f>
        <v>Yes</v>
      </c>
    </row>
    <row r="1648" spans="1:17" x14ac:dyDescent="0.2">
      <c r="A1648" t="s">
        <v>2163</v>
      </c>
      <c r="B1648" t="s">
        <v>383</v>
      </c>
      <c r="C1648" s="1">
        <v>45360.583333333336</v>
      </c>
      <c r="D1648">
        <v>6429.29</v>
      </c>
      <c r="E1648" t="s">
        <v>80</v>
      </c>
      <c r="F1648" t="s">
        <v>17</v>
      </c>
      <c r="G1648" t="s">
        <v>18</v>
      </c>
      <c r="H1648" t="s">
        <v>24</v>
      </c>
      <c r="I1648" t="s">
        <v>24</v>
      </c>
      <c r="J1648" t="s">
        <v>51</v>
      </c>
      <c r="K1648">
        <v>0</v>
      </c>
      <c r="L1648">
        <v>0</v>
      </c>
      <c r="M1648">
        <v>0.64</v>
      </c>
      <c r="N1648">
        <v>0</v>
      </c>
      <c r="O1648" t="str">
        <f>IF(financial_fraud_data[[#This Row],[Risk_Score]]&gt;8,"High",IF(financial_fraud_data[[#This Row],[Risk_Score]]&gt;5,"Med","Low"))</f>
        <v>Low</v>
      </c>
      <c r="P1648" t="str">
        <f>TEXT(financial_fraud_data[[#This Row],[Transaction_Date]],"MMM")</f>
        <v>Mar</v>
      </c>
      <c r="Q1648" t="str">
        <f>IF(financial_fraud_data[[#This Row],[Is_Fraud]]=1,"Yes","No")</f>
        <v>No</v>
      </c>
    </row>
    <row r="1649" spans="1:17" x14ac:dyDescent="0.2">
      <c r="A1649" t="s">
        <v>2164</v>
      </c>
      <c r="B1649" t="s">
        <v>883</v>
      </c>
      <c r="C1649" s="1">
        <v>45360.625</v>
      </c>
      <c r="D1649">
        <v>41312.080000000002</v>
      </c>
      <c r="E1649" t="s">
        <v>80</v>
      </c>
      <c r="F1649" t="s">
        <v>47</v>
      </c>
      <c r="G1649" t="s">
        <v>56</v>
      </c>
      <c r="H1649" t="s">
        <v>29</v>
      </c>
      <c r="I1649" t="s">
        <v>24</v>
      </c>
      <c r="J1649" t="s">
        <v>51</v>
      </c>
      <c r="K1649">
        <v>0</v>
      </c>
      <c r="L1649">
        <v>4</v>
      </c>
      <c r="M1649">
        <v>11.13</v>
      </c>
      <c r="N1649">
        <v>1</v>
      </c>
      <c r="O1649" t="str">
        <f>IF(financial_fraud_data[[#This Row],[Risk_Score]]&gt;8,"High",IF(financial_fraud_data[[#This Row],[Risk_Score]]&gt;5,"Med","Low"))</f>
        <v>High</v>
      </c>
      <c r="P1649" t="str">
        <f>TEXT(financial_fraud_data[[#This Row],[Transaction_Date]],"MMM")</f>
        <v>Mar</v>
      </c>
      <c r="Q1649" t="str">
        <f>IF(financial_fraud_data[[#This Row],[Is_Fraud]]=1,"Yes","No")</f>
        <v>Yes</v>
      </c>
    </row>
    <row r="1650" spans="1:17" x14ac:dyDescent="0.2">
      <c r="A1650" t="s">
        <v>2165</v>
      </c>
      <c r="B1650" t="s">
        <v>742</v>
      </c>
      <c r="C1650" s="1">
        <v>45360.666666666664</v>
      </c>
      <c r="D1650">
        <v>39112.300000000003</v>
      </c>
      <c r="E1650" t="s">
        <v>42</v>
      </c>
      <c r="F1650" t="s">
        <v>17</v>
      </c>
      <c r="G1650" t="s">
        <v>35</v>
      </c>
      <c r="H1650" t="s">
        <v>29</v>
      </c>
      <c r="I1650" t="s">
        <v>23</v>
      </c>
      <c r="J1650" t="s">
        <v>37</v>
      </c>
      <c r="K1650">
        <v>0</v>
      </c>
      <c r="L1650">
        <v>3</v>
      </c>
      <c r="M1650">
        <v>9.41</v>
      </c>
      <c r="N1650">
        <v>1</v>
      </c>
      <c r="O1650" t="str">
        <f>IF(financial_fraud_data[[#This Row],[Risk_Score]]&gt;8,"High",IF(financial_fraud_data[[#This Row],[Risk_Score]]&gt;5,"Med","Low"))</f>
        <v>High</v>
      </c>
      <c r="P1650" t="str">
        <f>TEXT(financial_fraud_data[[#This Row],[Transaction_Date]],"MMM")</f>
        <v>Mar</v>
      </c>
      <c r="Q1650" t="str">
        <f>IF(financial_fraud_data[[#This Row],[Is_Fraud]]=1,"Yes","No")</f>
        <v>Yes</v>
      </c>
    </row>
    <row r="1651" spans="1:17" x14ac:dyDescent="0.2">
      <c r="A1651" t="s">
        <v>2166</v>
      </c>
      <c r="B1651" t="s">
        <v>2167</v>
      </c>
      <c r="C1651" s="1">
        <v>45360.708333333336</v>
      </c>
      <c r="D1651">
        <v>35451.800000000003</v>
      </c>
      <c r="E1651" t="s">
        <v>34</v>
      </c>
      <c r="F1651" t="s">
        <v>27</v>
      </c>
      <c r="G1651" t="s">
        <v>28</v>
      </c>
      <c r="H1651" t="s">
        <v>19</v>
      </c>
      <c r="I1651" t="s">
        <v>24</v>
      </c>
      <c r="J1651" t="s">
        <v>51</v>
      </c>
      <c r="K1651">
        <v>0</v>
      </c>
      <c r="L1651">
        <v>4</v>
      </c>
      <c r="M1651">
        <v>10.55</v>
      </c>
      <c r="N1651">
        <v>1</v>
      </c>
      <c r="O1651" t="str">
        <f>IF(financial_fraud_data[[#This Row],[Risk_Score]]&gt;8,"High",IF(financial_fraud_data[[#This Row],[Risk_Score]]&gt;5,"Med","Low"))</f>
        <v>High</v>
      </c>
      <c r="P1651" t="str">
        <f>TEXT(financial_fraud_data[[#This Row],[Transaction_Date]],"MMM")</f>
        <v>Mar</v>
      </c>
      <c r="Q1651" t="str">
        <f>IF(financial_fraud_data[[#This Row],[Is_Fraud]]=1,"Yes","No")</f>
        <v>Yes</v>
      </c>
    </row>
    <row r="1652" spans="1:17" x14ac:dyDescent="0.2">
      <c r="A1652" t="s">
        <v>2168</v>
      </c>
      <c r="B1652" t="s">
        <v>543</v>
      </c>
      <c r="C1652" s="1">
        <v>45360.75</v>
      </c>
      <c r="D1652">
        <v>1856.21</v>
      </c>
      <c r="E1652" t="s">
        <v>42</v>
      </c>
      <c r="F1652" t="s">
        <v>50</v>
      </c>
      <c r="G1652" t="s">
        <v>56</v>
      </c>
      <c r="H1652" t="s">
        <v>23</v>
      </c>
      <c r="I1652" t="s">
        <v>29</v>
      </c>
      <c r="J1652" t="s">
        <v>51</v>
      </c>
      <c r="K1652">
        <v>0</v>
      </c>
      <c r="L1652">
        <v>3</v>
      </c>
      <c r="M1652">
        <v>5.69</v>
      </c>
      <c r="N1652">
        <v>1</v>
      </c>
      <c r="O1652" t="str">
        <f>IF(financial_fraud_data[[#This Row],[Risk_Score]]&gt;8,"High",IF(financial_fraud_data[[#This Row],[Risk_Score]]&gt;5,"Med","Low"))</f>
        <v>Med</v>
      </c>
      <c r="P1652" t="str">
        <f>TEXT(financial_fraud_data[[#This Row],[Transaction_Date]],"MMM")</f>
        <v>Mar</v>
      </c>
      <c r="Q1652" t="str">
        <f>IF(financial_fraud_data[[#This Row],[Is_Fraud]]=1,"Yes","No")</f>
        <v>Yes</v>
      </c>
    </row>
    <row r="1653" spans="1:17" x14ac:dyDescent="0.2">
      <c r="A1653" t="s">
        <v>2169</v>
      </c>
      <c r="B1653" t="s">
        <v>369</v>
      </c>
      <c r="C1653" s="1">
        <v>45360.791666666664</v>
      </c>
      <c r="D1653">
        <v>15191.26</v>
      </c>
      <c r="E1653" t="s">
        <v>80</v>
      </c>
      <c r="F1653" t="s">
        <v>50</v>
      </c>
      <c r="G1653" t="s">
        <v>65</v>
      </c>
      <c r="H1653" t="s">
        <v>29</v>
      </c>
      <c r="I1653" t="s">
        <v>23</v>
      </c>
      <c r="J1653" t="s">
        <v>20</v>
      </c>
      <c r="K1653">
        <v>0</v>
      </c>
      <c r="L1653">
        <v>3</v>
      </c>
      <c r="M1653">
        <v>7.02</v>
      </c>
      <c r="N1653">
        <v>1</v>
      </c>
      <c r="O1653" t="str">
        <f>IF(financial_fraud_data[[#This Row],[Risk_Score]]&gt;8,"High",IF(financial_fraud_data[[#This Row],[Risk_Score]]&gt;5,"Med","Low"))</f>
        <v>Med</v>
      </c>
      <c r="P1653" t="str">
        <f>TEXT(financial_fraud_data[[#This Row],[Transaction_Date]],"MMM")</f>
        <v>Mar</v>
      </c>
      <c r="Q1653" t="str">
        <f>IF(financial_fraud_data[[#This Row],[Is_Fraud]]=1,"Yes","No")</f>
        <v>Yes</v>
      </c>
    </row>
    <row r="1654" spans="1:17" x14ac:dyDescent="0.2">
      <c r="A1654" t="s">
        <v>2170</v>
      </c>
      <c r="B1654" t="s">
        <v>423</v>
      </c>
      <c r="C1654" s="1">
        <v>45360.833333333336</v>
      </c>
      <c r="D1654">
        <v>13192.47</v>
      </c>
      <c r="E1654" t="s">
        <v>16</v>
      </c>
      <c r="F1654" t="s">
        <v>17</v>
      </c>
      <c r="G1654" t="s">
        <v>18</v>
      </c>
      <c r="H1654" t="s">
        <v>24</v>
      </c>
      <c r="I1654" t="s">
        <v>19</v>
      </c>
      <c r="J1654" t="s">
        <v>20</v>
      </c>
      <c r="K1654">
        <v>1</v>
      </c>
      <c r="L1654">
        <v>3</v>
      </c>
      <c r="M1654">
        <v>8.82</v>
      </c>
      <c r="N1654">
        <v>1</v>
      </c>
      <c r="O1654" t="str">
        <f>IF(financial_fraud_data[[#This Row],[Risk_Score]]&gt;8,"High",IF(financial_fraud_data[[#This Row],[Risk_Score]]&gt;5,"Med","Low"))</f>
        <v>High</v>
      </c>
      <c r="P1654" t="str">
        <f>TEXT(financial_fraud_data[[#This Row],[Transaction_Date]],"MMM")</f>
        <v>Mar</v>
      </c>
      <c r="Q1654" t="str">
        <f>IF(financial_fraud_data[[#This Row],[Is_Fraud]]=1,"Yes","No")</f>
        <v>Yes</v>
      </c>
    </row>
    <row r="1655" spans="1:17" x14ac:dyDescent="0.2">
      <c r="A1655" t="s">
        <v>2171</v>
      </c>
      <c r="B1655" t="s">
        <v>920</v>
      </c>
      <c r="C1655" s="1">
        <v>45360.875</v>
      </c>
      <c r="D1655">
        <v>18038.810000000001</v>
      </c>
      <c r="E1655" t="s">
        <v>34</v>
      </c>
      <c r="F1655" t="s">
        <v>17</v>
      </c>
      <c r="G1655" t="s">
        <v>28</v>
      </c>
      <c r="H1655" t="s">
        <v>36</v>
      </c>
      <c r="I1655" t="s">
        <v>23</v>
      </c>
      <c r="J1655" t="s">
        <v>37</v>
      </c>
      <c r="K1655">
        <v>0</v>
      </c>
      <c r="L1655">
        <v>3</v>
      </c>
      <c r="M1655">
        <v>7.3</v>
      </c>
      <c r="N1655">
        <v>1</v>
      </c>
      <c r="O1655" t="str">
        <f>IF(financial_fraud_data[[#This Row],[Risk_Score]]&gt;8,"High",IF(financial_fraud_data[[#This Row],[Risk_Score]]&gt;5,"Med","Low"))</f>
        <v>Med</v>
      </c>
      <c r="P1655" t="str">
        <f>TEXT(financial_fraud_data[[#This Row],[Transaction_Date]],"MMM")</f>
        <v>Mar</v>
      </c>
      <c r="Q1655" t="str">
        <f>IF(financial_fraud_data[[#This Row],[Is_Fraud]]=1,"Yes","No")</f>
        <v>Yes</v>
      </c>
    </row>
    <row r="1656" spans="1:17" x14ac:dyDescent="0.2">
      <c r="A1656" t="s">
        <v>2172</v>
      </c>
      <c r="B1656" t="s">
        <v>2173</v>
      </c>
      <c r="C1656" s="1">
        <v>45360.916666666664</v>
      </c>
      <c r="D1656">
        <v>4427.76</v>
      </c>
      <c r="E1656" t="s">
        <v>80</v>
      </c>
      <c r="F1656" t="s">
        <v>27</v>
      </c>
      <c r="G1656" t="s">
        <v>56</v>
      </c>
      <c r="H1656" t="s">
        <v>19</v>
      </c>
      <c r="I1656" t="s">
        <v>23</v>
      </c>
      <c r="J1656" t="s">
        <v>37</v>
      </c>
      <c r="K1656">
        <v>0</v>
      </c>
      <c r="L1656">
        <v>2</v>
      </c>
      <c r="M1656">
        <v>4.4400000000000004</v>
      </c>
      <c r="N1656">
        <v>0</v>
      </c>
      <c r="O1656" t="str">
        <f>IF(financial_fraud_data[[#This Row],[Risk_Score]]&gt;8,"High",IF(financial_fraud_data[[#This Row],[Risk_Score]]&gt;5,"Med","Low"))</f>
        <v>Low</v>
      </c>
      <c r="P1656" t="str">
        <f>TEXT(financial_fraud_data[[#This Row],[Transaction_Date]],"MMM")</f>
        <v>Mar</v>
      </c>
      <c r="Q1656" t="str">
        <f>IF(financial_fraud_data[[#This Row],[Is_Fraud]]=1,"Yes","No")</f>
        <v>No</v>
      </c>
    </row>
    <row r="1657" spans="1:17" x14ac:dyDescent="0.2">
      <c r="A1657" t="s">
        <v>2174</v>
      </c>
      <c r="B1657" t="s">
        <v>933</v>
      </c>
      <c r="C1657" s="1">
        <v>45360.958333333336</v>
      </c>
      <c r="D1657">
        <v>46851.040000000001</v>
      </c>
      <c r="E1657" t="s">
        <v>34</v>
      </c>
      <c r="F1657" t="s">
        <v>27</v>
      </c>
      <c r="G1657" t="s">
        <v>18</v>
      </c>
      <c r="H1657" t="s">
        <v>24</v>
      </c>
      <c r="I1657" t="s">
        <v>19</v>
      </c>
      <c r="J1657" t="s">
        <v>20</v>
      </c>
      <c r="K1657">
        <v>0</v>
      </c>
      <c r="L1657">
        <v>2</v>
      </c>
      <c r="M1657">
        <v>8.69</v>
      </c>
      <c r="N1657">
        <v>1</v>
      </c>
      <c r="O1657" t="str">
        <f>IF(financial_fraud_data[[#This Row],[Risk_Score]]&gt;8,"High",IF(financial_fraud_data[[#This Row],[Risk_Score]]&gt;5,"Med","Low"))</f>
        <v>High</v>
      </c>
      <c r="P1657" t="str">
        <f>TEXT(financial_fraud_data[[#This Row],[Transaction_Date]],"MMM")</f>
        <v>Mar</v>
      </c>
      <c r="Q1657" t="str">
        <f>IF(financial_fraud_data[[#This Row],[Is_Fraud]]=1,"Yes","No")</f>
        <v>Yes</v>
      </c>
    </row>
    <row r="1658" spans="1:17" x14ac:dyDescent="0.2">
      <c r="A1658" t="s">
        <v>2175</v>
      </c>
      <c r="B1658" t="s">
        <v>516</v>
      </c>
      <c r="C1658" s="1">
        <v>45361</v>
      </c>
      <c r="D1658">
        <v>27712.42</v>
      </c>
      <c r="E1658" t="s">
        <v>42</v>
      </c>
      <c r="F1658" t="s">
        <v>17</v>
      </c>
      <c r="G1658" t="s">
        <v>18</v>
      </c>
      <c r="H1658" t="s">
        <v>19</v>
      </c>
      <c r="I1658" t="s">
        <v>29</v>
      </c>
      <c r="J1658" t="s">
        <v>20</v>
      </c>
      <c r="K1658">
        <v>0</v>
      </c>
      <c r="L1658">
        <v>0</v>
      </c>
      <c r="M1658">
        <v>3.77</v>
      </c>
      <c r="N1658">
        <v>0</v>
      </c>
      <c r="O1658" t="str">
        <f>IF(financial_fraud_data[[#This Row],[Risk_Score]]&gt;8,"High",IF(financial_fraud_data[[#This Row],[Risk_Score]]&gt;5,"Med","Low"))</f>
        <v>Low</v>
      </c>
      <c r="P1658" t="str">
        <f>TEXT(financial_fraud_data[[#This Row],[Transaction_Date]],"MMM")</f>
        <v>Mar</v>
      </c>
      <c r="Q1658" t="str">
        <f>IF(financial_fraud_data[[#This Row],[Is_Fraud]]=1,"Yes","No")</f>
        <v>No</v>
      </c>
    </row>
    <row r="1659" spans="1:17" x14ac:dyDescent="0.2">
      <c r="A1659" t="s">
        <v>2176</v>
      </c>
      <c r="B1659" t="s">
        <v>595</v>
      </c>
      <c r="C1659" s="1">
        <v>45361.041666666664</v>
      </c>
      <c r="D1659">
        <v>15310.94</v>
      </c>
      <c r="E1659" t="s">
        <v>16</v>
      </c>
      <c r="F1659" t="s">
        <v>17</v>
      </c>
      <c r="G1659" t="s">
        <v>18</v>
      </c>
      <c r="H1659" t="s">
        <v>23</v>
      </c>
      <c r="I1659" t="s">
        <v>36</v>
      </c>
      <c r="J1659" t="s">
        <v>37</v>
      </c>
      <c r="K1659">
        <v>0</v>
      </c>
      <c r="L1659">
        <v>1</v>
      </c>
      <c r="M1659">
        <v>4.03</v>
      </c>
      <c r="N1659">
        <v>0</v>
      </c>
      <c r="O1659" t="str">
        <f>IF(financial_fraud_data[[#This Row],[Risk_Score]]&gt;8,"High",IF(financial_fraud_data[[#This Row],[Risk_Score]]&gt;5,"Med","Low"))</f>
        <v>Low</v>
      </c>
      <c r="P1659" t="str">
        <f>TEXT(financial_fraud_data[[#This Row],[Transaction_Date]],"MMM")</f>
        <v>Mar</v>
      </c>
      <c r="Q1659" t="str">
        <f>IF(financial_fraud_data[[#This Row],[Is_Fraud]]=1,"Yes","No")</f>
        <v>No</v>
      </c>
    </row>
    <row r="1660" spans="1:17" x14ac:dyDescent="0.2">
      <c r="A1660" t="s">
        <v>2177</v>
      </c>
      <c r="B1660" t="s">
        <v>237</v>
      </c>
      <c r="C1660" s="1">
        <v>45361.083333333336</v>
      </c>
      <c r="D1660">
        <v>19879.23</v>
      </c>
      <c r="E1660" t="s">
        <v>42</v>
      </c>
      <c r="F1660" t="s">
        <v>27</v>
      </c>
      <c r="G1660" t="s">
        <v>65</v>
      </c>
      <c r="H1660" t="s">
        <v>29</v>
      </c>
      <c r="I1660" t="s">
        <v>36</v>
      </c>
      <c r="J1660" t="s">
        <v>51</v>
      </c>
      <c r="K1660">
        <v>0</v>
      </c>
      <c r="L1660">
        <v>3</v>
      </c>
      <c r="M1660">
        <v>7.49</v>
      </c>
      <c r="N1660">
        <v>1</v>
      </c>
      <c r="O1660" t="str">
        <f>IF(financial_fraud_data[[#This Row],[Risk_Score]]&gt;8,"High",IF(financial_fraud_data[[#This Row],[Risk_Score]]&gt;5,"Med","Low"))</f>
        <v>Med</v>
      </c>
      <c r="P1660" t="str">
        <f>TEXT(financial_fraud_data[[#This Row],[Transaction_Date]],"MMM")</f>
        <v>Mar</v>
      </c>
      <c r="Q1660" t="str">
        <f>IF(financial_fraud_data[[#This Row],[Is_Fraud]]=1,"Yes","No")</f>
        <v>Yes</v>
      </c>
    </row>
    <row r="1661" spans="1:17" x14ac:dyDescent="0.2">
      <c r="A1661" t="s">
        <v>2178</v>
      </c>
      <c r="B1661" t="s">
        <v>1362</v>
      </c>
      <c r="C1661" s="1">
        <v>45361.125</v>
      </c>
      <c r="D1661">
        <v>22387.77</v>
      </c>
      <c r="E1661" t="s">
        <v>16</v>
      </c>
      <c r="F1661" t="s">
        <v>47</v>
      </c>
      <c r="G1661" t="s">
        <v>35</v>
      </c>
      <c r="H1661" t="s">
        <v>24</v>
      </c>
      <c r="I1661" t="s">
        <v>19</v>
      </c>
      <c r="J1661" t="s">
        <v>37</v>
      </c>
      <c r="K1661">
        <v>0</v>
      </c>
      <c r="L1661">
        <v>4</v>
      </c>
      <c r="M1661">
        <v>9.24</v>
      </c>
      <c r="N1661">
        <v>1</v>
      </c>
      <c r="O1661" t="str">
        <f>IF(financial_fraud_data[[#This Row],[Risk_Score]]&gt;8,"High",IF(financial_fraud_data[[#This Row],[Risk_Score]]&gt;5,"Med","Low"))</f>
        <v>High</v>
      </c>
      <c r="P1661" t="str">
        <f>TEXT(financial_fraud_data[[#This Row],[Transaction_Date]],"MMM")</f>
        <v>Mar</v>
      </c>
      <c r="Q1661" t="str">
        <f>IF(financial_fraud_data[[#This Row],[Is_Fraud]]=1,"Yes","No")</f>
        <v>Yes</v>
      </c>
    </row>
    <row r="1662" spans="1:17" x14ac:dyDescent="0.2">
      <c r="A1662" t="s">
        <v>2179</v>
      </c>
      <c r="B1662" t="s">
        <v>255</v>
      </c>
      <c r="C1662" s="1">
        <v>45361.166666666664</v>
      </c>
      <c r="D1662">
        <v>30049.69</v>
      </c>
      <c r="E1662" t="s">
        <v>34</v>
      </c>
      <c r="F1662" t="s">
        <v>27</v>
      </c>
      <c r="G1662" t="s">
        <v>18</v>
      </c>
      <c r="H1662" t="s">
        <v>36</v>
      </c>
      <c r="I1662" t="s">
        <v>29</v>
      </c>
      <c r="J1662" t="s">
        <v>51</v>
      </c>
      <c r="K1662">
        <v>0</v>
      </c>
      <c r="L1662">
        <v>2</v>
      </c>
      <c r="M1662">
        <v>7</v>
      </c>
      <c r="N1662">
        <v>1</v>
      </c>
      <c r="O1662" t="str">
        <f>IF(financial_fraud_data[[#This Row],[Risk_Score]]&gt;8,"High",IF(financial_fraud_data[[#This Row],[Risk_Score]]&gt;5,"Med","Low"))</f>
        <v>Med</v>
      </c>
      <c r="P1662" t="str">
        <f>TEXT(financial_fraud_data[[#This Row],[Transaction_Date]],"MMM")</f>
        <v>Mar</v>
      </c>
      <c r="Q1662" t="str">
        <f>IF(financial_fraud_data[[#This Row],[Is_Fraud]]=1,"Yes","No")</f>
        <v>Yes</v>
      </c>
    </row>
    <row r="1663" spans="1:17" x14ac:dyDescent="0.2">
      <c r="A1663" t="s">
        <v>2180</v>
      </c>
      <c r="B1663" t="s">
        <v>483</v>
      </c>
      <c r="C1663" s="1">
        <v>45361.208333333336</v>
      </c>
      <c r="D1663">
        <v>25808.19</v>
      </c>
      <c r="E1663" t="s">
        <v>34</v>
      </c>
      <c r="F1663" t="s">
        <v>47</v>
      </c>
      <c r="G1663" t="s">
        <v>28</v>
      </c>
      <c r="H1663" t="s">
        <v>23</v>
      </c>
      <c r="I1663" t="s">
        <v>24</v>
      </c>
      <c r="J1663" t="s">
        <v>20</v>
      </c>
      <c r="K1663">
        <v>0</v>
      </c>
      <c r="L1663">
        <v>1</v>
      </c>
      <c r="M1663">
        <v>5.08</v>
      </c>
      <c r="N1663">
        <v>1</v>
      </c>
      <c r="O1663" t="str">
        <f>IF(financial_fraud_data[[#This Row],[Risk_Score]]&gt;8,"High",IF(financial_fraud_data[[#This Row],[Risk_Score]]&gt;5,"Med","Low"))</f>
        <v>Med</v>
      </c>
      <c r="P1663" t="str">
        <f>TEXT(financial_fraud_data[[#This Row],[Transaction_Date]],"MMM")</f>
        <v>Mar</v>
      </c>
      <c r="Q1663" t="str">
        <f>IF(financial_fraud_data[[#This Row],[Is_Fraud]]=1,"Yes","No")</f>
        <v>Yes</v>
      </c>
    </row>
    <row r="1664" spans="1:17" x14ac:dyDescent="0.2">
      <c r="A1664" t="s">
        <v>2181</v>
      </c>
      <c r="B1664" t="s">
        <v>738</v>
      </c>
      <c r="C1664" s="1">
        <v>45361.25</v>
      </c>
      <c r="D1664">
        <v>45973.63</v>
      </c>
      <c r="E1664" t="s">
        <v>42</v>
      </c>
      <c r="F1664" t="s">
        <v>50</v>
      </c>
      <c r="G1664" t="s">
        <v>56</v>
      </c>
      <c r="H1664" t="s">
        <v>23</v>
      </c>
      <c r="I1664" t="s">
        <v>19</v>
      </c>
      <c r="J1664" t="s">
        <v>20</v>
      </c>
      <c r="K1664">
        <v>0</v>
      </c>
      <c r="L1664">
        <v>0</v>
      </c>
      <c r="M1664">
        <v>5.6</v>
      </c>
      <c r="N1664">
        <v>1</v>
      </c>
      <c r="O1664" t="str">
        <f>IF(financial_fraud_data[[#This Row],[Risk_Score]]&gt;8,"High",IF(financial_fraud_data[[#This Row],[Risk_Score]]&gt;5,"Med","Low"))</f>
        <v>Med</v>
      </c>
      <c r="P1664" t="str">
        <f>TEXT(financial_fraud_data[[#This Row],[Transaction_Date]],"MMM")</f>
        <v>Mar</v>
      </c>
      <c r="Q1664" t="str">
        <f>IF(financial_fraud_data[[#This Row],[Is_Fraud]]=1,"Yes","No")</f>
        <v>Yes</v>
      </c>
    </row>
    <row r="1665" spans="1:17" x14ac:dyDescent="0.2">
      <c r="A1665" t="s">
        <v>2182</v>
      </c>
      <c r="B1665" t="s">
        <v>1884</v>
      </c>
      <c r="C1665" s="1">
        <v>45361.291666666664</v>
      </c>
      <c r="D1665">
        <v>24873.33</v>
      </c>
      <c r="E1665" t="s">
        <v>16</v>
      </c>
      <c r="F1665" t="s">
        <v>50</v>
      </c>
      <c r="G1665" t="s">
        <v>28</v>
      </c>
      <c r="H1665" t="s">
        <v>19</v>
      </c>
      <c r="I1665" t="s">
        <v>36</v>
      </c>
      <c r="J1665" t="s">
        <v>20</v>
      </c>
      <c r="K1665">
        <v>0</v>
      </c>
      <c r="L1665">
        <v>1</v>
      </c>
      <c r="M1665">
        <v>4.99</v>
      </c>
      <c r="N1665">
        <v>0</v>
      </c>
      <c r="O1665" t="str">
        <f>IF(financial_fraud_data[[#This Row],[Risk_Score]]&gt;8,"High",IF(financial_fraud_data[[#This Row],[Risk_Score]]&gt;5,"Med","Low"))</f>
        <v>Low</v>
      </c>
      <c r="P1665" t="str">
        <f>TEXT(financial_fraud_data[[#This Row],[Transaction_Date]],"MMM")</f>
        <v>Mar</v>
      </c>
      <c r="Q1665" t="str">
        <f>IF(financial_fraud_data[[#This Row],[Is_Fraud]]=1,"Yes","No")</f>
        <v>No</v>
      </c>
    </row>
    <row r="1666" spans="1:17" x14ac:dyDescent="0.2">
      <c r="A1666" t="s">
        <v>2183</v>
      </c>
      <c r="B1666" t="s">
        <v>699</v>
      </c>
      <c r="C1666" s="1">
        <v>45361.333333333336</v>
      </c>
      <c r="D1666">
        <v>49608.29</v>
      </c>
      <c r="E1666" t="s">
        <v>16</v>
      </c>
      <c r="F1666" t="s">
        <v>27</v>
      </c>
      <c r="G1666" t="s">
        <v>65</v>
      </c>
      <c r="H1666" t="s">
        <v>23</v>
      </c>
      <c r="I1666" t="s">
        <v>29</v>
      </c>
      <c r="J1666" t="s">
        <v>51</v>
      </c>
      <c r="K1666">
        <v>0</v>
      </c>
      <c r="L1666">
        <v>3</v>
      </c>
      <c r="M1666">
        <v>10.46</v>
      </c>
      <c r="N1666">
        <v>1</v>
      </c>
      <c r="O1666" t="str">
        <f>IF(financial_fraud_data[[#This Row],[Risk_Score]]&gt;8,"High",IF(financial_fraud_data[[#This Row],[Risk_Score]]&gt;5,"Med","Low"))</f>
        <v>High</v>
      </c>
      <c r="P1666" t="str">
        <f>TEXT(financial_fraud_data[[#This Row],[Transaction_Date]],"MMM")</f>
        <v>Mar</v>
      </c>
      <c r="Q1666" t="str">
        <f>IF(financial_fraud_data[[#This Row],[Is_Fraud]]=1,"Yes","No")</f>
        <v>Yes</v>
      </c>
    </row>
    <row r="1667" spans="1:17" x14ac:dyDescent="0.2">
      <c r="A1667" t="s">
        <v>2184</v>
      </c>
      <c r="B1667" t="s">
        <v>1172</v>
      </c>
      <c r="C1667" s="1">
        <v>45361.375</v>
      </c>
      <c r="D1667">
        <v>42578.68</v>
      </c>
      <c r="E1667" t="s">
        <v>34</v>
      </c>
      <c r="F1667" t="s">
        <v>47</v>
      </c>
      <c r="G1667" t="s">
        <v>65</v>
      </c>
      <c r="H1667" t="s">
        <v>24</v>
      </c>
      <c r="I1667" t="s">
        <v>23</v>
      </c>
      <c r="J1667" t="s">
        <v>37</v>
      </c>
      <c r="K1667">
        <v>0</v>
      </c>
      <c r="L1667">
        <v>1</v>
      </c>
      <c r="M1667">
        <v>6.76</v>
      </c>
      <c r="N1667">
        <v>1</v>
      </c>
      <c r="O1667" t="str">
        <f>IF(financial_fraud_data[[#This Row],[Risk_Score]]&gt;8,"High",IF(financial_fraud_data[[#This Row],[Risk_Score]]&gt;5,"Med","Low"))</f>
        <v>Med</v>
      </c>
      <c r="P1667" t="str">
        <f>TEXT(financial_fraud_data[[#This Row],[Transaction_Date]],"MMM")</f>
        <v>Mar</v>
      </c>
      <c r="Q1667" t="str">
        <f>IF(financial_fraud_data[[#This Row],[Is_Fraud]]=1,"Yes","No")</f>
        <v>Yes</v>
      </c>
    </row>
    <row r="1668" spans="1:17" x14ac:dyDescent="0.2">
      <c r="A1668" t="s">
        <v>2185</v>
      </c>
      <c r="B1668" t="s">
        <v>814</v>
      </c>
      <c r="C1668" s="1">
        <v>45361.416666666664</v>
      </c>
      <c r="D1668">
        <v>10465.1</v>
      </c>
      <c r="E1668" t="s">
        <v>42</v>
      </c>
      <c r="F1668" t="s">
        <v>27</v>
      </c>
      <c r="G1668" t="s">
        <v>28</v>
      </c>
      <c r="H1668" t="s">
        <v>19</v>
      </c>
      <c r="I1668" t="s">
        <v>29</v>
      </c>
      <c r="J1668" t="s">
        <v>51</v>
      </c>
      <c r="K1668">
        <v>0</v>
      </c>
      <c r="L1668">
        <v>3</v>
      </c>
      <c r="M1668">
        <v>6.55</v>
      </c>
      <c r="N1668">
        <v>1</v>
      </c>
      <c r="O1668" t="str">
        <f>IF(financial_fraud_data[[#This Row],[Risk_Score]]&gt;8,"High",IF(financial_fraud_data[[#This Row],[Risk_Score]]&gt;5,"Med","Low"))</f>
        <v>Med</v>
      </c>
      <c r="P1668" t="str">
        <f>TEXT(financial_fraud_data[[#This Row],[Transaction_Date]],"MMM")</f>
        <v>Mar</v>
      </c>
      <c r="Q1668" t="str">
        <f>IF(financial_fraud_data[[#This Row],[Is_Fraud]]=1,"Yes","No")</f>
        <v>Yes</v>
      </c>
    </row>
    <row r="1669" spans="1:17" x14ac:dyDescent="0.2">
      <c r="A1669" t="s">
        <v>2186</v>
      </c>
      <c r="B1669" t="s">
        <v>31</v>
      </c>
      <c r="C1669" s="1">
        <v>45361.458333333336</v>
      </c>
      <c r="D1669">
        <v>46533.23</v>
      </c>
      <c r="E1669" t="s">
        <v>16</v>
      </c>
      <c r="F1669" t="s">
        <v>27</v>
      </c>
      <c r="G1669" t="s">
        <v>35</v>
      </c>
      <c r="H1669" t="s">
        <v>23</v>
      </c>
      <c r="I1669" t="s">
        <v>29</v>
      </c>
      <c r="J1669" t="s">
        <v>37</v>
      </c>
      <c r="K1669">
        <v>0</v>
      </c>
      <c r="L1669">
        <v>2</v>
      </c>
      <c r="M1669">
        <v>8.65</v>
      </c>
      <c r="N1669">
        <v>1</v>
      </c>
      <c r="O1669" t="str">
        <f>IF(financial_fraud_data[[#This Row],[Risk_Score]]&gt;8,"High",IF(financial_fraud_data[[#This Row],[Risk_Score]]&gt;5,"Med","Low"))</f>
        <v>High</v>
      </c>
      <c r="P1669" t="str">
        <f>TEXT(financial_fraud_data[[#This Row],[Transaction_Date]],"MMM")</f>
        <v>Mar</v>
      </c>
      <c r="Q1669" t="str">
        <f>IF(financial_fraud_data[[#This Row],[Is_Fraud]]=1,"Yes","No")</f>
        <v>Yes</v>
      </c>
    </row>
    <row r="1670" spans="1:17" x14ac:dyDescent="0.2">
      <c r="A1670" t="s">
        <v>2187</v>
      </c>
      <c r="B1670" t="s">
        <v>1928</v>
      </c>
      <c r="C1670" s="1">
        <v>45361.5</v>
      </c>
      <c r="D1670">
        <v>5862.5</v>
      </c>
      <c r="E1670" t="s">
        <v>34</v>
      </c>
      <c r="F1670" t="s">
        <v>47</v>
      </c>
      <c r="G1670" t="s">
        <v>65</v>
      </c>
      <c r="H1670" t="s">
        <v>36</v>
      </c>
      <c r="I1670" t="s">
        <v>36</v>
      </c>
      <c r="J1670" t="s">
        <v>37</v>
      </c>
      <c r="K1670">
        <v>0</v>
      </c>
      <c r="L1670">
        <v>2</v>
      </c>
      <c r="M1670">
        <v>3.59</v>
      </c>
      <c r="N1670">
        <v>0</v>
      </c>
      <c r="O1670" t="str">
        <f>IF(financial_fraud_data[[#This Row],[Risk_Score]]&gt;8,"High",IF(financial_fraud_data[[#This Row],[Risk_Score]]&gt;5,"Med","Low"))</f>
        <v>Low</v>
      </c>
      <c r="P1670" t="str">
        <f>TEXT(financial_fraud_data[[#This Row],[Transaction_Date]],"MMM")</f>
        <v>Mar</v>
      </c>
      <c r="Q1670" t="str">
        <f>IF(financial_fraud_data[[#This Row],[Is_Fraud]]=1,"Yes","No")</f>
        <v>No</v>
      </c>
    </row>
    <row r="1671" spans="1:17" x14ac:dyDescent="0.2">
      <c r="A1671" t="s">
        <v>2188</v>
      </c>
      <c r="B1671" t="s">
        <v>2173</v>
      </c>
      <c r="C1671" s="1">
        <v>45361.541666666664</v>
      </c>
      <c r="D1671">
        <v>40881.61</v>
      </c>
      <c r="E1671" t="s">
        <v>80</v>
      </c>
      <c r="F1671" t="s">
        <v>27</v>
      </c>
      <c r="G1671" t="s">
        <v>65</v>
      </c>
      <c r="H1671" t="s">
        <v>24</v>
      </c>
      <c r="I1671" t="s">
        <v>36</v>
      </c>
      <c r="J1671" t="s">
        <v>37</v>
      </c>
      <c r="K1671">
        <v>0</v>
      </c>
      <c r="L1671">
        <v>3</v>
      </c>
      <c r="M1671">
        <v>9.59</v>
      </c>
      <c r="N1671">
        <v>1</v>
      </c>
      <c r="O1671" t="str">
        <f>IF(financial_fraud_data[[#This Row],[Risk_Score]]&gt;8,"High",IF(financial_fraud_data[[#This Row],[Risk_Score]]&gt;5,"Med","Low"))</f>
        <v>High</v>
      </c>
      <c r="P1671" t="str">
        <f>TEXT(financial_fraud_data[[#This Row],[Transaction_Date]],"MMM")</f>
        <v>Mar</v>
      </c>
      <c r="Q1671" t="str">
        <f>IF(financial_fraud_data[[#This Row],[Is_Fraud]]=1,"Yes","No")</f>
        <v>Yes</v>
      </c>
    </row>
    <row r="1672" spans="1:17" x14ac:dyDescent="0.2">
      <c r="A1672" t="s">
        <v>2189</v>
      </c>
      <c r="B1672" t="s">
        <v>532</v>
      </c>
      <c r="C1672" s="1">
        <v>45361.583333333336</v>
      </c>
      <c r="D1672">
        <v>19062.13</v>
      </c>
      <c r="E1672" t="s">
        <v>42</v>
      </c>
      <c r="F1672" t="s">
        <v>50</v>
      </c>
      <c r="G1672" t="s">
        <v>28</v>
      </c>
      <c r="H1672" t="s">
        <v>36</v>
      </c>
      <c r="I1672" t="s">
        <v>24</v>
      </c>
      <c r="J1672" t="s">
        <v>20</v>
      </c>
      <c r="K1672">
        <v>0</v>
      </c>
      <c r="L1672">
        <v>4</v>
      </c>
      <c r="M1672">
        <v>8.91</v>
      </c>
      <c r="N1672">
        <v>1</v>
      </c>
      <c r="O1672" t="str">
        <f>IF(financial_fraud_data[[#This Row],[Risk_Score]]&gt;8,"High",IF(financial_fraud_data[[#This Row],[Risk_Score]]&gt;5,"Med","Low"))</f>
        <v>High</v>
      </c>
      <c r="P1672" t="str">
        <f>TEXT(financial_fraud_data[[#This Row],[Transaction_Date]],"MMM")</f>
        <v>Mar</v>
      </c>
      <c r="Q1672" t="str">
        <f>IF(financial_fraud_data[[#This Row],[Is_Fraud]]=1,"Yes","No")</f>
        <v>Yes</v>
      </c>
    </row>
    <row r="1673" spans="1:17" x14ac:dyDescent="0.2">
      <c r="A1673" t="s">
        <v>2190</v>
      </c>
      <c r="B1673" t="s">
        <v>772</v>
      </c>
      <c r="C1673" s="1">
        <v>45361.625</v>
      </c>
      <c r="D1673">
        <v>43904.82</v>
      </c>
      <c r="E1673" t="s">
        <v>80</v>
      </c>
      <c r="F1673" t="s">
        <v>17</v>
      </c>
      <c r="G1673" t="s">
        <v>65</v>
      </c>
      <c r="H1673" t="s">
        <v>36</v>
      </c>
      <c r="I1673" t="s">
        <v>24</v>
      </c>
      <c r="J1673" t="s">
        <v>37</v>
      </c>
      <c r="K1673">
        <v>0</v>
      </c>
      <c r="L1673">
        <v>2</v>
      </c>
      <c r="M1673">
        <v>8.39</v>
      </c>
      <c r="N1673">
        <v>1</v>
      </c>
      <c r="O1673" t="str">
        <f>IF(financial_fraud_data[[#This Row],[Risk_Score]]&gt;8,"High",IF(financial_fraud_data[[#This Row],[Risk_Score]]&gt;5,"Med","Low"))</f>
        <v>High</v>
      </c>
      <c r="P1673" t="str">
        <f>TEXT(financial_fraud_data[[#This Row],[Transaction_Date]],"MMM")</f>
        <v>Mar</v>
      </c>
      <c r="Q1673" t="str">
        <f>IF(financial_fraud_data[[#This Row],[Is_Fraud]]=1,"Yes","No")</f>
        <v>Yes</v>
      </c>
    </row>
    <row r="1674" spans="1:17" x14ac:dyDescent="0.2">
      <c r="A1674" t="s">
        <v>2191</v>
      </c>
      <c r="B1674" t="s">
        <v>720</v>
      </c>
      <c r="C1674" s="1">
        <v>45361.666666666664</v>
      </c>
      <c r="D1674">
        <v>43409.43</v>
      </c>
      <c r="E1674" t="s">
        <v>42</v>
      </c>
      <c r="F1674" t="s">
        <v>17</v>
      </c>
      <c r="G1674" t="s">
        <v>35</v>
      </c>
      <c r="H1674" t="s">
        <v>19</v>
      </c>
      <c r="I1674" t="s">
        <v>19</v>
      </c>
      <c r="J1674" t="s">
        <v>20</v>
      </c>
      <c r="K1674">
        <v>0</v>
      </c>
      <c r="L1674">
        <v>4</v>
      </c>
      <c r="M1674">
        <v>10.34</v>
      </c>
      <c r="N1674">
        <v>1</v>
      </c>
      <c r="O1674" t="str">
        <f>IF(financial_fraud_data[[#This Row],[Risk_Score]]&gt;8,"High",IF(financial_fraud_data[[#This Row],[Risk_Score]]&gt;5,"Med","Low"))</f>
        <v>High</v>
      </c>
      <c r="P1674" t="str">
        <f>TEXT(financial_fraud_data[[#This Row],[Transaction_Date]],"MMM")</f>
        <v>Mar</v>
      </c>
      <c r="Q1674" t="str">
        <f>IF(financial_fraud_data[[#This Row],[Is_Fraud]]=1,"Yes","No")</f>
        <v>Yes</v>
      </c>
    </row>
    <row r="1675" spans="1:17" x14ac:dyDescent="0.2">
      <c r="A1675" t="s">
        <v>2192</v>
      </c>
      <c r="B1675" t="s">
        <v>343</v>
      </c>
      <c r="C1675" s="1">
        <v>45361.708333333336</v>
      </c>
      <c r="D1675">
        <v>40305.97</v>
      </c>
      <c r="E1675" t="s">
        <v>34</v>
      </c>
      <c r="F1675" t="s">
        <v>27</v>
      </c>
      <c r="G1675" t="s">
        <v>35</v>
      </c>
      <c r="H1675" t="s">
        <v>29</v>
      </c>
      <c r="I1675" t="s">
        <v>23</v>
      </c>
      <c r="J1675" t="s">
        <v>37</v>
      </c>
      <c r="K1675">
        <v>0</v>
      </c>
      <c r="L1675">
        <v>3</v>
      </c>
      <c r="M1675">
        <v>9.5299999999999994</v>
      </c>
      <c r="N1675">
        <v>1</v>
      </c>
      <c r="O1675" t="str">
        <f>IF(financial_fraud_data[[#This Row],[Risk_Score]]&gt;8,"High",IF(financial_fraud_data[[#This Row],[Risk_Score]]&gt;5,"Med","Low"))</f>
        <v>High</v>
      </c>
      <c r="P1675" t="str">
        <f>TEXT(financial_fraud_data[[#This Row],[Transaction_Date]],"MMM")</f>
        <v>Mar</v>
      </c>
      <c r="Q1675" t="str">
        <f>IF(financial_fraud_data[[#This Row],[Is_Fraud]]=1,"Yes","No")</f>
        <v>Yes</v>
      </c>
    </row>
    <row r="1676" spans="1:17" x14ac:dyDescent="0.2">
      <c r="A1676" t="s">
        <v>2193</v>
      </c>
      <c r="B1676" t="s">
        <v>60</v>
      </c>
      <c r="C1676" s="1">
        <v>45361.75</v>
      </c>
      <c r="D1676">
        <v>39512.019999999997</v>
      </c>
      <c r="E1676" t="s">
        <v>16</v>
      </c>
      <c r="F1676" t="s">
        <v>47</v>
      </c>
      <c r="G1676" t="s">
        <v>35</v>
      </c>
      <c r="H1676" t="s">
        <v>19</v>
      </c>
      <c r="I1676" t="s">
        <v>24</v>
      </c>
      <c r="J1676" t="s">
        <v>37</v>
      </c>
      <c r="K1676">
        <v>0</v>
      </c>
      <c r="L1676">
        <v>3</v>
      </c>
      <c r="M1676">
        <v>9.4499999999999993</v>
      </c>
      <c r="N1676">
        <v>1</v>
      </c>
      <c r="O1676" t="str">
        <f>IF(financial_fraud_data[[#This Row],[Risk_Score]]&gt;8,"High",IF(financial_fraud_data[[#This Row],[Risk_Score]]&gt;5,"Med","Low"))</f>
        <v>High</v>
      </c>
      <c r="P1676" t="str">
        <f>TEXT(financial_fraud_data[[#This Row],[Transaction_Date]],"MMM")</f>
        <v>Mar</v>
      </c>
      <c r="Q1676" t="str">
        <f>IF(financial_fraud_data[[#This Row],[Is_Fraud]]=1,"Yes","No")</f>
        <v>Yes</v>
      </c>
    </row>
    <row r="1677" spans="1:17" x14ac:dyDescent="0.2">
      <c r="A1677" t="s">
        <v>2194</v>
      </c>
      <c r="B1677" t="s">
        <v>582</v>
      </c>
      <c r="C1677" s="1">
        <v>45361.791666666664</v>
      </c>
      <c r="D1677">
        <v>15268.72</v>
      </c>
      <c r="E1677" t="s">
        <v>16</v>
      </c>
      <c r="F1677" t="s">
        <v>47</v>
      </c>
      <c r="G1677" t="s">
        <v>56</v>
      </c>
      <c r="H1677" t="s">
        <v>24</v>
      </c>
      <c r="I1677" t="s">
        <v>36</v>
      </c>
      <c r="J1677" t="s">
        <v>20</v>
      </c>
      <c r="K1677">
        <v>0</v>
      </c>
      <c r="L1677">
        <v>2</v>
      </c>
      <c r="M1677">
        <v>5.53</v>
      </c>
      <c r="N1677">
        <v>1</v>
      </c>
      <c r="O1677" t="str">
        <f>IF(financial_fraud_data[[#This Row],[Risk_Score]]&gt;8,"High",IF(financial_fraud_data[[#This Row],[Risk_Score]]&gt;5,"Med","Low"))</f>
        <v>Med</v>
      </c>
      <c r="P1677" t="str">
        <f>TEXT(financial_fraud_data[[#This Row],[Transaction_Date]],"MMM")</f>
        <v>Mar</v>
      </c>
      <c r="Q1677" t="str">
        <f>IF(financial_fraud_data[[#This Row],[Is_Fraud]]=1,"Yes","No")</f>
        <v>Yes</v>
      </c>
    </row>
    <row r="1678" spans="1:17" x14ac:dyDescent="0.2">
      <c r="A1678" t="s">
        <v>2195</v>
      </c>
      <c r="B1678" t="s">
        <v>195</v>
      </c>
      <c r="C1678" s="1">
        <v>45361.833333333336</v>
      </c>
      <c r="D1678">
        <v>4091.92</v>
      </c>
      <c r="E1678" t="s">
        <v>16</v>
      </c>
      <c r="F1678" t="s">
        <v>50</v>
      </c>
      <c r="G1678" t="s">
        <v>35</v>
      </c>
      <c r="H1678" t="s">
        <v>24</v>
      </c>
      <c r="I1678" t="s">
        <v>29</v>
      </c>
      <c r="J1678" t="s">
        <v>20</v>
      </c>
      <c r="K1678">
        <v>0</v>
      </c>
      <c r="L1678">
        <v>4</v>
      </c>
      <c r="M1678">
        <v>7.41</v>
      </c>
      <c r="N1678">
        <v>1</v>
      </c>
      <c r="O1678" t="str">
        <f>IF(financial_fraud_data[[#This Row],[Risk_Score]]&gt;8,"High",IF(financial_fraud_data[[#This Row],[Risk_Score]]&gt;5,"Med","Low"))</f>
        <v>Med</v>
      </c>
      <c r="P1678" t="str">
        <f>TEXT(financial_fraud_data[[#This Row],[Transaction_Date]],"MMM")</f>
        <v>Mar</v>
      </c>
      <c r="Q1678" t="str">
        <f>IF(financial_fraud_data[[#This Row],[Is_Fraud]]=1,"Yes","No")</f>
        <v>Yes</v>
      </c>
    </row>
    <row r="1679" spans="1:17" x14ac:dyDescent="0.2">
      <c r="A1679" t="s">
        <v>2196</v>
      </c>
      <c r="B1679" t="s">
        <v>117</v>
      </c>
      <c r="C1679" s="1">
        <v>45361.875</v>
      </c>
      <c r="D1679">
        <v>20178.86</v>
      </c>
      <c r="E1679" t="s">
        <v>42</v>
      </c>
      <c r="F1679" t="s">
        <v>47</v>
      </c>
      <c r="G1679" t="s">
        <v>35</v>
      </c>
      <c r="H1679" t="s">
        <v>19</v>
      </c>
      <c r="I1679" t="s">
        <v>19</v>
      </c>
      <c r="J1679" t="s">
        <v>51</v>
      </c>
      <c r="K1679">
        <v>0</v>
      </c>
      <c r="L1679">
        <v>3</v>
      </c>
      <c r="M1679">
        <v>6.52</v>
      </c>
      <c r="N1679">
        <v>1</v>
      </c>
      <c r="O1679" t="str">
        <f>IF(financial_fraud_data[[#This Row],[Risk_Score]]&gt;8,"High",IF(financial_fraud_data[[#This Row],[Risk_Score]]&gt;5,"Med","Low"))</f>
        <v>Med</v>
      </c>
      <c r="P1679" t="str">
        <f>TEXT(financial_fraud_data[[#This Row],[Transaction_Date]],"MMM")</f>
        <v>Mar</v>
      </c>
      <c r="Q1679" t="str">
        <f>IF(financial_fraud_data[[#This Row],[Is_Fraud]]=1,"Yes","No")</f>
        <v>Yes</v>
      </c>
    </row>
    <row r="1680" spans="1:17" x14ac:dyDescent="0.2">
      <c r="A1680" t="s">
        <v>2197</v>
      </c>
      <c r="B1680" t="s">
        <v>383</v>
      </c>
      <c r="C1680" s="1">
        <v>45361.916666666664</v>
      </c>
      <c r="D1680">
        <v>8717.5499999999993</v>
      </c>
      <c r="E1680" t="s">
        <v>34</v>
      </c>
      <c r="F1680" t="s">
        <v>47</v>
      </c>
      <c r="G1680" t="s">
        <v>56</v>
      </c>
      <c r="H1680" t="s">
        <v>29</v>
      </c>
      <c r="I1680" t="s">
        <v>24</v>
      </c>
      <c r="J1680" t="s">
        <v>37</v>
      </c>
      <c r="K1680">
        <v>0</v>
      </c>
      <c r="L1680">
        <v>2</v>
      </c>
      <c r="M1680">
        <v>4.87</v>
      </c>
      <c r="N1680">
        <v>0</v>
      </c>
      <c r="O1680" t="str">
        <f>IF(financial_fraud_data[[#This Row],[Risk_Score]]&gt;8,"High",IF(financial_fraud_data[[#This Row],[Risk_Score]]&gt;5,"Med","Low"))</f>
        <v>Low</v>
      </c>
      <c r="P1680" t="str">
        <f>TEXT(financial_fraud_data[[#This Row],[Transaction_Date]],"MMM")</f>
        <v>Mar</v>
      </c>
      <c r="Q1680" t="str">
        <f>IF(financial_fraud_data[[#This Row],[Is_Fraud]]=1,"Yes","No")</f>
        <v>No</v>
      </c>
    </row>
    <row r="1681" spans="1:17" x14ac:dyDescent="0.2">
      <c r="A1681" t="s">
        <v>2198</v>
      </c>
      <c r="B1681" t="s">
        <v>659</v>
      </c>
      <c r="C1681" s="1">
        <v>45361.958333333336</v>
      </c>
      <c r="D1681">
        <v>34762.81</v>
      </c>
      <c r="E1681" t="s">
        <v>80</v>
      </c>
      <c r="F1681" t="s">
        <v>50</v>
      </c>
      <c r="G1681" t="s">
        <v>18</v>
      </c>
      <c r="H1681" t="s">
        <v>19</v>
      </c>
      <c r="I1681" t="s">
        <v>29</v>
      </c>
      <c r="J1681" t="s">
        <v>20</v>
      </c>
      <c r="K1681">
        <v>0</v>
      </c>
      <c r="L1681">
        <v>3</v>
      </c>
      <c r="M1681">
        <v>8.98</v>
      </c>
      <c r="N1681">
        <v>1</v>
      </c>
      <c r="O1681" t="str">
        <f>IF(financial_fraud_data[[#This Row],[Risk_Score]]&gt;8,"High",IF(financial_fraud_data[[#This Row],[Risk_Score]]&gt;5,"Med","Low"))</f>
        <v>High</v>
      </c>
      <c r="P1681" t="str">
        <f>TEXT(financial_fraud_data[[#This Row],[Transaction_Date]],"MMM")</f>
        <v>Mar</v>
      </c>
      <c r="Q1681" t="str">
        <f>IF(financial_fraud_data[[#This Row],[Is_Fraud]]=1,"Yes","No")</f>
        <v>Yes</v>
      </c>
    </row>
    <row r="1682" spans="1:17" x14ac:dyDescent="0.2">
      <c r="A1682" t="s">
        <v>2199</v>
      </c>
      <c r="B1682" t="s">
        <v>44</v>
      </c>
      <c r="C1682" s="1">
        <v>45362</v>
      </c>
      <c r="D1682">
        <v>17337.68</v>
      </c>
      <c r="E1682" t="s">
        <v>34</v>
      </c>
      <c r="F1682" t="s">
        <v>27</v>
      </c>
      <c r="G1682" t="s">
        <v>65</v>
      </c>
      <c r="H1682" t="s">
        <v>24</v>
      </c>
      <c r="I1682" t="s">
        <v>29</v>
      </c>
      <c r="J1682" t="s">
        <v>51</v>
      </c>
      <c r="K1682">
        <v>0</v>
      </c>
      <c r="L1682">
        <v>1</v>
      </c>
      <c r="M1682">
        <v>4.2300000000000004</v>
      </c>
      <c r="N1682">
        <v>0</v>
      </c>
      <c r="O1682" t="str">
        <f>IF(financial_fraud_data[[#This Row],[Risk_Score]]&gt;8,"High",IF(financial_fraud_data[[#This Row],[Risk_Score]]&gt;5,"Med","Low"))</f>
        <v>Low</v>
      </c>
      <c r="P1682" t="str">
        <f>TEXT(financial_fraud_data[[#This Row],[Transaction_Date]],"MMM")</f>
        <v>Mar</v>
      </c>
      <c r="Q1682" t="str">
        <f>IF(financial_fraud_data[[#This Row],[Is_Fraud]]=1,"Yes","No")</f>
        <v>No</v>
      </c>
    </row>
    <row r="1683" spans="1:17" x14ac:dyDescent="0.2">
      <c r="A1683" t="s">
        <v>2200</v>
      </c>
      <c r="B1683" t="s">
        <v>883</v>
      </c>
      <c r="C1683" s="1">
        <v>45362.041666666664</v>
      </c>
      <c r="D1683">
        <v>48781.73</v>
      </c>
      <c r="E1683" t="s">
        <v>80</v>
      </c>
      <c r="F1683" t="s">
        <v>17</v>
      </c>
      <c r="G1683" t="s">
        <v>35</v>
      </c>
      <c r="H1683" t="s">
        <v>29</v>
      </c>
      <c r="I1683" t="s">
        <v>24</v>
      </c>
      <c r="J1683" t="s">
        <v>51</v>
      </c>
      <c r="K1683">
        <v>0</v>
      </c>
      <c r="L1683">
        <v>1</v>
      </c>
      <c r="M1683">
        <v>7.38</v>
      </c>
      <c r="N1683">
        <v>1</v>
      </c>
      <c r="O1683" t="str">
        <f>IF(financial_fraud_data[[#This Row],[Risk_Score]]&gt;8,"High",IF(financial_fraud_data[[#This Row],[Risk_Score]]&gt;5,"Med","Low"))</f>
        <v>Med</v>
      </c>
      <c r="P1683" t="str">
        <f>TEXT(financial_fraud_data[[#This Row],[Transaction_Date]],"MMM")</f>
        <v>Mar</v>
      </c>
      <c r="Q1683" t="str">
        <f>IF(financial_fraud_data[[#This Row],[Is_Fraud]]=1,"Yes","No")</f>
        <v>Yes</v>
      </c>
    </row>
    <row r="1684" spans="1:17" x14ac:dyDescent="0.2">
      <c r="A1684" t="s">
        <v>2201</v>
      </c>
      <c r="B1684" t="s">
        <v>525</v>
      </c>
      <c r="C1684" s="1">
        <v>45362.083333333336</v>
      </c>
      <c r="D1684">
        <v>32066.560000000001</v>
      </c>
      <c r="E1684" t="s">
        <v>42</v>
      </c>
      <c r="F1684" t="s">
        <v>50</v>
      </c>
      <c r="G1684" t="s">
        <v>65</v>
      </c>
      <c r="H1684" t="s">
        <v>24</v>
      </c>
      <c r="I1684" t="s">
        <v>23</v>
      </c>
      <c r="J1684" t="s">
        <v>20</v>
      </c>
      <c r="K1684">
        <v>0</v>
      </c>
      <c r="L1684">
        <v>2</v>
      </c>
      <c r="M1684">
        <v>7.21</v>
      </c>
      <c r="N1684">
        <v>1</v>
      </c>
      <c r="O1684" t="str">
        <f>IF(financial_fraud_data[[#This Row],[Risk_Score]]&gt;8,"High",IF(financial_fraud_data[[#This Row],[Risk_Score]]&gt;5,"Med","Low"))</f>
        <v>Med</v>
      </c>
      <c r="P1684" t="str">
        <f>TEXT(financial_fraud_data[[#This Row],[Transaction_Date]],"MMM")</f>
        <v>Mar</v>
      </c>
      <c r="Q1684" t="str">
        <f>IF(financial_fraud_data[[#This Row],[Is_Fraud]]=1,"Yes","No")</f>
        <v>Yes</v>
      </c>
    </row>
    <row r="1685" spans="1:17" x14ac:dyDescent="0.2">
      <c r="A1685" t="s">
        <v>2202</v>
      </c>
      <c r="B1685" t="s">
        <v>633</v>
      </c>
      <c r="C1685" s="1">
        <v>45362.125</v>
      </c>
      <c r="D1685">
        <v>41132.9</v>
      </c>
      <c r="E1685" t="s">
        <v>42</v>
      </c>
      <c r="F1685" t="s">
        <v>27</v>
      </c>
      <c r="G1685" t="s">
        <v>28</v>
      </c>
      <c r="H1685" t="s">
        <v>29</v>
      </c>
      <c r="I1685" t="s">
        <v>23</v>
      </c>
      <c r="J1685" t="s">
        <v>37</v>
      </c>
      <c r="K1685">
        <v>1</v>
      </c>
      <c r="L1685">
        <v>3</v>
      </c>
      <c r="M1685">
        <v>11.61</v>
      </c>
      <c r="N1685">
        <v>1</v>
      </c>
      <c r="O1685" t="str">
        <f>IF(financial_fraud_data[[#This Row],[Risk_Score]]&gt;8,"High",IF(financial_fraud_data[[#This Row],[Risk_Score]]&gt;5,"Med","Low"))</f>
        <v>High</v>
      </c>
      <c r="P1685" t="str">
        <f>TEXT(financial_fraud_data[[#This Row],[Transaction_Date]],"MMM")</f>
        <v>Mar</v>
      </c>
      <c r="Q1685" t="str">
        <f>IF(financial_fraud_data[[#This Row],[Is_Fraud]]=1,"Yes","No")</f>
        <v>Yes</v>
      </c>
    </row>
    <row r="1686" spans="1:17" x14ac:dyDescent="0.2">
      <c r="A1686" t="s">
        <v>2203</v>
      </c>
      <c r="B1686" t="s">
        <v>413</v>
      </c>
      <c r="C1686" s="1">
        <v>45362.166666666664</v>
      </c>
      <c r="D1686">
        <v>6669.61</v>
      </c>
      <c r="E1686" t="s">
        <v>80</v>
      </c>
      <c r="F1686" t="s">
        <v>50</v>
      </c>
      <c r="G1686" t="s">
        <v>65</v>
      </c>
      <c r="H1686" t="s">
        <v>29</v>
      </c>
      <c r="I1686" t="s">
        <v>19</v>
      </c>
      <c r="J1686" t="s">
        <v>51</v>
      </c>
      <c r="K1686">
        <v>0</v>
      </c>
      <c r="L1686">
        <v>2</v>
      </c>
      <c r="M1686">
        <v>4.67</v>
      </c>
      <c r="N1686">
        <v>0</v>
      </c>
      <c r="O1686" t="str">
        <f>IF(financial_fraud_data[[#This Row],[Risk_Score]]&gt;8,"High",IF(financial_fraud_data[[#This Row],[Risk_Score]]&gt;5,"Med","Low"))</f>
        <v>Low</v>
      </c>
      <c r="P1686" t="str">
        <f>TEXT(financial_fraud_data[[#This Row],[Transaction_Date]],"MMM")</f>
        <v>Mar</v>
      </c>
      <c r="Q1686" t="str">
        <f>IF(financial_fraud_data[[#This Row],[Is_Fraud]]=1,"Yes","No")</f>
        <v>No</v>
      </c>
    </row>
    <row r="1687" spans="1:17" x14ac:dyDescent="0.2">
      <c r="A1687" t="s">
        <v>2204</v>
      </c>
      <c r="B1687" t="s">
        <v>1772</v>
      </c>
      <c r="C1687" s="1">
        <v>45362.208333333336</v>
      </c>
      <c r="D1687">
        <v>43107.62</v>
      </c>
      <c r="E1687" t="s">
        <v>80</v>
      </c>
      <c r="F1687" t="s">
        <v>27</v>
      </c>
      <c r="G1687" t="s">
        <v>56</v>
      </c>
      <c r="H1687" t="s">
        <v>19</v>
      </c>
      <c r="I1687" t="s">
        <v>23</v>
      </c>
      <c r="J1687" t="s">
        <v>37</v>
      </c>
      <c r="K1687">
        <v>0</v>
      </c>
      <c r="L1687">
        <v>0</v>
      </c>
      <c r="M1687">
        <v>5.31</v>
      </c>
      <c r="N1687">
        <v>1</v>
      </c>
      <c r="O1687" t="str">
        <f>IF(financial_fraud_data[[#This Row],[Risk_Score]]&gt;8,"High",IF(financial_fraud_data[[#This Row],[Risk_Score]]&gt;5,"Med","Low"))</f>
        <v>Med</v>
      </c>
      <c r="P1687" t="str">
        <f>TEXT(financial_fraud_data[[#This Row],[Transaction_Date]],"MMM")</f>
        <v>Mar</v>
      </c>
      <c r="Q1687" t="str">
        <f>IF(financial_fraud_data[[#This Row],[Is_Fraud]]=1,"Yes","No")</f>
        <v>Yes</v>
      </c>
    </row>
    <row r="1688" spans="1:17" x14ac:dyDescent="0.2">
      <c r="A1688" t="s">
        <v>2205</v>
      </c>
      <c r="B1688" t="s">
        <v>590</v>
      </c>
      <c r="C1688" s="1">
        <v>45362.25</v>
      </c>
      <c r="D1688">
        <v>46141.72</v>
      </c>
      <c r="E1688" t="s">
        <v>80</v>
      </c>
      <c r="F1688" t="s">
        <v>50</v>
      </c>
      <c r="G1688" t="s">
        <v>65</v>
      </c>
      <c r="H1688" t="s">
        <v>19</v>
      </c>
      <c r="I1688" t="s">
        <v>19</v>
      </c>
      <c r="J1688" t="s">
        <v>37</v>
      </c>
      <c r="K1688">
        <v>0</v>
      </c>
      <c r="L1688">
        <v>2</v>
      </c>
      <c r="M1688">
        <v>7.61</v>
      </c>
      <c r="N1688">
        <v>1</v>
      </c>
      <c r="O1688" t="str">
        <f>IF(financial_fraud_data[[#This Row],[Risk_Score]]&gt;8,"High",IF(financial_fraud_data[[#This Row],[Risk_Score]]&gt;5,"Med","Low"))</f>
        <v>Med</v>
      </c>
      <c r="P1688" t="str">
        <f>TEXT(financial_fraud_data[[#This Row],[Transaction_Date]],"MMM")</f>
        <v>Mar</v>
      </c>
      <c r="Q1688" t="str">
        <f>IF(financial_fraud_data[[#This Row],[Is_Fraud]]=1,"Yes","No")</f>
        <v>Yes</v>
      </c>
    </row>
    <row r="1689" spans="1:17" x14ac:dyDescent="0.2">
      <c r="A1689" t="s">
        <v>2206</v>
      </c>
      <c r="B1689" t="s">
        <v>731</v>
      </c>
      <c r="C1689" s="1">
        <v>45362.291666666664</v>
      </c>
      <c r="D1689">
        <v>24378.74</v>
      </c>
      <c r="E1689" t="s">
        <v>34</v>
      </c>
      <c r="F1689" t="s">
        <v>27</v>
      </c>
      <c r="G1689" t="s">
        <v>65</v>
      </c>
      <c r="H1689" t="s">
        <v>19</v>
      </c>
      <c r="I1689" t="s">
        <v>36</v>
      </c>
      <c r="J1689" t="s">
        <v>51</v>
      </c>
      <c r="K1689">
        <v>0</v>
      </c>
      <c r="L1689">
        <v>2</v>
      </c>
      <c r="M1689">
        <v>6.44</v>
      </c>
      <c r="N1689">
        <v>1</v>
      </c>
      <c r="O1689" t="str">
        <f>IF(financial_fraud_data[[#This Row],[Risk_Score]]&gt;8,"High",IF(financial_fraud_data[[#This Row],[Risk_Score]]&gt;5,"Med","Low"))</f>
        <v>Med</v>
      </c>
      <c r="P1689" t="str">
        <f>TEXT(financial_fraud_data[[#This Row],[Transaction_Date]],"MMM")</f>
        <v>Mar</v>
      </c>
      <c r="Q1689" t="str">
        <f>IF(financial_fraud_data[[#This Row],[Is_Fraud]]=1,"Yes","No")</f>
        <v>Yes</v>
      </c>
    </row>
    <row r="1690" spans="1:17" x14ac:dyDescent="0.2">
      <c r="A1690" t="s">
        <v>2207</v>
      </c>
      <c r="B1690" t="s">
        <v>67</v>
      </c>
      <c r="C1690" s="1">
        <v>45362.333333333336</v>
      </c>
      <c r="D1690">
        <v>30332.33</v>
      </c>
      <c r="E1690" t="s">
        <v>80</v>
      </c>
      <c r="F1690" t="s">
        <v>50</v>
      </c>
      <c r="G1690" t="s">
        <v>65</v>
      </c>
      <c r="H1690" t="s">
        <v>29</v>
      </c>
      <c r="I1690" t="s">
        <v>24</v>
      </c>
      <c r="J1690" t="s">
        <v>20</v>
      </c>
      <c r="K1690">
        <v>0</v>
      </c>
      <c r="L1690">
        <v>1</v>
      </c>
      <c r="M1690">
        <v>5.53</v>
      </c>
      <c r="N1690">
        <v>1</v>
      </c>
      <c r="O1690" t="str">
        <f>IF(financial_fraud_data[[#This Row],[Risk_Score]]&gt;8,"High",IF(financial_fraud_data[[#This Row],[Risk_Score]]&gt;5,"Med","Low"))</f>
        <v>Med</v>
      </c>
      <c r="P1690" t="str">
        <f>TEXT(financial_fraud_data[[#This Row],[Transaction_Date]],"MMM")</f>
        <v>Mar</v>
      </c>
      <c r="Q1690" t="str">
        <f>IF(financial_fraud_data[[#This Row],[Is_Fraud]]=1,"Yes","No")</f>
        <v>Yes</v>
      </c>
    </row>
    <row r="1691" spans="1:17" x14ac:dyDescent="0.2">
      <c r="A1691" t="s">
        <v>2208</v>
      </c>
      <c r="B1691" t="s">
        <v>168</v>
      </c>
      <c r="C1691" s="1">
        <v>45362.375</v>
      </c>
      <c r="D1691">
        <v>38252.25</v>
      </c>
      <c r="E1691" t="s">
        <v>42</v>
      </c>
      <c r="F1691" t="s">
        <v>27</v>
      </c>
      <c r="G1691" t="s">
        <v>18</v>
      </c>
      <c r="H1691" t="s">
        <v>29</v>
      </c>
      <c r="I1691" t="s">
        <v>29</v>
      </c>
      <c r="J1691" t="s">
        <v>37</v>
      </c>
      <c r="K1691">
        <v>1</v>
      </c>
      <c r="L1691">
        <v>1</v>
      </c>
      <c r="M1691">
        <v>7.33</v>
      </c>
      <c r="N1691">
        <v>1</v>
      </c>
      <c r="O1691" t="str">
        <f>IF(financial_fraud_data[[#This Row],[Risk_Score]]&gt;8,"High",IF(financial_fraud_data[[#This Row],[Risk_Score]]&gt;5,"Med","Low"))</f>
        <v>Med</v>
      </c>
      <c r="P1691" t="str">
        <f>TEXT(financial_fraud_data[[#This Row],[Transaction_Date]],"MMM")</f>
        <v>Mar</v>
      </c>
      <c r="Q1691" t="str">
        <f>IF(financial_fraud_data[[#This Row],[Is_Fraud]]=1,"Yes","No")</f>
        <v>Yes</v>
      </c>
    </row>
    <row r="1692" spans="1:17" x14ac:dyDescent="0.2">
      <c r="A1692" t="s">
        <v>2209</v>
      </c>
      <c r="B1692" t="s">
        <v>1289</v>
      </c>
      <c r="C1692" s="1">
        <v>45362.416666666664</v>
      </c>
      <c r="D1692">
        <v>8783.19</v>
      </c>
      <c r="E1692" t="s">
        <v>42</v>
      </c>
      <c r="F1692" t="s">
        <v>50</v>
      </c>
      <c r="G1692" t="s">
        <v>18</v>
      </c>
      <c r="H1692" t="s">
        <v>24</v>
      </c>
      <c r="I1692" t="s">
        <v>19</v>
      </c>
      <c r="J1692" t="s">
        <v>20</v>
      </c>
      <c r="K1692">
        <v>1</v>
      </c>
      <c r="L1692">
        <v>3</v>
      </c>
      <c r="M1692">
        <v>8.3800000000000008</v>
      </c>
      <c r="N1692">
        <v>1</v>
      </c>
      <c r="O1692" t="str">
        <f>IF(financial_fraud_data[[#This Row],[Risk_Score]]&gt;8,"High",IF(financial_fraud_data[[#This Row],[Risk_Score]]&gt;5,"Med","Low"))</f>
        <v>High</v>
      </c>
      <c r="P1692" t="str">
        <f>TEXT(financial_fraud_data[[#This Row],[Transaction_Date]],"MMM")</f>
        <v>Mar</v>
      </c>
      <c r="Q1692" t="str">
        <f>IF(financial_fraud_data[[#This Row],[Is_Fraud]]=1,"Yes","No")</f>
        <v>Yes</v>
      </c>
    </row>
    <row r="1693" spans="1:17" x14ac:dyDescent="0.2">
      <c r="A1693" t="s">
        <v>2210</v>
      </c>
      <c r="B1693" t="s">
        <v>1628</v>
      </c>
      <c r="C1693" s="1">
        <v>45362.458333333336</v>
      </c>
      <c r="D1693">
        <v>25153.18</v>
      </c>
      <c r="E1693" t="s">
        <v>16</v>
      </c>
      <c r="F1693" t="s">
        <v>17</v>
      </c>
      <c r="G1693" t="s">
        <v>28</v>
      </c>
      <c r="H1693" t="s">
        <v>36</v>
      </c>
      <c r="I1693" t="s">
        <v>23</v>
      </c>
      <c r="J1693" t="s">
        <v>51</v>
      </c>
      <c r="K1693">
        <v>0</v>
      </c>
      <c r="L1693">
        <v>2</v>
      </c>
      <c r="M1693">
        <v>6.52</v>
      </c>
      <c r="N1693">
        <v>1</v>
      </c>
      <c r="O1693" t="str">
        <f>IF(financial_fraud_data[[#This Row],[Risk_Score]]&gt;8,"High",IF(financial_fraud_data[[#This Row],[Risk_Score]]&gt;5,"Med","Low"))</f>
        <v>Med</v>
      </c>
      <c r="P1693" t="str">
        <f>TEXT(financial_fraud_data[[#This Row],[Transaction_Date]],"MMM")</f>
        <v>Mar</v>
      </c>
      <c r="Q1693" t="str">
        <f>IF(financial_fraud_data[[#This Row],[Is_Fraud]]=1,"Yes","No")</f>
        <v>Yes</v>
      </c>
    </row>
    <row r="1694" spans="1:17" x14ac:dyDescent="0.2">
      <c r="A1694" t="s">
        <v>2211</v>
      </c>
      <c r="B1694" t="s">
        <v>365</v>
      </c>
      <c r="C1694" s="1">
        <v>45362.5</v>
      </c>
      <c r="D1694">
        <v>19963.22</v>
      </c>
      <c r="E1694" t="s">
        <v>80</v>
      </c>
      <c r="F1694" t="s">
        <v>17</v>
      </c>
      <c r="G1694" t="s">
        <v>56</v>
      </c>
      <c r="H1694" t="s">
        <v>19</v>
      </c>
      <c r="I1694" t="s">
        <v>19</v>
      </c>
      <c r="J1694" t="s">
        <v>37</v>
      </c>
      <c r="K1694">
        <v>0</v>
      </c>
      <c r="L1694">
        <v>2</v>
      </c>
      <c r="M1694">
        <v>5</v>
      </c>
      <c r="N1694">
        <v>0</v>
      </c>
      <c r="O1694" t="str">
        <f>IF(financial_fraud_data[[#This Row],[Risk_Score]]&gt;8,"High",IF(financial_fraud_data[[#This Row],[Risk_Score]]&gt;5,"Med","Low"))</f>
        <v>Low</v>
      </c>
      <c r="P1694" t="str">
        <f>TEXT(financial_fraud_data[[#This Row],[Transaction_Date]],"MMM")</f>
        <v>Mar</v>
      </c>
      <c r="Q1694" t="str">
        <f>IF(financial_fraud_data[[#This Row],[Is_Fraud]]=1,"Yes","No")</f>
        <v>No</v>
      </c>
    </row>
    <row r="1695" spans="1:17" x14ac:dyDescent="0.2">
      <c r="A1695" t="s">
        <v>2212</v>
      </c>
      <c r="B1695" t="s">
        <v>549</v>
      </c>
      <c r="C1695" s="1">
        <v>45362.541666666664</v>
      </c>
      <c r="D1695">
        <v>7361.38</v>
      </c>
      <c r="E1695" t="s">
        <v>34</v>
      </c>
      <c r="F1695" t="s">
        <v>47</v>
      </c>
      <c r="G1695" t="s">
        <v>65</v>
      </c>
      <c r="H1695" t="s">
        <v>24</v>
      </c>
      <c r="I1695" t="s">
        <v>19</v>
      </c>
      <c r="J1695" t="s">
        <v>20</v>
      </c>
      <c r="K1695">
        <v>0</v>
      </c>
      <c r="L1695">
        <v>3</v>
      </c>
      <c r="M1695">
        <v>6.24</v>
      </c>
      <c r="N1695">
        <v>1</v>
      </c>
      <c r="O1695" t="str">
        <f>IF(financial_fraud_data[[#This Row],[Risk_Score]]&gt;8,"High",IF(financial_fraud_data[[#This Row],[Risk_Score]]&gt;5,"Med","Low"))</f>
        <v>Med</v>
      </c>
      <c r="P1695" t="str">
        <f>TEXT(financial_fraud_data[[#This Row],[Transaction_Date]],"MMM")</f>
        <v>Mar</v>
      </c>
      <c r="Q1695" t="str">
        <f>IF(financial_fraud_data[[#This Row],[Is_Fraud]]=1,"Yes","No")</f>
        <v>Yes</v>
      </c>
    </row>
    <row r="1696" spans="1:17" x14ac:dyDescent="0.2">
      <c r="A1696" t="s">
        <v>2213</v>
      </c>
      <c r="B1696" t="s">
        <v>1821</v>
      </c>
      <c r="C1696" s="1">
        <v>45362.583333333336</v>
      </c>
      <c r="D1696">
        <v>18408.34</v>
      </c>
      <c r="E1696" t="s">
        <v>34</v>
      </c>
      <c r="F1696" t="s">
        <v>27</v>
      </c>
      <c r="G1696" t="s">
        <v>65</v>
      </c>
      <c r="H1696" t="s">
        <v>24</v>
      </c>
      <c r="I1696" t="s">
        <v>23</v>
      </c>
      <c r="J1696" t="s">
        <v>20</v>
      </c>
      <c r="K1696">
        <v>0</v>
      </c>
      <c r="L1696">
        <v>4</v>
      </c>
      <c r="M1696">
        <v>8.84</v>
      </c>
      <c r="N1696">
        <v>1</v>
      </c>
      <c r="O1696" t="str">
        <f>IF(financial_fraud_data[[#This Row],[Risk_Score]]&gt;8,"High",IF(financial_fraud_data[[#This Row],[Risk_Score]]&gt;5,"Med","Low"))</f>
        <v>High</v>
      </c>
      <c r="P1696" t="str">
        <f>TEXT(financial_fraud_data[[#This Row],[Transaction_Date]],"MMM")</f>
        <v>Mar</v>
      </c>
      <c r="Q1696" t="str">
        <f>IF(financial_fraud_data[[#This Row],[Is_Fraud]]=1,"Yes","No")</f>
        <v>Yes</v>
      </c>
    </row>
    <row r="1697" spans="1:17" x14ac:dyDescent="0.2">
      <c r="A1697" t="s">
        <v>2214</v>
      </c>
      <c r="B1697" t="s">
        <v>1744</v>
      </c>
      <c r="C1697" s="1">
        <v>45362.625</v>
      </c>
      <c r="D1697">
        <v>3455.21</v>
      </c>
      <c r="E1697" t="s">
        <v>34</v>
      </c>
      <c r="F1697" t="s">
        <v>50</v>
      </c>
      <c r="G1697" t="s">
        <v>65</v>
      </c>
      <c r="H1697" t="s">
        <v>23</v>
      </c>
      <c r="I1697" t="s">
        <v>23</v>
      </c>
      <c r="J1697" t="s">
        <v>37</v>
      </c>
      <c r="K1697">
        <v>0</v>
      </c>
      <c r="L1697">
        <v>3</v>
      </c>
      <c r="M1697">
        <v>4.8499999999999996</v>
      </c>
      <c r="N1697">
        <v>0</v>
      </c>
      <c r="O1697" t="str">
        <f>IF(financial_fraud_data[[#This Row],[Risk_Score]]&gt;8,"High",IF(financial_fraud_data[[#This Row],[Risk_Score]]&gt;5,"Med","Low"))</f>
        <v>Low</v>
      </c>
      <c r="P1697" t="str">
        <f>TEXT(financial_fraud_data[[#This Row],[Transaction_Date]],"MMM")</f>
        <v>Mar</v>
      </c>
      <c r="Q1697" t="str">
        <f>IF(financial_fraud_data[[#This Row],[Is_Fraud]]=1,"Yes","No")</f>
        <v>No</v>
      </c>
    </row>
    <row r="1698" spans="1:17" x14ac:dyDescent="0.2">
      <c r="A1698" t="s">
        <v>2215</v>
      </c>
      <c r="B1698" t="s">
        <v>572</v>
      </c>
      <c r="C1698" s="1">
        <v>45362.666666666664</v>
      </c>
      <c r="D1698">
        <v>1339.3</v>
      </c>
      <c r="E1698" t="s">
        <v>16</v>
      </c>
      <c r="F1698" t="s">
        <v>27</v>
      </c>
      <c r="G1698" t="s">
        <v>65</v>
      </c>
      <c r="H1698" t="s">
        <v>19</v>
      </c>
      <c r="I1698" t="s">
        <v>24</v>
      </c>
      <c r="J1698" t="s">
        <v>20</v>
      </c>
      <c r="K1698">
        <v>0</v>
      </c>
      <c r="L1698">
        <v>1</v>
      </c>
      <c r="M1698">
        <v>2.63</v>
      </c>
      <c r="N1698">
        <v>0</v>
      </c>
      <c r="O1698" t="str">
        <f>IF(financial_fraud_data[[#This Row],[Risk_Score]]&gt;8,"High",IF(financial_fraud_data[[#This Row],[Risk_Score]]&gt;5,"Med","Low"))</f>
        <v>Low</v>
      </c>
      <c r="P1698" t="str">
        <f>TEXT(financial_fraud_data[[#This Row],[Transaction_Date]],"MMM")</f>
        <v>Mar</v>
      </c>
      <c r="Q1698" t="str">
        <f>IF(financial_fraud_data[[#This Row],[Is_Fraud]]=1,"Yes","No")</f>
        <v>No</v>
      </c>
    </row>
    <row r="1699" spans="1:17" x14ac:dyDescent="0.2">
      <c r="A1699" t="s">
        <v>2216</v>
      </c>
      <c r="B1699" t="s">
        <v>1090</v>
      </c>
      <c r="C1699" s="1">
        <v>45362.708333333336</v>
      </c>
      <c r="D1699">
        <v>6801.56</v>
      </c>
      <c r="E1699" t="s">
        <v>42</v>
      </c>
      <c r="F1699" t="s">
        <v>17</v>
      </c>
      <c r="G1699" t="s">
        <v>18</v>
      </c>
      <c r="H1699" t="s">
        <v>24</v>
      </c>
      <c r="I1699" t="s">
        <v>29</v>
      </c>
      <c r="J1699" t="s">
        <v>20</v>
      </c>
      <c r="K1699">
        <v>0</v>
      </c>
      <c r="L1699">
        <v>1</v>
      </c>
      <c r="M1699">
        <v>3.18</v>
      </c>
      <c r="N1699">
        <v>0</v>
      </c>
      <c r="O1699" t="str">
        <f>IF(financial_fraud_data[[#This Row],[Risk_Score]]&gt;8,"High",IF(financial_fraud_data[[#This Row],[Risk_Score]]&gt;5,"Med","Low"))</f>
        <v>Low</v>
      </c>
      <c r="P1699" t="str">
        <f>TEXT(financial_fraud_data[[#This Row],[Transaction_Date]],"MMM")</f>
        <v>Mar</v>
      </c>
      <c r="Q1699" t="str">
        <f>IF(financial_fraud_data[[#This Row],[Is_Fraud]]=1,"Yes","No")</f>
        <v>No</v>
      </c>
    </row>
    <row r="1700" spans="1:17" x14ac:dyDescent="0.2">
      <c r="A1700" t="s">
        <v>2217</v>
      </c>
      <c r="B1700" t="s">
        <v>251</v>
      </c>
      <c r="C1700" s="1">
        <v>45362.75</v>
      </c>
      <c r="D1700">
        <v>48157.599999999999</v>
      </c>
      <c r="E1700" t="s">
        <v>34</v>
      </c>
      <c r="F1700" t="s">
        <v>27</v>
      </c>
      <c r="G1700" t="s">
        <v>28</v>
      </c>
      <c r="H1700" t="s">
        <v>23</v>
      </c>
      <c r="I1700" t="s">
        <v>24</v>
      </c>
      <c r="J1700" t="s">
        <v>51</v>
      </c>
      <c r="K1700">
        <v>0</v>
      </c>
      <c r="L1700">
        <v>2</v>
      </c>
      <c r="M1700">
        <v>8.82</v>
      </c>
      <c r="N1700">
        <v>1</v>
      </c>
      <c r="O1700" t="str">
        <f>IF(financial_fraud_data[[#This Row],[Risk_Score]]&gt;8,"High",IF(financial_fraud_data[[#This Row],[Risk_Score]]&gt;5,"Med","Low"))</f>
        <v>High</v>
      </c>
      <c r="P1700" t="str">
        <f>TEXT(financial_fraud_data[[#This Row],[Transaction_Date]],"MMM")</f>
        <v>Mar</v>
      </c>
      <c r="Q1700" t="str">
        <f>IF(financial_fraud_data[[#This Row],[Is_Fraud]]=1,"Yes","No")</f>
        <v>Yes</v>
      </c>
    </row>
    <row r="1701" spans="1:17" x14ac:dyDescent="0.2">
      <c r="A1701" t="s">
        <v>2218</v>
      </c>
      <c r="B1701" t="s">
        <v>88</v>
      </c>
      <c r="C1701" s="1">
        <v>45362.791666666664</v>
      </c>
      <c r="D1701">
        <v>27499</v>
      </c>
      <c r="E1701" t="s">
        <v>42</v>
      </c>
      <c r="F1701" t="s">
        <v>50</v>
      </c>
      <c r="G1701" t="s">
        <v>35</v>
      </c>
      <c r="H1701" t="s">
        <v>19</v>
      </c>
      <c r="I1701" t="s">
        <v>24</v>
      </c>
      <c r="J1701" t="s">
        <v>51</v>
      </c>
      <c r="K1701">
        <v>0</v>
      </c>
      <c r="L1701">
        <v>1</v>
      </c>
      <c r="M1701">
        <v>5.25</v>
      </c>
      <c r="N1701">
        <v>1</v>
      </c>
      <c r="O1701" t="str">
        <f>IF(financial_fraud_data[[#This Row],[Risk_Score]]&gt;8,"High",IF(financial_fraud_data[[#This Row],[Risk_Score]]&gt;5,"Med","Low"))</f>
        <v>Med</v>
      </c>
      <c r="P1701" t="str">
        <f>TEXT(financial_fraud_data[[#This Row],[Transaction_Date]],"MMM")</f>
        <v>Mar</v>
      </c>
      <c r="Q1701" t="str">
        <f>IF(financial_fraud_data[[#This Row],[Is_Fraud]]=1,"Yes","No")</f>
        <v>Yes</v>
      </c>
    </row>
    <row r="1702" spans="1:17" x14ac:dyDescent="0.2">
      <c r="A1702" t="s">
        <v>2219</v>
      </c>
      <c r="B1702" t="s">
        <v>527</v>
      </c>
      <c r="C1702" s="1">
        <v>45362.833333333336</v>
      </c>
      <c r="D1702">
        <v>48292.82</v>
      </c>
      <c r="E1702" t="s">
        <v>16</v>
      </c>
      <c r="F1702" t="s">
        <v>27</v>
      </c>
      <c r="G1702" t="s">
        <v>56</v>
      </c>
      <c r="H1702" t="s">
        <v>29</v>
      </c>
      <c r="I1702" t="s">
        <v>23</v>
      </c>
      <c r="J1702" t="s">
        <v>20</v>
      </c>
      <c r="K1702">
        <v>1</v>
      </c>
      <c r="L1702">
        <v>3</v>
      </c>
      <c r="M1702">
        <v>12.33</v>
      </c>
      <c r="N1702">
        <v>1</v>
      </c>
      <c r="O1702" t="str">
        <f>IF(financial_fraud_data[[#This Row],[Risk_Score]]&gt;8,"High",IF(financial_fraud_data[[#This Row],[Risk_Score]]&gt;5,"Med","Low"))</f>
        <v>High</v>
      </c>
      <c r="P1702" t="str">
        <f>TEXT(financial_fraud_data[[#This Row],[Transaction_Date]],"MMM")</f>
        <v>Mar</v>
      </c>
      <c r="Q1702" t="str">
        <f>IF(financial_fraud_data[[#This Row],[Is_Fraud]]=1,"Yes","No")</f>
        <v>Yes</v>
      </c>
    </row>
    <row r="1703" spans="1:17" x14ac:dyDescent="0.2">
      <c r="A1703" t="s">
        <v>2220</v>
      </c>
      <c r="B1703" t="s">
        <v>2221</v>
      </c>
      <c r="C1703" s="1">
        <v>45362.875</v>
      </c>
      <c r="D1703">
        <v>21653.27</v>
      </c>
      <c r="E1703" t="s">
        <v>80</v>
      </c>
      <c r="F1703" t="s">
        <v>50</v>
      </c>
      <c r="G1703" t="s">
        <v>65</v>
      </c>
      <c r="H1703" t="s">
        <v>23</v>
      </c>
      <c r="I1703" t="s">
        <v>23</v>
      </c>
      <c r="J1703" t="s">
        <v>20</v>
      </c>
      <c r="K1703">
        <v>0</v>
      </c>
      <c r="L1703">
        <v>2</v>
      </c>
      <c r="M1703">
        <v>5.17</v>
      </c>
      <c r="N1703">
        <v>1</v>
      </c>
      <c r="O1703" t="str">
        <f>IF(financial_fraud_data[[#This Row],[Risk_Score]]&gt;8,"High",IF(financial_fraud_data[[#This Row],[Risk_Score]]&gt;5,"Med","Low"))</f>
        <v>Med</v>
      </c>
      <c r="P1703" t="str">
        <f>TEXT(financial_fraud_data[[#This Row],[Transaction_Date]],"MMM")</f>
        <v>Mar</v>
      </c>
      <c r="Q1703" t="str">
        <f>IF(financial_fraud_data[[#This Row],[Is_Fraud]]=1,"Yes","No")</f>
        <v>Yes</v>
      </c>
    </row>
    <row r="1704" spans="1:17" x14ac:dyDescent="0.2">
      <c r="A1704" t="s">
        <v>2222</v>
      </c>
      <c r="B1704" t="s">
        <v>486</v>
      </c>
      <c r="C1704" s="1">
        <v>45362.916666666664</v>
      </c>
      <c r="D1704">
        <v>15625.22</v>
      </c>
      <c r="E1704" t="s">
        <v>80</v>
      </c>
      <c r="F1704" t="s">
        <v>17</v>
      </c>
      <c r="G1704" t="s">
        <v>28</v>
      </c>
      <c r="H1704" t="s">
        <v>29</v>
      </c>
      <c r="I1704" t="s">
        <v>29</v>
      </c>
      <c r="J1704" t="s">
        <v>37</v>
      </c>
      <c r="K1704">
        <v>1</v>
      </c>
      <c r="L1704">
        <v>3</v>
      </c>
      <c r="M1704">
        <v>8.06</v>
      </c>
      <c r="N1704">
        <v>1</v>
      </c>
      <c r="O1704" t="str">
        <f>IF(financial_fraud_data[[#This Row],[Risk_Score]]&gt;8,"High",IF(financial_fraud_data[[#This Row],[Risk_Score]]&gt;5,"Med","Low"))</f>
        <v>High</v>
      </c>
      <c r="P1704" t="str">
        <f>TEXT(financial_fraud_data[[#This Row],[Transaction_Date]],"MMM")</f>
        <v>Mar</v>
      </c>
      <c r="Q1704" t="str">
        <f>IF(financial_fraud_data[[#This Row],[Is_Fraud]]=1,"Yes","No")</f>
        <v>Yes</v>
      </c>
    </row>
    <row r="1705" spans="1:17" x14ac:dyDescent="0.2">
      <c r="A1705" t="s">
        <v>2223</v>
      </c>
      <c r="B1705" t="s">
        <v>409</v>
      </c>
      <c r="C1705" s="1">
        <v>45362.958333333336</v>
      </c>
      <c r="D1705">
        <v>25331.79</v>
      </c>
      <c r="E1705" t="s">
        <v>80</v>
      </c>
      <c r="F1705" t="s">
        <v>17</v>
      </c>
      <c r="G1705" t="s">
        <v>35</v>
      </c>
      <c r="H1705" t="s">
        <v>36</v>
      </c>
      <c r="I1705" t="s">
        <v>19</v>
      </c>
      <c r="J1705" t="s">
        <v>51</v>
      </c>
      <c r="K1705">
        <v>0</v>
      </c>
      <c r="L1705">
        <v>3</v>
      </c>
      <c r="M1705">
        <v>8.0299999999999994</v>
      </c>
      <c r="N1705">
        <v>1</v>
      </c>
      <c r="O1705" t="str">
        <f>IF(financial_fraud_data[[#This Row],[Risk_Score]]&gt;8,"High",IF(financial_fraud_data[[#This Row],[Risk_Score]]&gt;5,"Med","Low"))</f>
        <v>High</v>
      </c>
      <c r="P1705" t="str">
        <f>TEXT(financial_fraud_data[[#This Row],[Transaction_Date]],"MMM")</f>
        <v>Mar</v>
      </c>
      <c r="Q1705" t="str">
        <f>IF(financial_fraud_data[[#This Row],[Is_Fraud]]=1,"Yes","No")</f>
        <v>Yes</v>
      </c>
    </row>
    <row r="1706" spans="1:17" x14ac:dyDescent="0.2">
      <c r="A1706" t="s">
        <v>2224</v>
      </c>
      <c r="B1706" t="s">
        <v>538</v>
      </c>
      <c r="C1706" s="1">
        <v>45363</v>
      </c>
      <c r="D1706">
        <v>22003.61</v>
      </c>
      <c r="E1706" t="s">
        <v>34</v>
      </c>
      <c r="F1706" t="s">
        <v>17</v>
      </c>
      <c r="G1706" t="s">
        <v>28</v>
      </c>
      <c r="H1706" t="s">
        <v>36</v>
      </c>
      <c r="I1706" t="s">
        <v>24</v>
      </c>
      <c r="J1706" t="s">
        <v>37</v>
      </c>
      <c r="K1706">
        <v>0</v>
      </c>
      <c r="L1706">
        <v>2</v>
      </c>
      <c r="M1706">
        <v>6.2</v>
      </c>
      <c r="N1706">
        <v>1</v>
      </c>
      <c r="O1706" t="str">
        <f>IF(financial_fraud_data[[#This Row],[Risk_Score]]&gt;8,"High",IF(financial_fraud_data[[#This Row],[Risk_Score]]&gt;5,"Med","Low"))</f>
        <v>Med</v>
      </c>
      <c r="P1706" t="str">
        <f>TEXT(financial_fraud_data[[#This Row],[Transaction_Date]],"MMM")</f>
        <v>Mar</v>
      </c>
      <c r="Q1706" t="str">
        <f>IF(financial_fraud_data[[#This Row],[Is_Fraud]]=1,"Yes","No")</f>
        <v>Yes</v>
      </c>
    </row>
    <row r="1707" spans="1:17" x14ac:dyDescent="0.2">
      <c r="A1707" t="s">
        <v>2225</v>
      </c>
      <c r="B1707" t="s">
        <v>516</v>
      </c>
      <c r="C1707" s="1">
        <v>45363.041666666664</v>
      </c>
      <c r="D1707">
        <v>5327.95</v>
      </c>
      <c r="E1707" t="s">
        <v>80</v>
      </c>
      <c r="F1707" t="s">
        <v>47</v>
      </c>
      <c r="G1707" t="s">
        <v>18</v>
      </c>
      <c r="H1707" t="s">
        <v>36</v>
      </c>
      <c r="I1707" t="s">
        <v>29</v>
      </c>
      <c r="J1707" t="s">
        <v>20</v>
      </c>
      <c r="K1707">
        <v>0</v>
      </c>
      <c r="L1707">
        <v>4</v>
      </c>
      <c r="M1707">
        <v>7.53</v>
      </c>
      <c r="N1707">
        <v>1</v>
      </c>
      <c r="O1707" t="str">
        <f>IF(financial_fraud_data[[#This Row],[Risk_Score]]&gt;8,"High",IF(financial_fraud_data[[#This Row],[Risk_Score]]&gt;5,"Med","Low"))</f>
        <v>Med</v>
      </c>
      <c r="P1707" t="str">
        <f>TEXT(financial_fraud_data[[#This Row],[Transaction_Date]],"MMM")</f>
        <v>Mar</v>
      </c>
      <c r="Q1707" t="str">
        <f>IF(financial_fraud_data[[#This Row],[Is_Fraud]]=1,"Yes","No")</f>
        <v>Yes</v>
      </c>
    </row>
    <row r="1708" spans="1:17" x14ac:dyDescent="0.2">
      <c r="A1708" t="s">
        <v>2226</v>
      </c>
      <c r="B1708" t="s">
        <v>676</v>
      </c>
      <c r="C1708" s="1">
        <v>45363.083333333336</v>
      </c>
      <c r="D1708">
        <v>32059.27</v>
      </c>
      <c r="E1708" t="s">
        <v>34</v>
      </c>
      <c r="F1708" t="s">
        <v>17</v>
      </c>
      <c r="G1708" t="s">
        <v>35</v>
      </c>
      <c r="H1708" t="s">
        <v>36</v>
      </c>
      <c r="I1708" t="s">
        <v>24</v>
      </c>
      <c r="J1708" t="s">
        <v>37</v>
      </c>
      <c r="K1708">
        <v>0</v>
      </c>
      <c r="L1708">
        <v>1</v>
      </c>
      <c r="M1708">
        <v>5.71</v>
      </c>
      <c r="N1708">
        <v>1</v>
      </c>
      <c r="O1708" t="str">
        <f>IF(financial_fraud_data[[#This Row],[Risk_Score]]&gt;8,"High",IF(financial_fraud_data[[#This Row],[Risk_Score]]&gt;5,"Med","Low"))</f>
        <v>Med</v>
      </c>
      <c r="P1708" t="str">
        <f>TEXT(financial_fraud_data[[#This Row],[Transaction_Date]],"MMM")</f>
        <v>Mar</v>
      </c>
      <c r="Q1708" t="str">
        <f>IF(financial_fraud_data[[#This Row],[Is_Fraud]]=1,"Yes","No")</f>
        <v>Yes</v>
      </c>
    </row>
    <row r="1709" spans="1:17" x14ac:dyDescent="0.2">
      <c r="A1709" t="s">
        <v>2227</v>
      </c>
      <c r="B1709" t="s">
        <v>688</v>
      </c>
      <c r="C1709" s="1">
        <v>45363.125</v>
      </c>
      <c r="D1709">
        <v>10841.11</v>
      </c>
      <c r="E1709" t="s">
        <v>16</v>
      </c>
      <c r="F1709" t="s">
        <v>27</v>
      </c>
      <c r="G1709" t="s">
        <v>28</v>
      </c>
      <c r="H1709" t="s">
        <v>24</v>
      </c>
      <c r="I1709" t="s">
        <v>19</v>
      </c>
      <c r="J1709" t="s">
        <v>20</v>
      </c>
      <c r="K1709">
        <v>0</v>
      </c>
      <c r="L1709">
        <v>0</v>
      </c>
      <c r="M1709">
        <v>2.08</v>
      </c>
      <c r="N1709">
        <v>0</v>
      </c>
      <c r="O1709" t="str">
        <f>IF(financial_fraud_data[[#This Row],[Risk_Score]]&gt;8,"High",IF(financial_fraud_data[[#This Row],[Risk_Score]]&gt;5,"Med","Low"))</f>
        <v>Low</v>
      </c>
      <c r="P1709" t="str">
        <f>TEXT(financial_fraud_data[[#This Row],[Transaction_Date]],"MMM")</f>
        <v>Mar</v>
      </c>
      <c r="Q1709" t="str">
        <f>IF(financial_fraud_data[[#This Row],[Is_Fraud]]=1,"Yes","No")</f>
        <v>No</v>
      </c>
    </row>
    <row r="1710" spans="1:17" x14ac:dyDescent="0.2">
      <c r="A1710" t="s">
        <v>2228</v>
      </c>
      <c r="B1710" t="s">
        <v>453</v>
      </c>
      <c r="C1710" s="1">
        <v>45363.166666666664</v>
      </c>
      <c r="D1710">
        <v>30998.42</v>
      </c>
      <c r="E1710" t="s">
        <v>16</v>
      </c>
      <c r="F1710" t="s">
        <v>47</v>
      </c>
      <c r="G1710" t="s">
        <v>18</v>
      </c>
      <c r="H1710" t="s">
        <v>36</v>
      </c>
      <c r="I1710" t="s">
        <v>24</v>
      </c>
      <c r="J1710" t="s">
        <v>51</v>
      </c>
      <c r="K1710">
        <v>1</v>
      </c>
      <c r="L1710">
        <v>0</v>
      </c>
      <c r="M1710">
        <v>6.1</v>
      </c>
      <c r="N1710">
        <v>1</v>
      </c>
      <c r="O1710" t="str">
        <f>IF(financial_fraud_data[[#This Row],[Risk_Score]]&gt;8,"High",IF(financial_fraud_data[[#This Row],[Risk_Score]]&gt;5,"Med","Low"))</f>
        <v>Med</v>
      </c>
      <c r="P1710" t="str">
        <f>TEXT(financial_fraud_data[[#This Row],[Transaction_Date]],"MMM")</f>
        <v>Mar</v>
      </c>
      <c r="Q1710" t="str">
        <f>IF(financial_fraud_data[[#This Row],[Is_Fraud]]=1,"Yes","No")</f>
        <v>Yes</v>
      </c>
    </row>
    <row r="1711" spans="1:17" x14ac:dyDescent="0.2">
      <c r="A1711" t="s">
        <v>2229</v>
      </c>
      <c r="B1711" t="s">
        <v>898</v>
      </c>
      <c r="C1711" s="1">
        <v>45363.208333333336</v>
      </c>
      <c r="D1711">
        <v>32527.54</v>
      </c>
      <c r="E1711" t="s">
        <v>34</v>
      </c>
      <c r="F1711" t="s">
        <v>17</v>
      </c>
      <c r="G1711" t="s">
        <v>28</v>
      </c>
      <c r="H1711" t="s">
        <v>24</v>
      </c>
      <c r="I1711" t="s">
        <v>36</v>
      </c>
      <c r="J1711" t="s">
        <v>51</v>
      </c>
      <c r="K1711">
        <v>1</v>
      </c>
      <c r="L1711">
        <v>0</v>
      </c>
      <c r="M1711">
        <v>6.25</v>
      </c>
      <c r="N1711">
        <v>1</v>
      </c>
      <c r="O1711" t="str">
        <f>IF(financial_fraud_data[[#This Row],[Risk_Score]]&gt;8,"High",IF(financial_fraud_data[[#This Row],[Risk_Score]]&gt;5,"Med","Low"))</f>
        <v>Med</v>
      </c>
      <c r="P1711" t="str">
        <f>TEXT(financial_fraud_data[[#This Row],[Transaction_Date]],"MMM")</f>
        <v>Mar</v>
      </c>
      <c r="Q1711" t="str">
        <f>IF(financial_fraud_data[[#This Row],[Is_Fraud]]=1,"Yes","No")</f>
        <v>Yes</v>
      </c>
    </row>
    <row r="1712" spans="1:17" x14ac:dyDescent="0.2">
      <c r="A1712" t="s">
        <v>2230</v>
      </c>
      <c r="B1712" t="s">
        <v>182</v>
      </c>
      <c r="C1712" s="1">
        <v>45363.25</v>
      </c>
      <c r="D1712">
        <v>7643.64</v>
      </c>
      <c r="E1712" t="s">
        <v>42</v>
      </c>
      <c r="F1712" t="s">
        <v>27</v>
      </c>
      <c r="G1712" t="s">
        <v>28</v>
      </c>
      <c r="H1712" t="s">
        <v>24</v>
      </c>
      <c r="I1712" t="s">
        <v>29</v>
      </c>
      <c r="J1712" t="s">
        <v>20</v>
      </c>
      <c r="K1712">
        <v>0</v>
      </c>
      <c r="L1712">
        <v>1</v>
      </c>
      <c r="M1712">
        <v>3.26</v>
      </c>
      <c r="N1712">
        <v>0</v>
      </c>
      <c r="O1712" t="str">
        <f>IF(financial_fraud_data[[#This Row],[Risk_Score]]&gt;8,"High",IF(financial_fraud_data[[#This Row],[Risk_Score]]&gt;5,"Med","Low"))</f>
        <v>Low</v>
      </c>
      <c r="P1712" t="str">
        <f>TEXT(financial_fraud_data[[#This Row],[Transaction_Date]],"MMM")</f>
        <v>Mar</v>
      </c>
      <c r="Q1712" t="str">
        <f>IF(financial_fraud_data[[#This Row],[Is_Fraud]]=1,"Yes","No")</f>
        <v>No</v>
      </c>
    </row>
    <row r="1713" spans="1:17" x14ac:dyDescent="0.2">
      <c r="A1713" t="s">
        <v>2231</v>
      </c>
      <c r="B1713" t="s">
        <v>347</v>
      </c>
      <c r="C1713" s="1">
        <v>45363.291666666664</v>
      </c>
      <c r="D1713">
        <v>3114.41</v>
      </c>
      <c r="E1713" t="s">
        <v>80</v>
      </c>
      <c r="F1713" t="s">
        <v>27</v>
      </c>
      <c r="G1713" t="s">
        <v>35</v>
      </c>
      <c r="H1713" t="s">
        <v>19</v>
      </c>
      <c r="I1713" t="s">
        <v>23</v>
      </c>
      <c r="J1713" t="s">
        <v>51</v>
      </c>
      <c r="K1713">
        <v>0</v>
      </c>
      <c r="L1713">
        <v>4</v>
      </c>
      <c r="M1713">
        <v>7.31</v>
      </c>
      <c r="N1713">
        <v>1</v>
      </c>
      <c r="O1713" t="str">
        <f>IF(financial_fraud_data[[#This Row],[Risk_Score]]&gt;8,"High",IF(financial_fraud_data[[#This Row],[Risk_Score]]&gt;5,"Med","Low"))</f>
        <v>Med</v>
      </c>
      <c r="P1713" t="str">
        <f>TEXT(financial_fraud_data[[#This Row],[Transaction_Date]],"MMM")</f>
        <v>Mar</v>
      </c>
      <c r="Q1713" t="str">
        <f>IF(financial_fraud_data[[#This Row],[Is_Fraud]]=1,"Yes","No")</f>
        <v>Yes</v>
      </c>
    </row>
    <row r="1714" spans="1:17" x14ac:dyDescent="0.2">
      <c r="A1714" t="s">
        <v>2232</v>
      </c>
      <c r="B1714" t="s">
        <v>898</v>
      </c>
      <c r="C1714" s="1">
        <v>45363.333333333336</v>
      </c>
      <c r="D1714">
        <v>39049.040000000001</v>
      </c>
      <c r="E1714" t="s">
        <v>80</v>
      </c>
      <c r="F1714" t="s">
        <v>27</v>
      </c>
      <c r="G1714" t="s">
        <v>18</v>
      </c>
      <c r="H1714" t="s">
        <v>24</v>
      </c>
      <c r="I1714" t="s">
        <v>24</v>
      </c>
      <c r="J1714" t="s">
        <v>20</v>
      </c>
      <c r="K1714">
        <v>0</v>
      </c>
      <c r="L1714">
        <v>3</v>
      </c>
      <c r="M1714">
        <v>8.4</v>
      </c>
      <c r="N1714">
        <v>1</v>
      </c>
      <c r="O1714" t="str">
        <f>IF(financial_fraud_data[[#This Row],[Risk_Score]]&gt;8,"High",IF(financial_fraud_data[[#This Row],[Risk_Score]]&gt;5,"Med","Low"))</f>
        <v>High</v>
      </c>
      <c r="P1714" t="str">
        <f>TEXT(financial_fraud_data[[#This Row],[Transaction_Date]],"MMM")</f>
        <v>Mar</v>
      </c>
      <c r="Q1714" t="str">
        <f>IF(financial_fraud_data[[#This Row],[Is_Fraud]]=1,"Yes","No")</f>
        <v>Yes</v>
      </c>
    </row>
    <row r="1715" spans="1:17" x14ac:dyDescent="0.2">
      <c r="A1715" t="s">
        <v>2233</v>
      </c>
      <c r="B1715" t="s">
        <v>324</v>
      </c>
      <c r="C1715" s="1">
        <v>45363.375</v>
      </c>
      <c r="D1715">
        <v>23017.03</v>
      </c>
      <c r="E1715" t="s">
        <v>80</v>
      </c>
      <c r="F1715" t="s">
        <v>50</v>
      </c>
      <c r="G1715" t="s">
        <v>65</v>
      </c>
      <c r="H1715" t="s">
        <v>24</v>
      </c>
      <c r="I1715" t="s">
        <v>29</v>
      </c>
      <c r="J1715" t="s">
        <v>37</v>
      </c>
      <c r="K1715">
        <v>0</v>
      </c>
      <c r="L1715">
        <v>2</v>
      </c>
      <c r="M1715">
        <v>6.3</v>
      </c>
      <c r="N1715">
        <v>1</v>
      </c>
      <c r="O1715" t="str">
        <f>IF(financial_fraud_data[[#This Row],[Risk_Score]]&gt;8,"High",IF(financial_fraud_data[[#This Row],[Risk_Score]]&gt;5,"Med","Low"))</f>
        <v>Med</v>
      </c>
      <c r="P1715" t="str">
        <f>TEXT(financial_fraud_data[[#This Row],[Transaction_Date]],"MMM")</f>
        <v>Mar</v>
      </c>
      <c r="Q1715" t="str">
        <f>IF(financial_fraud_data[[#This Row],[Is_Fraud]]=1,"Yes","No")</f>
        <v>Yes</v>
      </c>
    </row>
    <row r="1716" spans="1:17" x14ac:dyDescent="0.2">
      <c r="A1716" t="s">
        <v>2234</v>
      </c>
      <c r="B1716" t="s">
        <v>453</v>
      </c>
      <c r="C1716" s="1">
        <v>45363.416666666664</v>
      </c>
      <c r="D1716">
        <v>2955.28</v>
      </c>
      <c r="E1716" t="s">
        <v>34</v>
      </c>
      <c r="F1716" t="s">
        <v>47</v>
      </c>
      <c r="G1716" t="s">
        <v>56</v>
      </c>
      <c r="H1716" t="s">
        <v>36</v>
      </c>
      <c r="I1716" t="s">
        <v>29</v>
      </c>
      <c r="J1716" t="s">
        <v>20</v>
      </c>
      <c r="K1716">
        <v>0</v>
      </c>
      <c r="L1716">
        <v>4</v>
      </c>
      <c r="M1716">
        <v>7.3</v>
      </c>
      <c r="N1716">
        <v>1</v>
      </c>
      <c r="O1716" t="str">
        <f>IF(financial_fraud_data[[#This Row],[Risk_Score]]&gt;8,"High",IF(financial_fraud_data[[#This Row],[Risk_Score]]&gt;5,"Med","Low"))</f>
        <v>Med</v>
      </c>
      <c r="P1716" t="str">
        <f>TEXT(financial_fraud_data[[#This Row],[Transaction_Date]],"MMM")</f>
        <v>Mar</v>
      </c>
      <c r="Q1716" t="str">
        <f>IF(financial_fraud_data[[#This Row],[Is_Fraud]]=1,"Yes","No")</f>
        <v>Yes</v>
      </c>
    </row>
    <row r="1717" spans="1:17" x14ac:dyDescent="0.2">
      <c r="A1717" t="s">
        <v>2235</v>
      </c>
      <c r="B1717" t="s">
        <v>1649</v>
      </c>
      <c r="C1717" s="1">
        <v>45363.458333333336</v>
      </c>
      <c r="D1717">
        <v>49743.57</v>
      </c>
      <c r="E1717" t="s">
        <v>16</v>
      </c>
      <c r="F1717" t="s">
        <v>27</v>
      </c>
      <c r="G1717" t="s">
        <v>35</v>
      </c>
      <c r="H1717" t="s">
        <v>24</v>
      </c>
      <c r="I1717" t="s">
        <v>24</v>
      </c>
      <c r="J1717" t="s">
        <v>37</v>
      </c>
      <c r="K1717">
        <v>0</v>
      </c>
      <c r="L1717">
        <v>0</v>
      </c>
      <c r="M1717">
        <v>4.97</v>
      </c>
      <c r="N1717">
        <v>0</v>
      </c>
      <c r="O1717" t="str">
        <f>IF(financial_fraud_data[[#This Row],[Risk_Score]]&gt;8,"High",IF(financial_fraud_data[[#This Row],[Risk_Score]]&gt;5,"Med","Low"))</f>
        <v>Low</v>
      </c>
      <c r="P1717" t="str">
        <f>TEXT(financial_fraud_data[[#This Row],[Transaction_Date]],"MMM")</f>
        <v>Mar</v>
      </c>
      <c r="Q1717" t="str">
        <f>IF(financial_fraud_data[[#This Row],[Is_Fraud]]=1,"Yes","No")</f>
        <v>No</v>
      </c>
    </row>
    <row r="1718" spans="1:17" x14ac:dyDescent="0.2">
      <c r="A1718" t="s">
        <v>2236</v>
      </c>
      <c r="B1718" t="s">
        <v>249</v>
      </c>
      <c r="C1718" s="1">
        <v>45363.5</v>
      </c>
      <c r="D1718">
        <v>2936.14</v>
      </c>
      <c r="E1718" t="s">
        <v>80</v>
      </c>
      <c r="F1718" t="s">
        <v>50</v>
      </c>
      <c r="G1718" t="s">
        <v>18</v>
      </c>
      <c r="H1718" t="s">
        <v>29</v>
      </c>
      <c r="I1718" t="s">
        <v>23</v>
      </c>
      <c r="J1718" t="s">
        <v>20</v>
      </c>
      <c r="K1718">
        <v>0</v>
      </c>
      <c r="L1718">
        <v>1</v>
      </c>
      <c r="M1718">
        <v>2.79</v>
      </c>
      <c r="N1718">
        <v>0</v>
      </c>
      <c r="O1718" t="str">
        <f>IF(financial_fraud_data[[#This Row],[Risk_Score]]&gt;8,"High",IF(financial_fraud_data[[#This Row],[Risk_Score]]&gt;5,"Med","Low"))</f>
        <v>Low</v>
      </c>
      <c r="P1718" t="str">
        <f>TEXT(financial_fraud_data[[#This Row],[Transaction_Date]],"MMM")</f>
        <v>Mar</v>
      </c>
      <c r="Q1718" t="str">
        <f>IF(financial_fraud_data[[#This Row],[Is_Fraud]]=1,"Yes","No")</f>
        <v>No</v>
      </c>
    </row>
    <row r="1719" spans="1:17" x14ac:dyDescent="0.2">
      <c r="A1719" t="s">
        <v>2237</v>
      </c>
      <c r="B1719" t="s">
        <v>1079</v>
      </c>
      <c r="C1719" s="1">
        <v>45363.541666666664</v>
      </c>
      <c r="D1719">
        <v>34767.01</v>
      </c>
      <c r="E1719" t="s">
        <v>16</v>
      </c>
      <c r="F1719" t="s">
        <v>17</v>
      </c>
      <c r="G1719" t="s">
        <v>28</v>
      </c>
      <c r="H1719" t="s">
        <v>36</v>
      </c>
      <c r="I1719" t="s">
        <v>23</v>
      </c>
      <c r="J1719" t="s">
        <v>51</v>
      </c>
      <c r="K1719">
        <v>0</v>
      </c>
      <c r="L1719">
        <v>1</v>
      </c>
      <c r="M1719">
        <v>5.98</v>
      </c>
      <c r="N1719">
        <v>1</v>
      </c>
      <c r="O1719" t="str">
        <f>IF(financial_fraud_data[[#This Row],[Risk_Score]]&gt;8,"High",IF(financial_fraud_data[[#This Row],[Risk_Score]]&gt;5,"Med","Low"))</f>
        <v>Med</v>
      </c>
      <c r="P1719" t="str">
        <f>TEXT(financial_fraud_data[[#This Row],[Transaction_Date]],"MMM")</f>
        <v>Mar</v>
      </c>
      <c r="Q1719" t="str">
        <f>IF(financial_fraud_data[[#This Row],[Is_Fraud]]=1,"Yes","No")</f>
        <v>Yes</v>
      </c>
    </row>
    <row r="1720" spans="1:17" x14ac:dyDescent="0.2">
      <c r="A1720" t="s">
        <v>2238</v>
      </c>
      <c r="B1720" t="s">
        <v>224</v>
      </c>
      <c r="C1720" s="1">
        <v>45363.583333333336</v>
      </c>
      <c r="D1720">
        <v>49184.76</v>
      </c>
      <c r="E1720" t="s">
        <v>80</v>
      </c>
      <c r="F1720" t="s">
        <v>27</v>
      </c>
      <c r="G1720" t="s">
        <v>18</v>
      </c>
      <c r="H1720" t="s">
        <v>23</v>
      </c>
      <c r="I1720" t="s">
        <v>24</v>
      </c>
      <c r="J1720" t="s">
        <v>20</v>
      </c>
      <c r="K1720">
        <v>0</v>
      </c>
      <c r="L1720">
        <v>2</v>
      </c>
      <c r="M1720">
        <v>8.92</v>
      </c>
      <c r="N1720">
        <v>1</v>
      </c>
      <c r="O1720" t="str">
        <f>IF(financial_fraud_data[[#This Row],[Risk_Score]]&gt;8,"High",IF(financial_fraud_data[[#This Row],[Risk_Score]]&gt;5,"Med","Low"))</f>
        <v>High</v>
      </c>
      <c r="P1720" t="str">
        <f>TEXT(financial_fraud_data[[#This Row],[Transaction_Date]],"MMM")</f>
        <v>Mar</v>
      </c>
      <c r="Q1720" t="str">
        <f>IF(financial_fraud_data[[#This Row],[Is_Fraud]]=1,"Yes","No")</f>
        <v>Yes</v>
      </c>
    </row>
    <row r="1721" spans="1:17" x14ac:dyDescent="0.2">
      <c r="A1721" t="s">
        <v>2239</v>
      </c>
      <c r="B1721" t="s">
        <v>276</v>
      </c>
      <c r="C1721" s="1">
        <v>45363.625</v>
      </c>
      <c r="D1721">
        <v>11997.05</v>
      </c>
      <c r="E1721" t="s">
        <v>80</v>
      </c>
      <c r="F1721" t="s">
        <v>50</v>
      </c>
      <c r="G1721" t="s">
        <v>56</v>
      </c>
      <c r="H1721" t="s">
        <v>36</v>
      </c>
      <c r="I1721" t="s">
        <v>29</v>
      </c>
      <c r="J1721" t="s">
        <v>20</v>
      </c>
      <c r="K1721">
        <v>0</v>
      </c>
      <c r="L1721">
        <v>3</v>
      </c>
      <c r="M1721">
        <v>6.7</v>
      </c>
      <c r="N1721">
        <v>1</v>
      </c>
      <c r="O1721" t="str">
        <f>IF(financial_fraud_data[[#This Row],[Risk_Score]]&gt;8,"High",IF(financial_fraud_data[[#This Row],[Risk_Score]]&gt;5,"Med","Low"))</f>
        <v>Med</v>
      </c>
      <c r="P1721" t="str">
        <f>TEXT(financial_fraud_data[[#This Row],[Transaction_Date]],"MMM")</f>
        <v>Mar</v>
      </c>
      <c r="Q1721" t="str">
        <f>IF(financial_fraud_data[[#This Row],[Is_Fraud]]=1,"Yes","No")</f>
        <v>Yes</v>
      </c>
    </row>
    <row r="1722" spans="1:17" x14ac:dyDescent="0.2">
      <c r="A1722" t="s">
        <v>2240</v>
      </c>
      <c r="B1722" t="s">
        <v>235</v>
      </c>
      <c r="C1722" s="1">
        <v>45363.666666666664</v>
      </c>
      <c r="D1722">
        <v>7155.36</v>
      </c>
      <c r="E1722" t="s">
        <v>34</v>
      </c>
      <c r="F1722" t="s">
        <v>27</v>
      </c>
      <c r="G1722" t="s">
        <v>56</v>
      </c>
      <c r="H1722" t="s">
        <v>24</v>
      </c>
      <c r="I1722" t="s">
        <v>23</v>
      </c>
      <c r="J1722" t="s">
        <v>20</v>
      </c>
      <c r="K1722">
        <v>0</v>
      </c>
      <c r="L1722">
        <v>4</v>
      </c>
      <c r="M1722">
        <v>7.72</v>
      </c>
      <c r="N1722">
        <v>1</v>
      </c>
      <c r="O1722" t="str">
        <f>IF(financial_fraud_data[[#This Row],[Risk_Score]]&gt;8,"High",IF(financial_fraud_data[[#This Row],[Risk_Score]]&gt;5,"Med","Low"))</f>
        <v>Med</v>
      </c>
      <c r="P1722" t="str">
        <f>TEXT(financial_fraud_data[[#This Row],[Transaction_Date]],"MMM")</f>
        <v>Mar</v>
      </c>
      <c r="Q1722" t="str">
        <f>IF(financial_fraud_data[[#This Row],[Is_Fraud]]=1,"Yes","No")</f>
        <v>Yes</v>
      </c>
    </row>
    <row r="1723" spans="1:17" x14ac:dyDescent="0.2">
      <c r="A1723" t="s">
        <v>2241</v>
      </c>
      <c r="B1723" t="s">
        <v>2242</v>
      </c>
      <c r="C1723" s="1">
        <v>45363.708333333336</v>
      </c>
      <c r="D1723">
        <v>6113.18</v>
      </c>
      <c r="E1723" t="s">
        <v>42</v>
      </c>
      <c r="F1723" t="s">
        <v>47</v>
      </c>
      <c r="G1723" t="s">
        <v>65</v>
      </c>
      <c r="H1723" t="s">
        <v>29</v>
      </c>
      <c r="I1723" t="s">
        <v>24</v>
      </c>
      <c r="J1723" t="s">
        <v>51</v>
      </c>
      <c r="K1723">
        <v>1</v>
      </c>
      <c r="L1723">
        <v>4</v>
      </c>
      <c r="M1723">
        <v>9.61</v>
      </c>
      <c r="N1723">
        <v>1</v>
      </c>
      <c r="O1723" t="str">
        <f>IF(financial_fraud_data[[#This Row],[Risk_Score]]&gt;8,"High",IF(financial_fraud_data[[#This Row],[Risk_Score]]&gt;5,"Med","Low"))</f>
        <v>High</v>
      </c>
      <c r="P1723" t="str">
        <f>TEXT(financial_fraud_data[[#This Row],[Transaction_Date]],"MMM")</f>
        <v>Mar</v>
      </c>
      <c r="Q1723" t="str">
        <f>IF(financial_fraud_data[[#This Row],[Is_Fraud]]=1,"Yes","No")</f>
        <v>Yes</v>
      </c>
    </row>
    <row r="1724" spans="1:17" x14ac:dyDescent="0.2">
      <c r="A1724" t="s">
        <v>2243</v>
      </c>
      <c r="B1724" t="s">
        <v>549</v>
      </c>
      <c r="C1724" s="1">
        <v>45363.75</v>
      </c>
      <c r="D1724">
        <v>15198.59</v>
      </c>
      <c r="E1724" t="s">
        <v>34</v>
      </c>
      <c r="F1724" t="s">
        <v>47</v>
      </c>
      <c r="G1724" t="s">
        <v>65</v>
      </c>
      <c r="H1724" t="s">
        <v>36</v>
      </c>
      <c r="I1724" t="s">
        <v>24</v>
      </c>
      <c r="J1724" t="s">
        <v>20</v>
      </c>
      <c r="K1724">
        <v>0</v>
      </c>
      <c r="L1724">
        <v>4</v>
      </c>
      <c r="M1724">
        <v>8.52</v>
      </c>
      <c r="N1724">
        <v>1</v>
      </c>
      <c r="O1724" t="str">
        <f>IF(financial_fraud_data[[#This Row],[Risk_Score]]&gt;8,"High",IF(financial_fraud_data[[#This Row],[Risk_Score]]&gt;5,"Med","Low"))</f>
        <v>High</v>
      </c>
      <c r="P1724" t="str">
        <f>TEXT(financial_fraud_data[[#This Row],[Transaction_Date]],"MMM")</f>
        <v>Mar</v>
      </c>
      <c r="Q1724" t="str">
        <f>IF(financial_fraud_data[[#This Row],[Is_Fraud]]=1,"Yes","No")</f>
        <v>Yes</v>
      </c>
    </row>
    <row r="1725" spans="1:17" x14ac:dyDescent="0.2">
      <c r="A1725" t="s">
        <v>2244</v>
      </c>
      <c r="B1725" t="s">
        <v>2242</v>
      </c>
      <c r="C1725" s="1">
        <v>45363.791666666664</v>
      </c>
      <c r="D1725">
        <v>5097.24</v>
      </c>
      <c r="E1725" t="s">
        <v>80</v>
      </c>
      <c r="F1725" t="s">
        <v>17</v>
      </c>
      <c r="G1725" t="s">
        <v>56</v>
      </c>
      <c r="H1725" t="s">
        <v>29</v>
      </c>
      <c r="I1725" t="s">
        <v>24</v>
      </c>
      <c r="J1725" t="s">
        <v>51</v>
      </c>
      <c r="K1725">
        <v>1</v>
      </c>
      <c r="L1725">
        <v>3</v>
      </c>
      <c r="M1725">
        <v>8.01</v>
      </c>
      <c r="N1725">
        <v>1</v>
      </c>
      <c r="O1725" t="str">
        <f>IF(financial_fraud_data[[#This Row],[Risk_Score]]&gt;8,"High",IF(financial_fraud_data[[#This Row],[Risk_Score]]&gt;5,"Med","Low"))</f>
        <v>High</v>
      </c>
      <c r="P1725" t="str">
        <f>TEXT(financial_fraud_data[[#This Row],[Transaction_Date]],"MMM")</f>
        <v>Mar</v>
      </c>
      <c r="Q1725" t="str">
        <f>IF(financial_fraud_data[[#This Row],[Is_Fraud]]=1,"Yes","No")</f>
        <v>Yes</v>
      </c>
    </row>
    <row r="1726" spans="1:17" x14ac:dyDescent="0.2">
      <c r="A1726" t="s">
        <v>2245</v>
      </c>
      <c r="B1726" t="s">
        <v>588</v>
      </c>
      <c r="C1726" s="1">
        <v>45363.833333333336</v>
      </c>
      <c r="D1726">
        <v>34623.46</v>
      </c>
      <c r="E1726" t="s">
        <v>80</v>
      </c>
      <c r="F1726" t="s">
        <v>27</v>
      </c>
      <c r="G1726" t="s">
        <v>35</v>
      </c>
      <c r="H1726" t="s">
        <v>23</v>
      </c>
      <c r="I1726" t="s">
        <v>29</v>
      </c>
      <c r="J1726" t="s">
        <v>20</v>
      </c>
      <c r="K1726">
        <v>0</v>
      </c>
      <c r="L1726">
        <v>3</v>
      </c>
      <c r="M1726">
        <v>8.9600000000000009</v>
      </c>
      <c r="N1726">
        <v>1</v>
      </c>
      <c r="O1726" t="str">
        <f>IF(financial_fraud_data[[#This Row],[Risk_Score]]&gt;8,"High",IF(financial_fraud_data[[#This Row],[Risk_Score]]&gt;5,"Med","Low"))</f>
        <v>High</v>
      </c>
      <c r="P1726" t="str">
        <f>TEXT(financial_fraud_data[[#This Row],[Transaction_Date]],"MMM")</f>
        <v>Mar</v>
      </c>
      <c r="Q1726" t="str">
        <f>IF(financial_fraud_data[[#This Row],[Is_Fraud]]=1,"Yes","No")</f>
        <v>Yes</v>
      </c>
    </row>
    <row r="1727" spans="1:17" x14ac:dyDescent="0.2">
      <c r="A1727" t="s">
        <v>2246</v>
      </c>
      <c r="B1727" t="s">
        <v>22</v>
      </c>
      <c r="C1727" s="1">
        <v>45363.875</v>
      </c>
      <c r="D1727">
        <v>3161.48</v>
      </c>
      <c r="E1727" t="s">
        <v>42</v>
      </c>
      <c r="F1727" t="s">
        <v>50</v>
      </c>
      <c r="G1727" t="s">
        <v>35</v>
      </c>
      <c r="H1727" t="s">
        <v>23</v>
      </c>
      <c r="I1727" t="s">
        <v>23</v>
      </c>
      <c r="J1727" t="s">
        <v>37</v>
      </c>
      <c r="K1727">
        <v>1</v>
      </c>
      <c r="L1727">
        <v>3</v>
      </c>
      <c r="M1727">
        <v>6.82</v>
      </c>
      <c r="N1727">
        <v>1</v>
      </c>
      <c r="O1727" t="str">
        <f>IF(financial_fraud_data[[#This Row],[Risk_Score]]&gt;8,"High",IF(financial_fraud_data[[#This Row],[Risk_Score]]&gt;5,"Med","Low"))</f>
        <v>Med</v>
      </c>
      <c r="P1727" t="str">
        <f>TEXT(financial_fraud_data[[#This Row],[Transaction_Date]],"MMM")</f>
        <v>Mar</v>
      </c>
      <c r="Q1727" t="str">
        <f>IF(financial_fraud_data[[#This Row],[Is_Fraud]]=1,"Yes","No")</f>
        <v>Yes</v>
      </c>
    </row>
    <row r="1728" spans="1:17" x14ac:dyDescent="0.2">
      <c r="A1728" t="s">
        <v>2247</v>
      </c>
      <c r="B1728" t="s">
        <v>257</v>
      </c>
      <c r="C1728" s="1">
        <v>45363.916666666664</v>
      </c>
      <c r="D1728">
        <v>25495.64</v>
      </c>
      <c r="E1728" t="s">
        <v>16</v>
      </c>
      <c r="F1728" t="s">
        <v>17</v>
      </c>
      <c r="G1728" t="s">
        <v>28</v>
      </c>
      <c r="H1728" t="s">
        <v>19</v>
      </c>
      <c r="I1728" t="s">
        <v>29</v>
      </c>
      <c r="J1728" t="s">
        <v>20</v>
      </c>
      <c r="K1728">
        <v>0</v>
      </c>
      <c r="L1728">
        <v>2</v>
      </c>
      <c r="M1728">
        <v>6.55</v>
      </c>
      <c r="N1728">
        <v>1</v>
      </c>
      <c r="O1728" t="str">
        <f>IF(financial_fraud_data[[#This Row],[Risk_Score]]&gt;8,"High",IF(financial_fraud_data[[#This Row],[Risk_Score]]&gt;5,"Med","Low"))</f>
        <v>Med</v>
      </c>
      <c r="P1728" t="str">
        <f>TEXT(financial_fraud_data[[#This Row],[Transaction_Date]],"MMM")</f>
        <v>Mar</v>
      </c>
      <c r="Q1728" t="str">
        <f>IF(financial_fraud_data[[#This Row],[Is_Fraud]]=1,"Yes","No")</f>
        <v>Yes</v>
      </c>
    </row>
    <row r="1729" spans="1:17" x14ac:dyDescent="0.2">
      <c r="A1729" t="s">
        <v>2248</v>
      </c>
      <c r="B1729" t="s">
        <v>361</v>
      </c>
      <c r="C1729" s="1">
        <v>45363.958333333336</v>
      </c>
      <c r="D1729">
        <v>49835.01</v>
      </c>
      <c r="E1729" t="s">
        <v>16</v>
      </c>
      <c r="F1729" t="s">
        <v>27</v>
      </c>
      <c r="G1729" t="s">
        <v>65</v>
      </c>
      <c r="H1729" t="s">
        <v>19</v>
      </c>
      <c r="I1729" t="s">
        <v>36</v>
      </c>
      <c r="J1729" t="s">
        <v>37</v>
      </c>
      <c r="K1729">
        <v>0</v>
      </c>
      <c r="L1729">
        <v>1</v>
      </c>
      <c r="M1729">
        <v>7.48</v>
      </c>
      <c r="N1729">
        <v>1</v>
      </c>
      <c r="O1729" t="str">
        <f>IF(financial_fraud_data[[#This Row],[Risk_Score]]&gt;8,"High",IF(financial_fraud_data[[#This Row],[Risk_Score]]&gt;5,"Med","Low"))</f>
        <v>Med</v>
      </c>
      <c r="P1729" t="str">
        <f>TEXT(financial_fraud_data[[#This Row],[Transaction_Date]],"MMM")</f>
        <v>Mar</v>
      </c>
      <c r="Q1729" t="str">
        <f>IF(financial_fraud_data[[#This Row],[Is_Fraud]]=1,"Yes","No")</f>
        <v>Yes</v>
      </c>
    </row>
    <row r="1730" spans="1:17" x14ac:dyDescent="0.2">
      <c r="A1730" t="s">
        <v>2249</v>
      </c>
      <c r="B1730" t="s">
        <v>104</v>
      </c>
      <c r="C1730" s="1">
        <v>45364</v>
      </c>
      <c r="D1730">
        <v>40707.81</v>
      </c>
      <c r="E1730" t="s">
        <v>80</v>
      </c>
      <c r="F1730" t="s">
        <v>17</v>
      </c>
      <c r="G1730" t="s">
        <v>28</v>
      </c>
      <c r="H1730" t="s">
        <v>36</v>
      </c>
      <c r="I1730" t="s">
        <v>23</v>
      </c>
      <c r="J1730" t="s">
        <v>51</v>
      </c>
      <c r="K1730">
        <v>1</v>
      </c>
      <c r="L1730">
        <v>0</v>
      </c>
      <c r="M1730">
        <v>7.07</v>
      </c>
      <c r="N1730">
        <v>1</v>
      </c>
      <c r="O1730" t="str">
        <f>IF(financial_fraud_data[[#This Row],[Risk_Score]]&gt;8,"High",IF(financial_fraud_data[[#This Row],[Risk_Score]]&gt;5,"Med","Low"))</f>
        <v>Med</v>
      </c>
      <c r="P1730" t="str">
        <f>TEXT(financial_fraud_data[[#This Row],[Transaction_Date]],"MMM")</f>
        <v>Mar</v>
      </c>
      <c r="Q1730" t="str">
        <f>IF(financial_fraud_data[[#This Row],[Is_Fraud]]=1,"Yes","No")</f>
        <v>Yes</v>
      </c>
    </row>
    <row r="1731" spans="1:17" x14ac:dyDescent="0.2">
      <c r="A1731" t="s">
        <v>2250</v>
      </c>
      <c r="B1731" t="s">
        <v>1867</v>
      </c>
      <c r="C1731" s="1">
        <v>45364.041666666664</v>
      </c>
      <c r="D1731">
        <v>30780.21</v>
      </c>
      <c r="E1731" t="s">
        <v>16</v>
      </c>
      <c r="F1731" t="s">
        <v>50</v>
      </c>
      <c r="G1731" t="s">
        <v>65</v>
      </c>
      <c r="H1731" t="s">
        <v>19</v>
      </c>
      <c r="I1731" t="s">
        <v>29</v>
      </c>
      <c r="J1731" t="s">
        <v>51</v>
      </c>
      <c r="K1731">
        <v>0</v>
      </c>
      <c r="L1731">
        <v>3</v>
      </c>
      <c r="M1731">
        <v>8.58</v>
      </c>
      <c r="N1731">
        <v>1</v>
      </c>
      <c r="O1731" t="str">
        <f>IF(financial_fraud_data[[#This Row],[Risk_Score]]&gt;8,"High",IF(financial_fraud_data[[#This Row],[Risk_Score]]&gt;5,"Med","Low"))</f>
        <v>High</v>
      </c>
      <c r="P1731" t="str">
        <f>TEXT(financial_fraud_data[[#This Row],[Transaction_Date]],"MMM")</f>
        <v>Mar</v>
      </c>
      <c r="Q1731" t="str">
        <f>IF(financial_fraud_data[[#This Row],[Is_Fraud]]=1,"Yes","No")</f>
        <v>Yes</v>
      </c>
    </row>
    <row r="1732" spans="1:17" x14ac:dyDescent="0.2">
      <c r="A1732" t="s">
        <v>2251</v>
      </c>
      <c r="B1732" t="s">
        <v>1345</v>
      </c>
      <c r="C1732" s="1">
        <v>45364.083333333336</v>
      </c>
      <c r="D1732">
        <v>15347.37</v>
      </c>
      <c r="E1732" t="s">
        <v>80</v>
      </c>
      <c r="F1732" t="s">
        <v>17</v>
      </c>
      <c r="G1732" t="s">
        <v>56</v>
      </c>
      <c r="H1732" t="s">
        <v>29</v>
      </c>
      <c r="I1732" t="s">
        <v>23</v>
      </c>
      <c r="J1732" t="s">
        <v>20</v>
      </c>
      <c r="K1732">
        <v>0</v>
      </c>
      <c r="L1732">
        <v>1</v>
      </c>
      <c r="M1732">
        <v>4.03</v>
      </c>
      <c r="N1732">
        <v>0</v>
      </c>
      <c r="O1732" t="str">
        <f>IF(financial_fraud_data[[#This Row],[Risk_Score]]&gt;8,"High",IF(financial_fraud_data[[#This Row],[Risk_Score]]&gt;5,"Med","Low"))</f>
        <v>Low</v>
      </c>
      <c r="P1732" t="str">
        <f>TEXT(financial_fraud_data[[#This Row],[Transaction_Date]],"MMM")</f>
        <v>Mar</v>
      </c>
      <c r="Q1732" t="str">
        <f>IF(financial_fraud_data[[#This Row],[Is_Fraud]]=1,"Yes","No")</f>
        <v>No</v>
      </c>
    </row>
    <row r="1733" spans="1:17" x14ac:dyDescent="0.2">
      <c r="A1733" t="s">
        <v>2252</v>
      </c>
      <c r="B1733" t="s">
        <v>1744</v>
      </c>
      <c r="C1733" s="1">
        <v>45364.125</v>
      </c>
      <c r="D1733">
        <v>31213.599999999999</v>
      </c>
      <c r="E1733" t="s">
        <v>42</v>
      </c>
      <c r="F1733" t="s">
        <v>17</v>
      </c>
      <c r="G1733" t="s">
        <v>35</v>
      </c>
      <c r="H1733" t="s">
        <v>19</v>
      </c>
      <c r="I1733" t="s">
        <v>36</v>
      </c>
      <c r="J1733" t="s">
        <v>51</v>
      </c>
      <c r="K1733">
        <v>1</v>
      </c>
      <c r="L1733">
        <v>3</v>
      </c>
      <c r="M1733">
        <v>10.62</v>
      </c>
      <c r="N1733">
        <v>1</v>
      </c>
      <c r="O1733" t="str">
        <f>IF(financial_fraud_data[[#This Row],[Risk_Score]]&gt;8,"High",IF(financial_fraud_data[[#This Row],[Risk_Score]]&gt;5,"Med","Low"))</f>
        <v>High</v>
      </c>
      <c r="P1733" t="str">
        <f>TEXT(financial_fraud_data[[#This Row],[Transaction_Date]],"MMM")</f>
        <v>Mar</v>
      </c>
      <c r="Q1733" t="str">
        <f>IF(financial_fraud_data[[#This Row],[Is_Fraud]]=1,"Yes","No")</f>
        <v>Yes</v>
      </c>
    </row>
    <row r="1734" spans="1:17" x14ac:dyDescent="0.2">
      <c r="A1734" t="s">
        <v>2253</v>
      </c>
      <c r="B1734" t="s">
        <v>98</v>
      </c>
      <c r="C1734" s="1">
        <v>45364.166666666664</v>
      </c>
      <c r="D1734">
        <v>26375.72</v>
      </c>
      <c r="E1734" t="s">
        <v>42</v>
      </c>
      <c r="F1734" t="s">
        <v>17</v>
      </c>
      <c r="G1734" t="s">
        <v>35</v>
      </c>
      <c r="H1734" t="s">
        <v>29</v>
      </c>
      <c r="I1734" t="s">
        <v>19</v>
      </c>
      <c r="J1734" t="s">
        <v>20</v>
      </c>
      <c r="K1734">
        <v>0</v>
      </c>
      <c r="L1734">
        <v>0</v>
      </c>
      <c r="M1734">
        <v>3.64</v>
      </c>
      <c r="N1734">
        <v>0</v>
      </c>
      <c r="O1734" t="str">
        <f>IF(financial_fraud_data[[#This Row],[Risk_Score]]&gt;8,"High",IF(financial_fraud_data[[#This Row],[Risk_Score]]&gt;5,"Med","Low"))</f>
        <v>Low</v>
      </c>
      <c r="P1734" t="str">
        <f>TEXT(financial_fraud_data[[#This Row],[Transaction_Date]],"MMM")</f>
        <v>Mar</v>
      </c>
      <c r="Q1734" t="str">
        <f>IF(financial_fraud_data[[#This Row],[Is_Fraud]]=1,"Yes","No")</f>
        <v>No</v>
      </c>
    </row>
    <row r="1735" spans="1:17" x14ac:dyDescent="0.2">
      <c r="A1735" t="s">
        <v>2254</v>
      </c>
      <c r="B1735" t="s">
        <v>166</v>
      </c>
      <c r="C1735" s="1">
        <v>45364.208333333336</v>
      </c>
      <c r="D1735">
        <v>21332.87</v>
      </c>
      <c r="E1735" t="s">
        <v>80</v>
      </c>
      <c r="F1735" t="s">
        <v>27</v>
      </c>
      <c r="G1735" t="s">
        <v>56</v>
      </c>
      <c r="H1735" t="s">
        <v>19</v>
      </c>
      <c r="I1735" t="s">
        <v>24</v>
      </c>
      <c r="J1735" t="s">
        <v>51</v>
      </c>
      <c r="K1735">
        <v>1</v>
      </c>
      <c r="L1735">
        <v>3</v>
      </c>
      <c r="M1735">
        <v>9.6300000000000008</v>
      </c>
      <c r="N1735">
        <v>1</v>
      </c>
      <c r="O1735" t="str">
        <f>IF(financial_fraud_data[[#This Row],[Risk_Score]]&gt;8,"High",IF(financial_fraud_data[[#This Row],[Risk_Score]]&gt;5,"Med","Low"))</f>
        <v>High</v>
      </c>
      <c r="P1735" t="str">
        <f>TEXT(financial_fraud_data[[#This Row],[Transaction_Date]],"MMM")</f>
        <v>Mar</v>
      </c>
      <c r="Q1735" t="str">
        <f>IF(financial_fraud_data[[#This Row],[Is_Fraud]]=1,"Yes","No")</f>
        <v>Yes</v>
      </c>
    </row>
    <row r="1736" spans="1:17" x14ac:dyDescent="0.2">
      <c r="A1736" t="s">
        <v>2255</v>
      </c>
      <c r="B1736" t="s">
        <v>917</v>
      </c>
      <c r="C1736" s="1">
        <v>45364.25</v>
      </c>
      <c r="D1736">
        <v>6578.98</v>
      </c>
      <c r="E1736" t="s">
        <v>42</v>
      </c>
      <c r="F1736" t="s">
        <v>50</v>
      </c>
      <c r="G1736" t="s">
        <v>28</v>
      </c>
      <c r="H1736" t="s">
        <v>19</v>
      </c>
      <c r="I1736" t="s">
        <v>29</v>
      </c>
      <c r="J1736" t="s">
        <v>37</v>
      </c>
      <c r="K1736">
        <v>0</v>
      </c>
      <c r="L1736">
        <v>1</v>
      </c>
      <c r="M1736">
        <v>3.16</v>
      </c>
      <c r="N1736">
        <v>0</v>
      </c>
      <c r="O1736" t="str">
        <f>IF(financial_fraud_data[[#This Row],[Risk_Score]]&gt;8,"High",IF(financial_fraud_data[[#This Row],[Risk_Score]]&gt;5,"Med","Low"))</f>
        <v>Low</v>
      </c>
      <c r="P1736" t="str">
        <f>TEXT(financial_fraud_data[[#This Row],[Transaction_Date]],"MMM")</f>
        <v>Mar</v>
      </c>
      <c r="Q1736" t="str">
        <f>IF(financial_fraud_data[[#This Row],[Is_Fraud]]=1,"Yes","No")</f>
        <v>No</v>
      </c>
    </row>
    <row r="1737" spans="1:17" x14ac:dyDescent="0.2">
      <c r="A1737" t="s">
        <v>2256</v>
      </c>
      <c r="B1737" t="s">
        <v>129</v>
      </c>
      <c r="C1737" s="1">
        <v>45364.291666666664</v>
      </c>
      <c r="D1737">
        <v>44335.88</v>
      </c>
      <c r="E1737" t="s">
        <v>34</v>
      </c>
      <c r="F1737" t="s">
        <v>47</v>
      </c>
      <c r="G1737" t="s">
        <v>28</v>
      </c>
      <c r="H1737" t="s">
        <v>19</v>
      </c>
      <c r="I1737" t="s">
        <v>36</v>
      </c>
      <c r="J1737" t="s">
        <v>51</v>
      </c>
      <c r="K1737">
        <v>1</v>
      </c>
      <c r="L1737">
        <v>2</v>
      </c>
      <c r="M1737">
        <v>10.43</v>
      </c>
      <c r="N1737">
        <v>1</v>
      </c>
      <c r="O1737" t="str">
        <f>IF(financial_fraud_data[[#This Row],[Risk_Score]]&gt;8,"High",IF(financial_fraud_data[[#This Row],[Risk_Score]]&gt;5,"Med","Low"))</f>
        <v>High</v>
      </c>
      <c r="P1737" t="str">
        <f>TEXT(financial_fraud_data[[#This Row],[Transaction_Date]],"MMM")</f>
        <v>Mar</v>
      </c>
      <c r="Q1737" t="str">
        <f>IF(financial_fraud_data[[#This Row],[Is_Fraud]]=1,"Yes","No")</f>
        <v>Yes</v>
      </c>
    </row>
    <row r="1738" spans="1:17" x14ac:dyDescent="0.2">
      <c r="A1738" t="s">
        <v>2257</v>
      </c>
      <c r="B1738" t="s">
        <v>1625</v>
      </c>
      <c r="C1738" s="1">
        <v>45364.333333333336</v>
      </c>
      <c r="D1738">
        <v>22516.74</v>
      </c>
      <c r="E1738" t="s">
        <v>34</v>
      </c>
      <c r="F1738" t="s">
        <v>27</v>
      </c>
      <c r="G1738" t="s">
        <v>18</v>
      </c>
      <c r="H1738" t="s">
        <v>24</v>
      </c>
      <c r="I1738" t="s">
        <v>36</v>
      </c>
      <c r="J1738" t="s">
        <v>37</v>
      </c>
      <c r="K1738">
        <v>0</v>
      </c>
      <c r="L1738">
        <v>0</v>
      </c>
      <c r="M1738">
        <v>3.25</v>
      </c>
      <c r="N1738">
        <v>0</v>
      </c>
      <c r="O1738" t="str">
        <f>IF(financial_fraud_data[[#This Row],[Risk_Score]]&gt;8,"High",IF(financial_fraud_data[[#This Row],[Risk_Score]]&gt;5,"Med","Low"))</f>
        <v>Low</v>
      </c>
      <c r="P1738" t="str">
        <f>TEXT(financial_fraud_data[[#This Row],[Transaction_Date]],"MMM")</f>
        <v>Mar</v>
      </c>
      <c r="Q1738" t="str">
        <f>IF(financial_fraud_data[[#This Row],[Is_Fraud]]=1,"Yes","No")</f>
        <v>No</v>
      </c>
    </row>
    <row r="1739" spans="1:17" x14ac:dyDescent="0.2">
      <c r="A1739" t="s">
        <v>2258</v>
      </c>
      <c r="B1739" t="s">
        <v>1408</v>
      </c>
      <c r="C1739" s="1">
        <v>45364.375</v>
      </c>
      <c r="D1739">
        <v>9771.39</v>
      </c>
      <c r="E1739" t="s">
        <v>42</v>
      </c>
      <c r="F1739" t="s">
        <v>47</v>
      </c>
      <c r="G1739" t="s">
        <v>65</v>
      </c>
      <c r="H1739" t="s">
        <v>24</v>
      </c>
      <c r="I1739" t="s">
        <v>23</v>
      </c>
      <c r="J1739" t="s">
        <v>20</v>
      </c>
      <c r="K1739">
        <v>0</v>
      </c>
      <c r="L1739">
        <v>1</v>
      </c>
      <c r="M1739">
        <v>3.48</v>
      </c>
      <c r="N1739">
        <v>0</v>
      </c>
      <c r="O1739" t="str">
        <f>IF(financial_fraud_data[[#This Row],[Risk_Score]]&gt;8,"High",IF(financial_fraud_data[[#This Row],[Risk_Score]]&gt;5,"Med","Low"))</f>
        <v>Low</v>
      </c>
      <c r="P1739" t="str">
        <f>TEXT(financial_fraud_data[[#This Row],[Transaction_Date]],"MMM")</f>
        <v>Mar</v>
      </c>
      <c r="Q1739" t="str">
        <f>IF(financial_fraud_data[[#This Row],[Is_Fraud]]=1,"Yes","No")</f>
        <v>No</v>
      </c>
    </row>
    <row r="1740" spans="1:17" x14ac:dyDescent="0.2">
      <c r="A1740" t="s">
        <v>2259</v>
      </c>
      <c r="B1740" t="s">
        <v>957</v>
      </c>
      <c r="C1740" s="1">
        <v>45364.416666666664</v>
      </c>
      <c r="D1740">
        <v>18419.580000000002</v>
      </c>
      <c r="E1740" t="s">
        <v>80</v>
      </c>
      <c r="F1740" t="s">
        <v>47</v>
      </c>
      <c r="G1740" t="s">
        <v>28</v>
      </c>
      <c r="H1740" t="s">
        <v>19</v>
      </c>
      <c r="I1740" t="s">
        <v>23</v>
      </c>
      <c r="J1740" t="s">
        <v>20</v>
      </c>
      <c r="K1740">
        <v>0</v>
      </c>
      <c r="L1740">
        <v>4</v>
      </c>
      <c r="M1740">
        <v>8.84</v>
      </c>
      <c r="N1740">
        <v>1</v>
      </c>
      <c r="O1740" t="str">
        <f>IF(financial_fraud_data[[#This Row],[Risk_Score]]&gt;8,"High",IF(financial_fraud_data[[#This Row],[Risk_Score]]&gt;5,"Med","Low"))</f>
        <v>High</v>
      </c>
      <c r="P1740" t="str">
        <f>TEXT(financial_fraud_data[[#This Row],[Transaction_Date]],"MMM")</f>
        <v>Mar</v>
      </c>
      <c r="Q1740" t="str">
        <f>IF(financial_fraud_data[[#This Row],[Is_Fraud]]=1,"Yes","No")</f>
        <v>Yes</v>
      </c>
    </row>
    <row r="1741" spans="1:17" x14ac:dyDescent="0.2">
      <c r="A1741" t="s">
        <v>2260</v>
      </c>
      <c r="B1741" t="s">
        <v>508</v>
      </c>
      <c r="C1741" s="1">
        <v>45364.458333333336</v>
      </c>
      <c r="D1741">
        <v>20735.78</v>
      </c>
      <c r="E1741" t="s">
        <v>80</v>
      </c>
      <c r="F1741" t="s">
        <v>27</v>
      </c>
      <c r="G1741" t="s">
        <v>56</v>
      </c>
      <c r="H1741" t="s">
        <v>29</v>
      </c>
      <c r="I1741" t="s">
        <v>24</v>
      </c>
      <c r="J1741" t="s">
        <v>20</v>
      </c>
      <c r="K1741">
        <v>1</v>
      </c>
      <c r="L1741">
        <v>4</v>
      </c>
      <c r="M1741">
        <v>11.07</v>
      </c>
      <c r="N1741">
        <v>1</v>
      </c>
      <c r="O1741" t="str">
        <f>IF(financial_fraud_data[[#This Row],[Risk_Score]]&gt;8,"High",IF(financial_fraud_data[[#This Row],[Risk_Score]]&gt;5,"Med","Low"))</f>
        <v>High</v>
      </c>
      <c r="P1741" t="str">
        <f>TEXT(financial_fraud_data[[#This Row],[Transaction_Date]],"MMM")</f>
        <v>Mar</v>
      </c>
      <c r="Q1741" t="str">
        <f>IF(financial_fraud_data[[#This Row],[Is_Fraud]]=1,"Yes","No")</f>
        <v>Yes</v>
      </c>
    </row>
    <row r="1742" spans="1:17" x14ac:dyDescent="0.2">
      <c r="A1742" t="s">
        <v>2261</v>
      </c>
      <c r="B1742" t="s">
        <v>1821</v>
      </c>
      <c r="C1742" s="1">
        <v>45364.5</v>
      </c>
      <c r="D1742">
        <v>41385.519999999997</v>
      </c>
      <c r="E1742" t="s">
        <v>42</v>
      </c>
      <c r="F1742" t="s">
        <v>27</v>
      </c>
      <c r="G1742" t="s">
        <v>28</v>
      </c>
      <c r="H1742" t="s">
        <v>36</v>
      </c>
      <c r="I1742" t="s">
        <v>23</v>
      </c>
      <c r="J1742" t="s">
        <v>37</v>
      </c>
      <c r="K1742">
        <v>0</v>
      </c>
      <c r="L1742">
        <v>4</v>
      </c>
      <c r="M1742">
        <v>11.14</v>
      </c>
      <c r="N1742">
        <v>1</v>
      </c>
      <c r="O1742" t="str">
        <f>IF(financial_fraud_data[[#This Row],[Risk_Score]]&gt;8,"High",IF(financial_fraud_data[[#This Row],[Risk_Score]]&gt;5,"Med","Low"))</f>
        <v>High</v>
      </c>
      <c r="P1742" t="str">
        <f>TEXT(financial_fraud_data[[#This Row],[Transaction_Date]],"MMM")</f>
        <v>Mar</v>
      </c>
      <c r="Q1742" t="str">
        <f>IF(financial_fraud_data[[#This Row],[Is_Fraud]]=1,"Yes","No")</f>
        <v>Yes</v>
      </c>
    </row>
    <row r="1743" spans="1:17" x14ac:dyDescent="0.2">
      <c r="A1743" t="s">
        <v>2262</v>
      </c>
      <c r="B1743" t="s">
        <v>205</v>
      </c>
      <c r="C1743" s="1">
        <v>45364.541666666664</v>
      </c>
      <c r="D1743">
        <v>36694.04</v>
      </c>
      <c r="E1743" t="s">
        <v>16</v>
      </c>
      <c r="F1743" t="s">
        <v>50</v>
      </c>
      <c r="G1743" t="s">
        <v>35</v>
      </c>
      <c r="H1743" t="s">
        <v>23</v>
      </c>
      <c r="I1743" t="s">
        <v>29</v>
      </c>
      <c r="J1743" t="s">
        <v>20</v>
      </c>
      <c r="K1743">
        <v>0</v>
      </c>
      <c r="L1743">
        <v>2</v>
      </c>
      <c r="M1743">
        <v>7.67</v>
      </c>
      <c r="N1743">
        <v>1</v>
      </c>
      <c r="O1743" t="str">
        <f>IF(financial_fraud_data[[#This Row],[Risk_Score]]&gt;8,"High",IF(financial_fraud_data[[#This Row],[Risk_Score]]&gt;5,"Med","Low"))</f>
        <v>Med</v>
      </c>
      <c r="P1743" t="str">
        <f>TEXT(financial_fraud_data[[#This Row],[Transaction_Date]],"MMM")</f>
        <v>Mar</v>
      </c>
      <c r="Q1743" t="str">
        <f>IF(financial_fraud_data[[#This Row],[Is_Fraud]]=1,"Yes","No")</f>
        <v>Yes</v>
      </c>
    </row>
    <row r="1744" spans="1:17" x14ac:dyDescent="0.2">
      <c r="A1744" t="s">
        <v>2263</v>
      </c>
      <c r="B1744" t="s">
        <v>772</v>
      </c>
      <c r="C1744" s="1">
        <v>45364.583333333336</v>
      </c>
      <c r="D1744">
        <v>38476.78</v>
      </c>
      <c r="E1744" t="s">
        <v>34</v>
      </c>
      <c r="F1744" t="s">
        <v>50</v>
      </c>
      <c r="G1744" t="s">
        <v>65</v>
      </c>
      <c r="H1744" t="s">
        <v>24</v>
      </c>
      <c r="I1744" t="s">
        <v>29</v>
      </c>
      <c r="J1744" t="s">
        <v>20</v>
      </c>
      <c r="K1744">
        <v>0</v>
      </c>
      <c r="L1744">
        <v>3</v>
      </c>
      <c r="M1744">
        <v>9.35</v>
      </c>
      <c r="N1744">
        <v>1</v>
      </c>
      <c r="O1744" t="str">
        <f>IF(financial_fraud_data[[#This Row],[Risk_Score]]&gt;8,"High",IF(financial_fraud_data[[#This Row],[Risk_Score]]&gt;5,"Med","Low"))</f>
        <v>High</v>
      </c>
      <c r="P1744" t="str">
        <f>TEXT(financial_fraud_data[[#This Row],[Transaction_Date]],"MMM")</f>
        <v>Mar</v>
      </c>
      <c r="Q1744" t="str">
        <f>IF(financial_fraud_data[[#This Row],[Is_Fraud]]=1,"Yes","No")</f>
        <v>Yes</v>
      </c>
    </row>
    <row r="1745" spans="1:17" x14ac:dyDescent="0.2">
      <c r="A1745" t="s">
        <v>2264</v>
      </c>
      <c r="B1745" t="s">
        <v>1821</v>
      </c>
      <c r="C1745" s="1">
        <v>45364.625</v>
      </c>
      <c r="D1745">
        <v>601.01</v>
      </c>
      <c r="E1745" t="s">
        <v>16</v>
      </c>
      <c r="F1745" t="s">
        <v>17</v>
      </c>
      <c r="G1745" t="s">
        <v>18</v>
      </c>
      <c r="H1745" t="s">
        <v>19</v>
      </c>
      <c r="I1745" t="s">
        <v>29</v>
      </c>
      <c r="J1745" t="s">
        <v>37</v>
      </c>
      <c r="K1745">
        <v>0</v>
      </c>
      <c r="L1745">
        <v>3</v>
      </c>
      <c r="M1745">
        <v>5.56</v>
      </c>
      <c r="N1745">
        <v>1</v>
      </c>
      <c r="O1745" t="str">
        <f>IF(financial_fraud_data[[#This Row],[Risk_Score]]&gt;8,"High",IF(financial_fraud_data[[#This Row],[Risk_Score]]&gt;5,"Med","Low"))</f>
        <v>Med</v>
      </c>
      <c r="P1745" t="str">
        <f>TEXT(financial_fraud_data[[#This Row],[Transaction_Date]],"MMM")</f>
        <v>Mar</v>
      </c>
      <c r="Q1745" t="str">
        <f>IF(financial_fraud_data[[#This Row],[Is_Fraud]]=1,"Yes","No")</f>
        <v>Yes</v>
      </c>
    </row>
    <row r="1746" spans="1:17" x14ac:dyDescent="0.2">
      <c r="A1746" t="s">
        <v>2265</v>
      </c>
      <c r="B1746" t="s">
        <v>1563</v>
      </c>
      <c r="C1746" s="1">
        <v>45364.666666666664</v>
      </c>
      <c r="D1746">
        <v>20836.89</v>
      </c>
      <c r="E1746" t="s">
        <v>80</v>
      </c>
      <c r="F1746" t="s">
        <v>47</v>
      </c>
      <c r="G1746" t="s">
        <v>65</v>
      </c>
      <c r="H1746" t="s">
        <v>23</v>
      </c>
      <c r="I1746" t="s">
        <v>19</v>
      </c>
      <c r="J1746" t="s">
        <v>51</v>
      </c>
      <c r="K1746">
        <v>0</v>
      </c>
      <c r="L1746">
        <v>3</v>
      </c>
      <c r="M1746">
        <v>7.58</v>
      </c>
      <c r="N1746">
        <v>1</v>
      </c>
      <c r="O1746" t="str">
        <f>IF(financial_fraud_data[[#This Row],[Risk_Score]]&gt;8,"High",IF(financial_fraud_data[[#This Row],[Risk_Score]]&gt;5,"Med","Low"))</f>
        <v>Med</v>
      </c>
      <c r="P1746" t="str">
        <f>TEXT(financial_fraud_data[[#This Row],[Transaction_Date]],"MMM")</f>
        <v>Mar</v>
      </c>
      <c r="Q1746" t="str">
        <f>IF(financial_fraud_data[[#This Row],[Is_Fraud]]=1,"Yes","No")</f>
        <v>Yes</v>
      </c>
    </row>
    <row r="1747" spans="1:17" x14ac:dyDescent="0.2">
      <c r="A1747" t="s">
        <v>2266</v>
      </c>
      <c r="B1747" t="s">
        <v>15</v>
      </c>
      <c r="C1747" s="1">
        <v>45364.708333333336</v>
      </c>
      <c r="D1747">
        <v>24093.14</v>
      </c>
      <c r="E1747" t="s">
        <v>80</v>
      </c>
      <c r="F1747" t="s">
        <v>50</v>
      </c>
      <c r="G1747" t="s">
        <v>35</v>
      </c>
      <c r="H1747" t="s">
        <v>24</v>
      </c>
      <c r="I1747" t="s">
        <v>29</v>
      </c>
      <c r="J1747" t="s">
        <v>20</v>
      </c>
      <c r="K1747">
        <v>1</v>
      </c>
      <c r="L1747">
        <v>2</v>
      </c>
      <c r="M1747">
        <v>8.41</v>
      </c>
      <c r="N1747">
        <v>1</v>
      </c>
      <c r="O1747" t="str">
        <f>IF(financial_fraud_data[[#This Row],[Risk_Score]]&gt;8,"High",IF(financial_fraud_data[[#This Row],[Risk_Score]]&gt;5,"Med","Low"))</f>
        <v>High</v>
      </c>
      <c r="P1747" t="str">
        <f>TEXT(financial_fraud_data[[#This Row],[Transaction_Date]],"MMM")</f>
        <v>Mar</v>
      </c>
      <c r="Q1747" t="str">
        <f>IF(financial_fraud_data[[#This Row],[Is_Fraud]]=1,"Yes","No")</f>
        <v>Yes</v>
      </c>
    </row>
    <row r="1748" spans="1:17" x14ac:dyDescent="0.2">
      <c r="A1748" t="s">
        <v>2267</v>
      </c>
      <c r="B1748" t="s">
        <v>423</v>
      </c>
      <c r="C1748" s="1">
        <v>45364.75</v>
      </c>
      <c r="D1748">
        <v>1008.65</v>
      </c>
      <c r="E1748" t="s">
        <v>16</v>
      </c>
      <c r="F1748" t="s">
        <v>17</v>
      </c>
      <c r="G1748" t="s">
        <v>35</v>
      </c>
      <c r="H1748" t="s">
        <v>36</v>
      </c>
      <c r="I1748" t="s">
        <v>23</v>
      </c>
      <c r="J1748" t="s">
        <v>51</v>
      </c>
      <c r="K1748">
        <v>0</v>
      </c>
      <c r="L1748">
        <v>4</v>
      </c>
      <c r="M1748">
        <v>7.1</v>
      </c>
      <c r="N1748">
        <v>1</v>
      </c>
      <c r="O1748" t="str">
        <f>IF(financial_fraud_data[[#This Row],[Risk_Score]]&gt;8,"High",IF(financial_fraud_data[[#This Row],[Risk_Score]]&gt;5,"Med","Low"))</f>
        <v>Med</v>
      </c>
      <c r="P1748" t="str">
        <f>TEXT(financial_fraud_data[[#This Row],[Transaction_Date]],"MMM")</f>
        <v>Mar</v>
      </c>
      <c r="Q1748" t="str">
        <f>IF(financial_fraud_data[[#This Row],[Is_Fraud]]=1,"Yes","No")</f>
        <v>Yes</v>
      </c>
    </row>
    <row r="1749" spans="1:17" x14ac:dyDescent="0.2">
      <c r="A1749" t="s">
        <v>2268</v>
      </c>
      <c r="B1749" t="s">
        <v>1235</v>
      </c>
      <c r="C1749" s="1">
        <v>45364.791666666664</v>
      </c>
      <c r="D1749">
        <v>13027.67</v>
      </c>
      <c r="E1749" t="s">
        <v>42</v>
      </c>
      <c r="F1749" t="s">
        <v>50</v>
      </c>
      <c r="G1749" t="s">
        <v>35</v>
      </c>
      <c r="H1749" t="s">
        <v>29</v>
      </c>
      <c r="I1749" t="s">
        <v>23</v>
      </c>
      <c r="J1749" t="s">
        <v>51</v>
      </c>
      <c r="K1749">
        <v>0</v>
      </c>
      <c r="L1749">
        <v>3</v>
      </c>
      <c r="M1749">
        <v>6.8</v>
      </c>
      <c r="N1749">
        <v>1</v>
      </c>
      <c r="O1749" t="str">
        <f>IF(financial_fraud_data[[#This Row],[Risk_Score]]&gt;8,"High",IF(financial_fraud_data[[#This Row],[Risk_Score]]&gt;5,"Med","Low"))</f>
        <v>Med</v>
      </c>
      <c r="P1749" t="str">
        <f>TEXT(financial_fraud_data[[#This Row],[Transaction_Date]],"MMM")</f>
        <v>Mar</v>
      </c>
      <c r="Q1749" t="str">
        <f>IF(financial_fraud_data[[#This Row],[Is_Fraud]]=1,"Yes","No")</f>
        <v>Yes</v>
      </c>
    </row>
    <row r="1750" spans="1:17" x14ac:dyDescent="0.2">
      <c r="A1750" t="s">
        <v>2269</v>
      </c>
      <c r="B1750" t="s">
        <v>549</v>
      </c>
      <c r="C1750" s="1">
        <v>45364.833333333336</v>
      </c>
      <c r="D1750">
        <v>38026.480000000003</v>
      </c>
      <c r="E1750" t="s">
        <v>16</v>
      </c>
      <c r="F1750" t="s">
        <v>27</v>
      </c>
      <c r="G1750" t="s">
        <v>35</v>
      </c>
      <c r="H1750" t="s">
        <v>19</v>
      </c>
      <c r="I1750" t="s">
        <v>29</v>
      </c>
      <c r="J1750" t="s">
        <v>20</v>
      </c>
      <c r="K1750">
        <v>0</v>
      </c>
      <c r="L1750">
        <v>2</v>
      </c>
      <c r="M1750">
        <v>7.8</v>
      </c>
      <c r="N1750">
        <v>1</v>
      </c>
      <c r="O1750" t="str">
        <f>IF(financial_fraud_data[[#This Row],[Risk_Score]]&gt;8,"High",IF(financial_fraud_data[[#This Row],[Risk_Score]]&gt;5,"Med","Low"))</f>
        <v>Med</v>
      </c>
      <c r="P1750" t="str">
        <f>TEXT(financial_fraud_data[[#This Row],[Transaction_Date]],"MMM")</f>
        <v>Mar</v>
      </c>
      <c r="Q1750" t="str">
        <f>IF(financial_fraud_data[[#This Row],[Is_Fraud]]=1,"Yes","No")</f>
        <v>Yes</v>
      </c>
    </row>
    <row r="1751" spans="1:17" x14ac:dyDescent="0.2">
      <c r="A1751" t="s">
        <v>2270</v>
      </c>
      <c r="B1751" t="s">
        <v>2271</v>
      </c>
      <c r="C1751" s="1">
        <v>45364.875</v>
      </c>
      <c r="D1751">
        <v>6898.63</v>
      </c>
      <c r="E1751" t="s">
        <v>16</v>
      </c>
      <c r="F1751" t="s">
        <v>50</v>
      </c>
      <c r="G1751" t="s">
        <v>56</v>
      </c>
      <c r="H1751" t="s">
        <v>36</v>
      </c>
      <c r="I1751" t="s">
        <v>36</v>
      </c>
      <c r="J1751" t="s">
        <v>20</v>
      </c>
      <c r="K1751">
        <v>0</v>
      </c>
      <c r="L1751">
        <v>2</v>
      </c>
      <c r="M1751">
        <v>3.69</v>
      </c>
      <c r="N1751">
        <v>0</v>
      </c>
      <c r="O1751" t="str">
        <f>IF(financial_fraud_data[[#This Row],[Risk_Score]]&gt;8,"High",IF(financial_fraud_data[[#This Row],[Risk_Score]]&gt;5,"Med","Low"))</f>
        <v>Low</v>
      </c>
      <c r="P1751" t="str">
        <f>TEXT(financial_fraud_data[[#This Row],[Transaction_Date]],"MMM")</f>
        <v>Mar</v>
      </c>
      <c r="Q1751" t="str">
        <f>IF(financial_fraud_data[[#This Row],[Is_Fraud]]=1,"Yes","No")</f>
        <v>No</v>
      </c>
    </row>
    <row r="1752" spans="1:17" x14ac:dyDescent="0.2">
      <c r="A1752" t="s">
        <v>2272</v>
      </c>
      <c r="B1752" t="s">
        <v>680</v>
      </c>
      <c r="C1752" s="1">
        <v>45364.916666666664</v>
      </c>
      <c r="D1752">
        <v>26788.74</v>
      </c>
      <c r="E1752" t="s">
        <v>34</v>
      </c>
      <c r="F1752" t="s">
        <v>47</v>
      </c>
      <c r="G1752" t="s">
        <v>18</v>
      </c>
      <c r="H1752" t="s">
        <v>24</v>
      </c>
      <c r="I1752" t="s">
        <v>36</v>
      </c>
      <c r="J1752" t="s">
        <v>37</v>
      </c>
      <c r="K1752">
        <v>0</v>
      </c>
      <c r="L1752">
        <v>1</v>
      </c>
      <c r="M1752">
        <v>5.18</v>
      </c>
      <c r="N1752">
        <v>1</v>
      </c>
      <c r="O1752" t="str">
        <f>IF(financial_fraud_data[[#This Row],[Risk_Score]]&gt;8,"High",IF(financial_fraud_data[[#This Row],[Risk_Score]]&gt;5,"Med","Low"))</f>
        <v>Med</v>
      </c>
      <c r="P1752" t="str">
        <f>TEXT(financial_fraud_data[[#This Row],[Transaction_Date]],"MMM")</f>
        <v>Mar</v>
      </c>
      <c r="Q1752" t="str">
        <f>IF(financial_fraud_data[[#This Row],[Is_Fraud]]=1,"Yes","No")</f>
        <v>Yes</v>
      </c>
    </row>
    <row r="1753" spans="1:17" x14ac:dyDescent="0.2">
      <c r="A1753" t="s">
        <v>2273</v>
      </c>
      <c r="B1753" t="s">
        <v>415</v>
      </c>
      <c r="C1753" s="1">
        <v>45364.958333333336</v>
      </c>
      <c r="D1753">
        <v>10799.33</v>
      </c>
      <c r="E1753" t="s">
        <v>34</v>
      </c>
      <c r="F1753" t="s">
        <v>50</v>
      </c>
      <c r="G1753" t="s">
        <v>35</v>
      </c>
      <c r="H1753" t="s">
        <v>19</v>
      </c>
      <c r="I1753" t="s">
        <v>36</v>
      </c>
      <c r="J1753" t="s">
        <v>37</v>
      </c>
      <c r="K1753">
        <v>0</v>
      </c>
      <c r="L1753">
        <v>3</v>
      </c>
      <c r="M1753">
        <v>6.58</v>
      </c>
      <c r="N1753">
        <v>1</v>
      </c>
      <c r="O1753" t="str">
        <f>IF(financial_fraud_data[[#This Row],[Risk_Score]]&gt;8,"High",IF(financial_fraud_data[[#This Row],[Risk_Score]]&gt;5,"Med","Low"))</f>
        <v>Med</v>
      </c>
      <c r="P1753" t="str">
        <f>TEXT(financial_fraud_data[[#This Row],[Transaction_Date]],"MMM")</f>
        <v>Mar</v>
      </c>
      <c r="Q1753" t="str">
        <f>IF(financial_fraud_data[[#This Row],[Is_Fraud]]=1,"Yes","No")</f>
        <v>Yes</v>
      </c>
    </row>
    <row r="1754" spans="1:17" x14ac:dyDescent="0.2">
      <c r="A1754" t="s">
        <v>2274</v>
      </c>
      <c r="B1754" t="s">
        <v>411</v>
      </c>
      <c r="C1754" s="1">
        <v>45365</v>
      </c>
      <c r="D1754">
        <v>655.43</v>
      </c>
      <c r="E1754" t="s">
        <v>16</v>
      </c>
      <c r="F1754" t="s">
        <v>47</v>
      </c>
      <c r="G1754" t="s">
        <v>35</v>
      </c>
      <c r="H1754" t="s">
        <v>23</v>
      </c>
      <c r="I1754" t="s">
        <v>24</v>
      </c>
      <c r="J1754" t="s">
        <v>20</v>
      </c>
      <c r="K1754">
        <v>0</v>
      </c>
      <c r="L1754">
        <v>4</v>
      </c>
      <c r="M1754">
        <v>7.07</v>
      </c>
      <c r="N1754">
        <v>1</v>
      </c>
      <c r="O1754" t="str">
        <f>IF(financial_fraud_data[[#This Row],[Risk_Score]]&gt;8,"High",IF(financial_fraud_data[[#This Row],[Risk_Score]]&gt;5,"Med","Low"))</f>
        <v>Med</v>
      </c>
      <c r="P1754" t="str">
        <f>TEXT(financial_fraud_data[[#This Row],[Transaction_Date]],"MMM")</f>
        <v>Mar</v>
      </c>
      <c r="Q1754" t="str">
        <f>IF(financial_fraud_data[[#This Row],[Is_Fraud]]=1,"Yes","No")</f>
        <v>Yes</v>
      </c>
    </row>
    <row r="1755" spans="1:17" x14ac:dyDescent="0.2">
      <c r="A1755" t="s">
        <v>2275</v>
      </c>
      <c r="B1755" t="s">
        <v>261</v>
      </c>
      <c r="C1755" s="1">
        <v>45365.041666666664</v>
      </c>
      <c r="D1755">
        <v>12098.01</v>
      </c>
      <c r="E1755" t="s">
        <v>16</v>
      </c>
      <c r="F1755" t="s">
        <v>27</v>
      </c>
      <c r="G1755" t="s">
        <v>28</v>
      </c>
      <c r="H1755" t="s">
        <v>29</v>
      </c>
      <c r="I1755" t="s">
        <v>19</v>
      </c>
      <c r="J1755" t="s">
        <v>51</v>
      </c>
      <c r="K1755">
        <v>0</v>
      </c>
      <c r="L1755">
        <v>0</v>
      </c>
      <c r="M1755">
        <v>2.21</v>
      </c>
      <c r="N1755">
        <v>0</v>
      </c>
      <c r="O1755" t="str">
        <f>IF(financial_fraud_data[[#This Row],[Risk_Score]]&gt;8,"High",IF(financial_fraud_data[[#This Row],[Risk_Score]]&gt;5,"Med","Low"))</f>
        <v>Low</v>
      </c>
      <c r="P1755" t="str">
        <f>TEXT(financial_fraud_data[[#This Row],[Transaction_Date]],"MMM")</f>
        <v>Mar</v>
      </c>
      <c r="Q1755" t="str">
        <f>IF(financial_fraud_data[[#This Row],[Is_Fraud]]=1,"Yes","No")</f>
        <v>No</v>
      </c>
    </row>
    <row r="1756" spans="1:17" x14ac:dyDescent="0.2">
      <c r="A1756" t="s">
        <v>2276</v>
      </c>
      <c r="B1756" t="s">
        <v>1772</v>
      </c>
      <c r="C1756" s="1">
        <v>45365.083333333336</v>
      </c>
      <c r="D1756">
        <v>48794.89</v>
      </c>
      <c r="E1756" t="s">
        <v>80</v>
      </c>
      <c r="F1756" t="s">
        <v>47</v>
      </c>
      <c r="G1756" t="s">
        <v>18</v>
      </c>
      <c r="H1756" t="s">
        <v>24</v>
      </c>
      <c r="I1756" t="s">
        <v>29</v>
      </c>
      <c r="J1756" t="s">
        <v>37</v>
      </c>
      <c r="K1756">
        <v>0</v>
      </c>
      <c r="L1756">
        <v>2</v>
      </c>
      <c r="M1756">
        <v>8.8800000000000008</v>
      </c>
      <c r="N1756">
        <v>1</v>
      </c>
      <c r="O1756" t="str">
        <f>IF(financial_fraud_data[[#This Row],[Risk_Score]]&gt;8,"High",IF(financial_fraud_data[[#This Row],[Risk_Score]]&gt;5,"Med","Low"))</f>
        <v>High</v>
      </c>
      <c r="P1756" t="str">
        <f>TEXT(financial_fraud_data[[#This Row],[Transaction_Date]],"MMM")</f>
        <v>Mar</v>
      </c>
      <c r="Q1756" t="str">
        <f>IF(financial_fraud_data[[#This Row],[Is_Fraud]]=1,"Yes","No")</f>
        <v>Yes</v>
      </c>
    </row>
    <row r="1757" spans="1:17" x14ac:dyDescent="0.2">
      <c r="A1757" t="s">
        <v>2277</v>
      </c>
      <c r="B1757" t="s">
        <v>142</v>
      </c>
      <c r="C1757" s="1">
        <v>45365.125</v>
      </c>
      <c r="D1757">
        <v>40086.78</v>
      </c>
      <c r="E1757" t="s">
        <v>34</v>
      </c>
      <c r="F1757" t="s">
        <v>50</v>
      </c>
      <c r="G1757" t="s">
        <v>65</v>
      </c>
      <c r="H1757" t="s">
        <v>29</v>
      </c>
      <c r="I1757" t="s">
        <v>24</v>
      </c>
      <c r="J1757" t="s">
        <v>37</v>
      </c>
      <c r="K1757">
        <v>0</v>
      </c>
      <c r="L1757">
        <v>1</v>
      </c>
      <c r="M1757">
        <v>6.51</v>
      </c>
      <c r="N1757">
        <v>1</v>
      </c>
      <c r="O1757" t="str">
        <f>IF(financial_fraud_data[[#This Row],[Risk_Score]]&gt;8,"High",IF(financial_fraud_data[[#This Row],[Risk_Score]]&gt;5,"Med","Low"))</f>
        <v>Med</v>
      </c>
      <c r="P1757" t="str">
        <f>TEXT(financial_fraud_data[[#This Row],[Transaction_Date]],"MMM")</f>
        <v>Mar</v>
      </c>
      <c r="Q1757" t="str">
        <f>IF(financial_fraud_data[[#This Row],[Is_Fraud]]=1,"Yes","No")</f>
        <v>Yes</v>
      </c>
    </row>
    <row r="1758" spans="1:17" x14ac:dyDescent="0.2">
      <c r="A1758" t="s">
        <v>2278</v>
      </c>
      <c r="B1758" t="s">
        <v>186</v>
      </c>
      <c r="C1758" s="1">
        <v>45365.166666666664</v>
      </c>
      <c r="D1758">
        <v>47980.85</v>
      </c>
      <c r="E1758" t="s">
        <v>34</v>
      </c>
      <c r="F1758" t="s">
        <v>17</v>
      </c>
      <c r="G1758" t="s">
        <v>18</v>
      </c>
      <c r="H1758" t="s">
        <v>19</v>
      </c>
      <c r="I1758" t="s">
        <v>36</v>
      </c>
      <c r="J1758" t="s">
        <v>20</v>
      </c>
      <c r="K1758">
        <v>0</v>
      </c>
      <c r="L1758">
        <v>0</v>
      </c>
      <c r="M1758">
        <v>5.8</v>
      </c>
      <c r="N1758">
        <v>1</v>
      </c>
      <c r="O1758" t="str">
        <f>IF(financial_fraud_data[[#This Row],[Risk_Score]]&gt;8,"High",IF(financial_fraud_data[[#This Row],[Risk_Score]]&gt;5,"Med","Low"))</f>
        <v>Med</v>
      </c>
      <c r="P1758" t="str">
        <f>TEXT(financial_fraud_data[[#This Row],[Transaction_Date]],"MMM")</f>
        <v>Mar</v>
      </c>
      <c r="Q1758" t="str">
        <f>IF(financial_fraud_data[[#This Row],[Is_Fraud]]=1,"Yes","No")</f>
        <v>Yes</v>
      </c>
    </row>
    <row r="1759" spans="1:17" x14ac:dyDescent="0.2">
      <c r="A1759" t="s">
        <v>2279</v>
      </c>
      <c r="B1759" t="s">
        <v>2280</v>
      </c>
      <c r="C1759" s="1">
        <v>45365.208333333336</v>
      </c>
      <c r="D1759">
        <v>24418.31</v>
      </c>
      <c r="E1759" t="s">
        <v>80</v>
      </c>
      <c r="F1759" t="s">
        <v>27</v>
      </c>
      <c r="G1759" t="s">
        <v>18</v>
      </c>
      <c r="H1759" t="s">
        <v>36</v>
      </c>
      <c r="I1759" t="s">
        <v>29</v>
      </c>
      <c r="J1759" t="s">
        <v>20</v>
      </c>
      <c r="K1759">
        <v>0</v>
      </c>
      <c r="L1759">
        <v>2</v>
      </c>
      <c r="M1759">
        <v>6.44</v>
      </c>
      <c r="N1759">
        <v>1</v>
      </c>
      <c r="O1759" t="str">
        <f>IF(financial_fraud_data[[#This Row],[Risk_Score]]&gt;8,"High",IF(financial_fraud_data[[#This Row],[Risk_Score]]&gt;5,"Med","Low"))</f>
        <v>Med</v>
      </c>
      <c r="P1759" t="str">
        <f>TEXT(financial_fraud_data[[#This Row],[Transaction_Date]],"MMM")</f>
        <v>Mar</v>
      </c>
      <c r="Q1759" t="str">
        <f>IF(financial_fraud_data[[#This Row],[Is_Fraud]]=1,"Yes","No")</f>
        <v>Yes</v>
      </c>
    </row>
    <row r="1760" spans="1:17" x14ac:dyDescent="0.2">
      <c r="A1760" t="s">
        <v>2281</v>
      </c>
      <c r="B1760" t="s">
        <v>1243</v>
      </c>
      <c r="C1760" s="1">
        <v>45365.25</v>
      </c>
      <c r="D1760">
        <v>5531.32</v>
      </c>
      <c r="E1760" t="s">
        <v>42</v>
      </c>
      <c r="F1760" t="s">
        <v>50</v>
      </c>
      <c r="G1760" t="s">
        <v>18</v>
      </c>
      <c r="H1760" t="s">
        <v>29</v>
      </c>
      <c r="I1760" t="s">
        <v>24</v>
      </c>
      <c r="J1760" t="s">
        <v>20</v>
      </c>
      <c r="K1760">
        <v>0</v>
      </c>
      <c r="L1760">
        <v>1</v>
      </c>
      <c r="M1760">
        <v>3.05</v>
      </c>
      <c r="N1760">
        <v>0</v>
      </c>
      <c r="O1760" t="str">
        <f>IF(financial_fraud_data[[#This Row],[Risk_Score]]&gt;8,"High",IF(financial_fraud_data[[#This Row],[Risk_Score]]&gt;5,"Med","Low"))</f>
        <v>Low</v>
      </c>
      <c r="P1760" t="str">
        <f>TEXT(financial_fraud_data[[#This Row],[Transaction_Date]],"MMM")</f>
        <v>Mar</v>
      </c>
      <c r="Q1760" t="str">
        <f>IF(financial_fraud_data[[#This Row],[Is_Fraud]]=1,"Yes","No")</f>
        <v>No</v>
      </c>
    </row>
    <row r="1761" spans="1:17" x14ac:dyDescent="0.2">
      <c r="A1761" t="s">
        <v>2282</v>
      </c>
      <c r="B1761" t="s">
        <v>951</v>
      </c>
      <c r="C1761" s="1">
        <v>45365.291666666664</v>
      </c>
      <c r="D1761">
        <v>27420.58</v>
      </c>
      <c r="E1761" t="s">
        <v>34</v>
      </c>
      <c r="F1761" t="s">
        <v>27</v>
      </c>
      <c r="G1761" t="s">
        <v>35</v>
      </c>
      <c r="H1761" t="s">
        <v>23</v>
      </c>
      <c r="I1761" t="s">
        <v>23</v>
      </c>
      <c r="J1761" t="s">
        <v>20</v>
      </c>
      <c r="K1761">
        <v>0</v>
      </c>
      <c r="L1761">
        <v>3</v>
      </c>
      <c r="M1761">
        <v>7.24</v>
      </c>
      <c r="N1761">
        <v>1</v>
      </c>
      <c r="O1761" t="str">
        <f>IF(financial_fraud_data[[#This Row],[Risk_Score]]&gt;8,"High",IF(financial_fraud_data[[#This Row],[Risk_Score]]&gt;5,"Med","Low"))</f>
        <v>Med</v>
      </c>
      <c r="P1761" t="str">
        <f>TEXT(financial_fraud_data[[#This Row],[Transaction_Date]],"MMM")</f>
        <v>Mar</v>
      </c>
      <c r="Q1761" t="str">
        <f>IF(financial_fraud_data[[#This Row],[Is_Fraud]]=1,"Yes","No")</f>
        <v>Yes</v>
      </c>
    </row>
    <row r="1762" spans="1:17" x14ac:dyDescent="0.2">
      <c r="A1762" t="s">
        <v>2283</v>
      </c>
      <c r="B1762" t="s">
        <v>558</v>
      </c>
      <c r="C1762" s="1">
        <v>45365.333333333336</v>
      </c>
      <c r="D1762">
        <v>22746.15</v>
      </c>
      <c r="E1762" t="s">
        <v>34</v>
      </c>
      <c r="F1762" t="s">
        <v>27</v>
      </c>
      <c r="G1762" t="s">
        <v>35</v>
      </c>
      <c r="H1762" t="s">
        <v>24</v>
      </c>
      <c r="I1762" t="s">
        <v>36</v>
      </c>
      <c r="J1762" t="s">
        <v>37</v>
      </c>
      <c r="K1762">
        <v>0</v>
      </c>
      <c r="L1762">
        <v>1</v>
      </c>
      <c r="M1762">
        <v>4.7699999999999996</v>
      </c>
      <c r="N1762">
        <v>0</v>
      </c>
      <c r="O1762" t="str">
        <f>IF(financial_fraud_data[[#This Row],[Risk_Score]]&gt;8,"High",IF(financial_fraud_data[[#This Row],[Risk_Score]]&gt;5,"Med","Low"))</f>
        <v>Low</v>
      </c>
      <c r="P1762" t="str">
        <f>TEXT(financial_fraud_data[[#This Row],[Transaction_Date]],"MMM")</f>
        <v>Mar</v>
      </c>
      <c r="Q1762" t="str">
        <f>IF(financial_fraud_data[[#This Row],[Is_Fraud]]=1,"Yes","No")</f>
        <v>No</v>
      </c>
    </row>
    <row r="1763" spans="1:17" x14ac:dyDescent="0.2">
      <c r="A1763" t="s">
        <v>2284</v>
      </c>
      <c r="B1763" t="s">
        <v>844</v>
      </c>
      <c r="C1763" s="1">
        <v>45365.375</v>
      </c>
      <c r="D1763">
        <v>42225.64</v>
      </c>
      <c r="E1763" t="s">
        <v>42</v>
      </c>
      <c r="F1763" t="s">
        <v>50</v>
      </c>
      <c r="G1763" t="s">
        <v>56</v>
      </c>
      <c r="H1763" t="s">
        <v>23</v>
      </c>
      <c r="I1763" t="s">
        <v>24</v>
      </c>
      <c r="J1763" t="s">
        <v>37</v>
      </c>
      <c r="K1763">
        <v>1</v>
      </c>
      <c r="L1763">
        <v>2</v>
      </c>
      <c r="M1763">
        <v>10.220000000000001</v>
      </c>
      <c r="N1763">
        <v>1</v>
      </c>
      <c r="O1763" t="str">
        <f>IF(financial_fraud_data[[#This Row],[Risk_Score]]&gt;8,"High",IF(financial_fraud_data[[#This Row],[Risk_Score]]&gt;5,"Med","Low"))</f>
        <v>High</v>
      </c>
      <c r="P1763" t="str">
        <f>TEXT(financial_fraud_data[[#This Row],[Transaction_Date]],"MMM")</f>
        <v>Mar</v>
      </c>
      <c r="Q1763" t="str">
        <f>IF(financial_fraud_data[[#This Row],[Is_Fraud]]=1,"Yes","No")</f>
        <v>Yes</v>
      </c>
    </row>
    <row r="1764" spans="1:17" x14ac:dyDescent="0.2">
      <c r="A1764" t="s">
        <v>2285</v>
      </c>
      <c r="B1764" t="s">
        <v>337</v>
      </c>
      <c r="C1764" s="1">
        <v>45365.416666666664</v>
      </c>
      <c r="D1764">
        <v>4949.22</v>
      </c>
      <c r="E1764" t="s">
        <v>34</v>
      </c>
      <c r="F1764" t="s">
        <v>50</v>
      </c>
      <c r="G1764" t="s">
        <v>65</v>
      </c>
      <c r="H1764" t="s">
        <v>29</v>
      </c>
      <c r="I1764" t="s">
        <v>23</v>
      </c>
      <c r="J1764" t="s">
        <v>37</v>
      </c>
      <c r="K1764">
        <v>0</v>
      </c>
      <c r="L1764">
        <v>3</v>
      </c>
      <c r="M1764">
        <v>5.99</v>
      </c>
      <c r="N1764">
        <v>1</v>
      </c>
      <c r="O1764" t="str">
        <f>IF(financial_fraud_data[[#This Row],[Risk_Score]]&gt;8,"High",IF(financial_fraud_data[[#This Row],[Risk_Score]]&gt;5,"Med","Low"))</f>
        <v>Med</v>
      </c>
      <c r="P1764" t="str">
        <f>TEXT(financial_fraud_data[[#This Row],[Transaction_Date]],"MMM")</f>
        <v>Mar</v>
      </c>
      <c r="Q1764" t="str">
        <f>IF(financial_fraud_data[[#This Row],[Is_Fraud]]=1,"Yes","No")</f>
        <v>Yes</v>
      </c>
    </row>
    <row r="1765" spans="1:17" x14ac:dyDescent="0.2">
      <c r="A1765" t="s">
        <v>2286</v>
      </c>
      <c r="B1765" t="s">
        <v>1168</v>
      </c>
      <c r="C1765" s="1">
        <v>45365.458333333336</v>
      </c>
      <c r="D1765">
        <v>24437.64</v>
      </c>
      <c r="E1765" t="s">
        <v>34</v>
      </c>
      <c r="F1765" t="s">
        <v>17</v>
      </c>
      <c r="G1765" t="s">
        <v>28</v>
      </c>
      <c r="H1765" t="s">
        <v>36</v>
      </c>
      <c r="I1765" t="s">
        <v>36</v>
      </c>
      <c r="J1765" t="s">
        <v>51</v>
      </c>
      <c r="K1765">
        <v>0</v>
      </c>
      <c r="L1765">
        <v>4</v>
      </c>
      <c r="M1765">
        <v>8.44</v>
      </c>
      <c r="N1765">
        <v>1</v>
      </c>
      <c r="O1765" t="str">
        <f>IF(financial_fraud_data[[#This Row],[Risk_Score]]&gt;8,"High",IF(financial_fraud_data[[#This Row],[Risk_Score]]&gt;5,"Med","Low"))</f>
        <v>High</v>
      </c>
      <c r="P1765" t="str">
        <f>TEXT(financial_fraud_data[[#This Row],[Transaction_Date]],"MMM")</f>
        <v>Mar</v>
      </c>
      <c r="Q1765" t="str">
        <f>IF(financial_fraud_data[[#This Row],[Is_Fraud]]=1,"Yes","No")</f>
        <v>Yes</v>
      </c>
    </row>
    <row r="1766" spans="1:17" x14ac:dyDescent="0.2">
      <c r="A1766" t="s">
        <v>2287</v>
      </c>
      <c r="B1766" t="s">
        <v>1311</v>
      </c>
      <c r="C1766" s="1">
        <v>45365.5</v>
      </c>
      <c r="D1766">
        <v>7544.93</v>
      </c>
      <c r="E1766" t="s">
        <v>42</v>
      </c>
      <c r="F1766" t="s">
        <v>27</v>
      </c>
      <c r="G1766" t="s">
        <v>18</v>
      </c>
      <c r="H1766" t="s">
        <v>36</v>
      </c>
      <c r="I1766" t="s">
        <v>19</v>
      </c>
      <c r="J1766" t="s">
        <v>37</v>
      </c>
      <c r="K1766">
        <v>0</v>
      </c>
      <c r="L1766">
        <v>1</v>
      </c>
      <c r="M1766">
        <v>3.25</v>
      </c>
      <c r="N1766">
        <v>0</v>
      </c>
      <c r="O1766" t="str">
        <f>IF(financial_fraud_data[[#This Row],[Risk_Score]]&gt;8,"High",IF(financial_fraud_data[[#This Row],[Risk_Score]]&gt;5,"Med","Low"))</f>
        <v>Low</v>
      </c>
      <c r="P1766" t="str">
        <f>TEXT(financial_fraud_data[[#This Row],[Transaction_Date]],"MMM")</f>
        <v>Mar</v>
      </c>
      <c r="Q1766" t="str">
        <f>IF(financial_fraud_data[[#This Row],[Is_Fraud]]=1,"Yes","No")</f>
        <v>No</v>
      </c>
    </row>
    <row r="1767" spans="1:17" x14ac:dyDescent="0.2">
      <c r="A1767" t="s">
        <v>2288</v>
      </c>
      <c r="B1767" t="s">
        <v>516</v>
      </c>
      <c r="C1767" s="1">
        <v>45365.541666666664</v>
      </c>
      <c r="D1767">
        <v>16267.56</v>
      </c>
      <c r="E1767" t="s">
        <v>42</v>
      </c>
      <c r="F1767" t="s">
        <v>27</v>
      </c>
      <c r="G1767" t="s">
        <v>65</v>
      </c>
      <c r="H1767" t="s">
        <v>23</v>
      </c>
      <c r="I1767" t="s">
        <v>36</v>
      </c>
      <c r="J1767" t="s">
        <v>37</v>
      </c>
      <c r="K1767">
        <v>0</v>
      </c>
      <c r="L1767">
        <v>0</v>
      </c>
      <c r="M1767">
        <v>2.63</v>
      </c>
      <c r="N1767">
        <v>0</v>
      </c>
      <c r="O1767" t="str">
        <f>IF(financial_fraud_data[[#This Row],[Risk_Score]]&gt;8,"High",IF(financial_fraud_data[[#This Row],[Risk_Score]]&gt;5,"Med","Low"))</f>
        <v>Low</v>
      </c>
      <c r="P1767" t="str">
        <f>TEXT(financial_fraud_data[[#This Row],[Transaction_Date]],"MMM")</f>
        <v>Mar</v>
      </c>
      <c r="Q1767" t="str">
        <f>IF(financial_fraud_data[[#This Row],[Is_Fraud]]=1,"Yes","No")</f>
        <v>No</v>
      </c>
    </row>
    <row r="1768" spans="1:17" x14ac:dyDescent="0.2">
      <c r="A1768" t="s">
        <v>2289</v>
      </c>
      <c r="B1768" t="s">
        <v>263</v>
      </c>
      <c r="C1768" s="1">
        <v>45365.583333333336</v>
      </c>
      <c r="D1768">
        <v>36880.99</v>
      </c>
      <c r="E1768" t="s">
        <v>16</v>
      </c>
      <c r="F1768" t="s">
        <v>50</v>
      </c>
      <c r="G1768" t="s">
        <v>65</v>
      </c>
      <c r="H1768" t="s">
        <v>19</v>
      </c>
      <c r="I1768" t="s">
        <v>19</v>
      </c>
      <c r="J1768" t="s">
        <v>20</v>
      </c>
      <c r="K1768">
        <v>0</v>
      </c>
      <c r="L1768">
        <v>3</v>
      </c>
      <c r="M1768">
        <v>8.19</v>
      </c>
      <c r="N1768">
        <v>1</v>
      </c>
      <c r="O1768" t="str">
        <f>IF(financial_fraud_data[[#This Row],[Risk_Score]]&gt;8,"High",IF(financial_fraud_data[[#This Row],[Risk_Score]]&gt;5,"Med","Low"))</f>
        <v>High</v>
      </c>
      <c r="P1768" t="str">
        <f>TEXT(financial_fraud_data[[#This Row],[Transaction_Date]],"MMM")</f>
        <v>Mar</v>
      </c>
      <c r="Q1768" t="str">
        <f>IF(financial_fraud_data[[#This Row],[Is_Fraud]]=1,"Yes","No")</f>
        <v>Yes</v>
      </c>
    </row>
    <row r="1769" spans="1:17" x14ac:dyDescent="0.2">
      <c r="A1769" t="s">
        <v>2290</v>
      </c>
      <c r="B1769" t="s">
        <v>857</v>
      </c>
      <c r="C1769" s="1">
        <v>45365.625</v>
      </c>
      <c r="D1769">
        <v>23827.11</v>
      </c>
      <c r="E1769" t="s">
        <v>80</v>
      </c>
      <c r="F1769" t="s">
        <v>47</v>
      </c>
      <c r="G1769" t="s">
        <v>56</v>
      </c>
      <c r="H1769" t="s">
        <v>19</v>
      </c>
      <c r="I1769" t="s">
        <v>19</v>
      </c>
      <c r="J1769" t="s">
        <v>37</v>
      </c>
      <c r="K1769">
        <v>0</v>
      </c>
      <c r="L1769">
        <v>3</v>
      </c>
      <c r="M1769">
        <v>6.88</v>
      </c>
      <c r="N1769">
        <v>1</v>
      </c>
      <c r="O1769" t="str">
        <f>IF(financial_fraud_data[[#This Row],[Risk_Score]]&gt;8,"High",IF(financial_fraud_data[[#This Row],[Risk_Score]]&gt;5,"Med","Low"))</f>
        <v>Med</v>
      </c>
      <c r="P1769" t="str">
        <f>TEXT(financial_fraud_data[[#This Row],[Transaction_Date]],"MMM")</f>
        <v>Mar</v>
      </c>
      <c r="Q1769" t="str">
        <f>IF(financial_fraud_data[[#This Row],[Is_Fraud]]=1,"Yes","No")</f>
        <v>Yes</v>
      </c>
    </row>
    <row r="1770" spans="1:17" x14ac:dyDescent="0.2">
      <c r="A1770" t="s">
        <v>2291</v>
      </c>
      <c r="B1770" t="s">
        <v>385</v>
      </c>
      <c r="C1770" s="1">
        <v>45365.666666666664</v>
      </c>
      <c r="D1770">
        <v>18825.62</v>
      </c>
      <c r="E1770" t="s">
        <v>80</v>
      </c>
      <c r="F1770" t="s">
        <v>50</v>
      </c>
      <c r="G1770" t="s">
        <v>28</v>
      </c>
      <c r="H1770" t="s">
        <v>36</v>
      </c>
      <c r="I1770" t="s">
        <v>19</v>
      </c>
      <c r="J1770" t="s">
        <v>37</v>
      </c>
      <c r="K1770">
        <v>0</v>
      </c>
      <c r="L1770">
        <v>4</v>
      </c>
      <c r="M1770">
        <v>8.8800000000000008</v>
      </c>
      <c r="N1770">
        <v>1</v>
      </c>
      <c r="O1770" t="str">
        <f>IF(financial_fraud_data[[#This Row],[Risk_Score]]&gt;8,"High",IF(financial_fraud_data[[#This Row],[Risk_Score]]&gt;5,"Med","Low"))</f>
        <v>High</v>
      </c>
      <c r="P1770" t="str">
        <f>TEXT(financial_fraud_data[[#This Row],[Transaction_Date]],"MMM")</f>
        <v>Mar</v>
      </c>
      <c r="Q1770" t="str">
        <f>IF(financial_fraud_data[[#This Row],[Is_Fraud]]=1,"Yes","No")</f>
        <v>Yes</v>
      </c>
    </row>
    <row r="1771" spans="1:17" x14ac:dyDescent="0.2">
      <c r="A1771" t="s">
        <v>2292</v>
      </c>
      <c r="B1771" t="s">
        <v>711</v>
      </c>
      <c r="C1771" s="1">
        <v>45365.708333333336</v>
      </c>
      <c r="D1771">
        <v>19754.09</v>
      </c>
      <c r="E1771" t="s">
        <v>42</v>
      </c>
      <c r="F1771" t="s">
        <v>27</v>
      </c>
      <c r="G1771" t="s">
        <v>18</v>
      </c>
      <c r="H1771" t="s">
        <v>23</v>
      </c>
      <c r="I1771" t="s">
        <v>29</v>
      </c>
      <c r="J1771" t="s">
        <v>37</v>
      </c>
      <c r="K1771">
        <v>0</v>
      </c>
      <c r="L1771">
        <v>1</v>
      </c>
      <c r="M1771">
        <v>4.4800000000000004</v>
      </c>
      <c r="N1771">
        <v>0</v>
      </c>
      <c r="O1771" t="str">
        <f>IF(financial_fraud_data[[#This Row],[Risk_Score]]&gt;8,"High",IF(financial_fraud_data[[#This Row],[Risk_Score]]&gt;5,"Med","Low"))</f>
        <v>Low</v>
      </c>
      <c r="P1771" t="str">
        <f>TEXT(financial_fraud_data[[#This Row],[Transaction_Date]],"MMM")</f>
        <v>Mar</v>
      </c>
      <c r="Q1771" t="str">
        <f>IF(financial_fraud_data[[#This Row],[Is_Fraud]]=1,"Yes","No")</f>
        <v>No</v>
      </c>
    </row>
    <row r="1772" spans="1:17" x14ac:dyDescent="0.2">
      <c r="A1772" t="s">
        <v>2293</v>
      </c>
      <c r="B1772" t="s">
        <v>1499</v>
      </c>
      <c r="C1772" s="1">
        <v>45365.75</v>
      </c>
      <c r="D1772">
        <v>22999.37</v>
      </c>
      <c r="E1772" t="s">
        <v>42</v>
      </c>
      <c r="F1772" t="s">
        <v>50</v>
      </c>
      <c r="G1772" t="s">
        <v>28</v>
      </c>
      <c r="H1772" t="s">
        <v>23</v>
      </c>
      <c r="I1772" t="s">
        <v>29</v>
      </c>
      <c r="J1772" t="s">
        <v>20</v>
      </c>
      <c r="K1772">
        <v>0</v>
      </c>
      <c r="L1772">
        <v>0</v>
      </c>
      <c r="M1772">
        <v>3.3</v>
      </c>
      <c r="N1772">
        <v>0</v>
      </c>
      <c r="O1772" t="str">
        <f>IF(financial_fraud_data[[#This Row],[Risk_Score]]&gt;8,"High",IF(financial_fraud_data[[#This Row],[Risk_Score]]&gt;5,"Med","Low"))</f>
        <v>Low</v>
      </c>
      <c r="P1772" t="str">
        <f>TEXT(financial_fraud_data[[#This Row],[Transaction_Date]],"MMM")</f>
        <v>Mar</v>
      </c>
      <c r="Q1772" t="str">
        <f>IF(financial_fraud_data[[#This Row],[Is_Fraud]]=1,"Yes","No")</f>
        <v>No</v>
      </c>
    </row>
    <row r="1773" spans="1:17" x14ac:dyDescent="0.2">
      <c r="A1773" t="s">
        <v>2294</v>
      </c>
      <c r="B1773" t="s">
        <v>527</v>
      </c>
      <c r="C1773" s="1">
        <v>45365.791666666664</v>
      </c>
      <c r="D1773">
        <v>39261.58</v>
      </c>
      <c r="E1773" t="s">
        <v>34</v>
      </c>
      <c r="F1773" t="s">
        <v>17</v>
      </c>
      <c r="G1773" t="s">
        <v>56</v>
      </c>
      <c r="H1773" t="s">
        <v>23</v>
      </c>
      <c r="I1773" t="s">
        <v>19</v>
      </c>
      <c r="J1773" t="s">
        <v>37</v>
      </c>
      <c r="K1773">
        <v>0</v>
      </c>
      <c r="L1773">
        <v>4</v>
      </c>
      <c r="M1773">
        <v>10.93</v>
      </c>
      <c r="N1773">
        <v>1</v>
      </c>
      <c r="O1773" t="str">
        <f>IF(financial_fraud_data[[#This Row],[Risk_Score]]&gt;8,"High",IF(financial_fraud_data[[#This Row],[Risk_Score]]&gt;5,"Med","Low"))</f>
        <v>High</v>
      </c>
      <c r="P1773" t="str">
        <f>TEXT(financial_fraud_data[[#This Row],[Transaction_Date]],"MMM")</f>
        <v>Mar</v>
      </c>
      <c r="Q1773" t="str">
        <f>IF(financial_fraud_data[[#This Row],[Is_Fraud]]=1,"Yes","No")</f>
        <v>Yes</v>
      </c>
    </row>
    <row r="1774" spans="1:17" x14ac:dyDescent="0.2">
      <c r="A1774" t="s">
        <v>2295</v>
      </c>
      <c r="B1774" t="s">
        <v>1157</v>
      </c>
      <c r="C1774" s="1">
        <v>45365.833333333336</v>
      </c>
      <c r="D1774">
        <v>44609.63</v>
      </c>
      <c r="E1774" t="s">
        <v>16</v>
      </c>
      <c r="F1774" t="s">
        <v>47</v>
      </c>
      <c r="G1774" t="s">
        <v>35</v>
      </c>
      <c r="H1774" t="s">
        <v>29</v>
      </c>
      <c r="I1774" t="s">
        <v>23</v>
      </c>
      <c r="J1774" t="s">
        <v>37</v>
      </c>
      <c r="K1774">
        <v>0</v>
      </c>
      <c r="L1774">
        <v>1</v>
      </c>
      <c r="M1774">
        <v>6.96</v>
      </c>
      <c r="N1774">
        <v>1</v>
      </c>
      <c r="O1774" t="str">
        <f>IF(financial_fraud_data[[#This Row],[Risk_Score]]&gt;8,"High",IF(financial_fraud_data[[#This Row],[Risk_Score]]&gt;5,"Med","Low"))</f>
        <v>Med</v>
      </c>
      <c r="P1774" t="str">
        <f>TEXT(financial_fraud_data[[#This Row],[Transaction_Date]],"MMM")</f>
        <v>Mar</v>
      </c>
      <c r="Q1774" t="str">
        <f>IF(financial_fraud_data[[#This Row],[Is_Fraud]]=1,"Yes","No")</f>
        <v>Yes</v>
      </c>
    </row>
    <row r="1775" spans="1:17" x14ac:dyDescent="0.2">
      <c r="A1775" t="s">
        <v>2296</v>
      </c>
      <c r="B1775" t="s">
        <v>2297</v>
      </c>
      <c r="C1775" s="1">
        <v>45365.875</v>
      </c>
      <c r="D1775">
        <v>47768.97</v>
      </c>
      <c r="E1775" t="s">
        <v>16</v>
      </c>
      <c r="F1775" t="s">
        <v>50</v>
      </c>
      <c r="G1775" t="s">
        <v>65</v>
      </c>
      <c r="H1775" t="s">
        <v>19</v>
      </c>
      <c r="I1775" t="s">
        <v>19</v>
      </c>
      <c r="J1775" t="s">
        <v>51</v>
      </c>
      <c r="K1775">
        <v>0</v>
      </c>
      <c r="L1775">
        <v>0</v>
      </c>
      <c r="M1775">
        <v>4.78</v>
      </c>
      <c r="N1775">
        <v>0</v>
      </c>
      <c r="O1775" t="str">
        <f>IF(financial_fraud_data[[#This Row],[Risk_Score]]&gt;8,"High",IF(financial_fraud_data[[#This Row],[Risk_Score]]&gt;5,"Med","Low"))</f>
        <v>Low</v>
      </c>
      <c r="P1775" t="str">
        <f>TEXT(financial_fraud_data[[#This Row],[Transaction_Date]],"MMM")</f>
        <v>Mar</v>
      </c>
      <c r="Q1775" t="str">
        <f>IF(financial_fraud_data[[#This Row],[Is_Fraud]]=1,"Yes","No")</f>
        <v>No</v>
      </c>
    </row>
    <row r="1776" spans="1:17" x14ac:dyDescent="0.2">
      <c r="A1776" t="s">
        <v>2298</v>
      </c>
      <c r="B1776" t="s">
        <v>1226</v>
      </c>
      <c r="C1776" s="1">
        <v>45365.916666666664</v>
      </c>
      <c r="D1776">
        <v>39355.82</v>
      </c>
      <c r="E1776" t="s">
        <v>42</v>
      </c>
      <c r="F1776" t="s">
        <v>17</v>
      </c>
      <c r="G1776" t="s">
        <v>18</v>
      </c>
      <c r="H1776" t="s">
        <v>19</v>
      </c>
      <c r="I1776" t="s">
        <v>24</v>
      </c>
      <c r="J1776" t="s">
        <v>51</v>
      </c>
      <c r="K1776">
        <v>0</v>
      </c>
      <c r="L1776">
        <v>0</v>
      </c>
      <c r="M1776">
        <v>4.9400000000000004</v>
      </c>
      <c r="N1776">
        <v>0</v>
      </c>
      <c r="O1776" t="str">
        <f>IF(financial_fraud_data[[#This Row],[Risk_Score]]&gt;8,"High",IF(financial_fraud_data[[#This Row],[Risk_Score]]&gt;5,"Med","Low"))</f>
        <v>Low</v>
      </c>
      <c r="P1776" t="str">
        <f>TEXT(financial_fraud_data[[#This Row],[Transaction_Date]],"MMM")</f>
        <v>Mar</v>
      </c>
      <c r="Q1776" t="str">
        <f>IF(financial_fraud_data[[#This Row],[Is_Fraud]]=1,"Yes","No")</f>
        <v>No</v>
      </c>
    </row>
    <row r="1777" spans="1:17" x14ac:dyDescent="0.2">
      <c r="A1777" t="s">
        <v>2299</v>
      </c>
      <c r="B1777" t="s">
        <v>129</v>
      </c>
      <c r="C1777" s="1">
        <v>45365.958333333336</v>
      </c>
      <c r="D1777">
        <v>15804.57</v>
      </c>
      <c r="E1777" t="s">
        <v>34</v>
      </c>
      <c r="F1777" t="s">
        <v>27</v>
      </c>
      <c r="G1777" t="s">
        <v>35</v>
      </c>
      <c r="H1777" t="s">
        <v>29</v>
      </c>
      <c r="I1777" t="s">
        <v>19</v>
      </c>
      <c r="J1777" t="s">
        <v>51</v>
      </c>
      <c r="K1777">
        <v>0</v>
      </c>
      <c r="L1777">
        <v>2</v>
      </c>
      <c r="M1777">
        <v>5.58</v>
      </c>
      <c r="N1777">
        <v>1</v>
      </c>
      <c r="O1777" t="str">
        <f>IF(financial_fraud_data[[#This Row],[Risk_Score]]&gt;8,"High",IF(financial_fraud_data[[#This Row],[Risk_Score]]&gt;5,"Med","Low"))</f>
        <v>Med</v>
      </c>
      <c r="P1777" t="str">
        <f>TEXT(financial_fraud_data[[#This Row],[Transaction_Date]],"MMM")</f>
        <v>Mar</v>
      </c>
      <c r="Q1777" t="str">
        <f>IF(financial_fraud_data[[#This Row],[Is_Fraud]]=1,"Yes","No")</f>
        <v>Yes</v>
      </c>
    </row>
    <row r="1778" spans="1:17" x14ac:dyDescent="0.2">
      <c r="A1778" t="s">
        <v>2300</v>
      </c>
      <c r="B1778" t="s">
        <v>1649</v>
      </c>
      <c r="C1778" s="1">
        <v>45366</v>
      </c>
      <c r="D1778">
        <v>34422.33</v>
      </c>
      <c r="E1778" t="s">
        <v>34</v>
      </c>
      <c r="F1778" t="s">
        <v>50</v>
      </c>
      <c r="G1778" t="s">
        <v>56</v>
      </c>
      <c r="H1778" t="s">
        <v>24</v>
      </c>
      <c r="I1778" t="s">
        <v>29</v>
      </c>
      <c r="J1778" t="s">
        <v>51</v>
      </c>
      <c r="K1778">
        <v>0</v>
      </c>
      <c r="L1778">
        <v>0</v>
      </c>
      <c r="M1778">
        <v>4.4400000000000004</v>
      </c>
      <c r="N1778">
        <v>0</v>
      </c>
      <c r="O1778" t="str">
        <f>IF(financial_fraud_data[[#This Row],[Risk_Score]]&gt;8,"High",IF(financial_fraud_data[[#This Row],[Risk_Score]]&gt;5,"Med","Low"))</f>
        <v>Low</v>
      </c>
      <c r="P1778" t="str">
        <f>TEXT(financial_fraud_data[[#This Row],[Transaction_Date]],"MMM")</f>
        <v>Mar</v>
      </c>
      <c r="Q1778" t="str">
        <f>IF(financial_fraud_data[[#This Row],[Is_Fraud]]=1,"Yes","No")</f>
        <v>No</v>
      </c>
    </row>
    <row r="1779" spans="1:17" x14ac:dyDescent="0.2">
      <c r="A1779" t="s">
        <v>2301</v>
      </c>
      <c r="B1779" t="s">
        <v>809</v>
      </c>
      <c r="C1779" s="1">
        <v>45366.041666666664</v>
      </c>
      <c r="D1779">
        <v>21908.28</v>
      </c>
      <c r="E1779" t="s">
        <v>80</v>
      </c>
      <c r="F1779" t="s">
        <v>27</v>
      </c>
      <c r="G1779" t="s">
        <v>28</v>
      </c>
      <c r="H1779" t="s">
        <v>29</v>
      </c>
      <c r="I1779" t="s">
        <v>29</v>
      </c>
      <c r="J1779" t="s">
        <v>20</v>
      </c>
      <c r="K1779">
        <v>0</v>
      </c>
      <c r="L1779">
        <v>1</v>
      </c>
      <c r="M1779">
        <v>3.69</v>
      </c>
      <c r="N1779">
        <v>0</v>
      </c>
      <c r="O1779" t="str">
        <f>IF(financial_fraud_data[[#This Row],[Risk_Score]]&gt;8,"High",IF(financial_fraud_data[[#This Row],[Risk_Score]]&gt;5,"Med","Low"))</f>
        <v>Low</v>
      </c>
      <c r="P1779" t="str">
        <f>TEXT(financial_fraud_data[[#This Row],[Transaction_Date]],"MMM")</f>
        <v>Mar</v>
      </c>
      <c r="Q1779" t="str">
        <f>IF(financial_fraud_data[[#This Row],[Is_Fraud]]=1,"Yes","No")</f>
        <v>No</v>
      </c>
    </row>
    <row r="1780" spans="1:17" x14ac:dyDescent="0.2">
      <c r="A1780" t="s">
        <v>2302</v>
      </c>
      <c r="B1780" t="s">
        <v>497</v>
      </c>
      <c r="C1780" s="1">
        <v>45366.083333333336</v>
      </c>
      <c r="D1780">
        <v>12770.8</v>
      </c>
      <c r="E1780" t="s">
        <v>80</v>
      </c>
      <c r="F1780" t="s">
        <v>17</v>
      </c>
      <c r="G1780" t="s">
        <v>65</v>
      </c>
      <c r="H1780" t="s">
        <v>23</v>
      </c>
      <c r="I1780" t="s">
        <v>24</v>
      </c>
      <c r="J1780" t="s">
        <v>51</v>
      </c>
      <c r="K1780">
        <v>0</v>
      </c>
      <c r="L1780">
        <v>4</v>
      </c>
      <c r="M1780">
        <v>8.2799999999999994</v>
      </c>
      <c r="N1780">
        <v>1</v>
      </c>
      <c r="O1780" t="str">
        <f>IF(financial_fraud_data[[#This Row],[Risk_Score]]&gt;8,"High",IF(financial_fraud_data[[#This Row],[Risk_Score]]&gt;5,"Med","Low"))</f>
        <v>High</v>
      </c>
      <c r="P1780" t="str">
        <f>TEXT(financial_fraud_data[[#This Row],[Transaction_Date]],"MMM")</f>
        <v>Mar</v>
      </c>
      <c r="Q1780" t="str">
        <f>IF(financial_fraud_data[[#This Row],[Is_Fraud]]=1,"Yes","No")</f>
        <v>Yes</v>
      </c>
    </row>
    <row r="1781" spans="1:17" x14ac:dyDescent="0.2">
      <c r="A1781" t="s">
        <v>2303</v>
      </c>
      <c r="B1781" t="s">
        <v>908</v>
      </c>
      <c r="C1781" s="1">
        <v>45366.125</v>
      </c>
      <c r="D1781">
        <v>42051.54</v>
      </c>
      <c r="E1781" t="s">
        <v>34</v>
      </c>
      <c r="F1781" t="s">
        <v>27</v>
      </c>
      <c r="G1781" t="s">
        <v>18</v>
      </c>
      <c r="H1781" t="s">
        <v>29</v>
      </c>
      <c r="I1781" t="s">
        <v>24</v>
      </c>
      <c r="J1781" t="s">
        <v>37</v>
      </c>
      <c r="K1781">
        <v>0</v>
      </c>
      <c r="L1781">
        <v>4</v>
      </c>
      <c r="M1781">
        <v>11.21</v>
      </c>
      <c r="N1781">
        <v>1</v>
      </c>
      <c r="O1781" t="str">
        <f>IF(financial_fraud_data[[#This Row],[Risk_Score]]&gt;8,"High",IF(financial_fraud_data[[#This Row],[Risk_Score]]&gt;5,"Med","Low"))</f>
        <v>High</v>
      </c>
      <c r="P1781" t="str">
        <f>TEXT(financial_fraud_data[[#This Row],[Transaction_Date]],"MMM")</f>
        <v>Mar</v>
      </c>
      <c r="Q1781" t="str">
        <f>IF(financial_fraud_data[[#This Row],[Is_Fraud]]=1,"Yes","No")</f>
        <v>Yes</v>
      </c>
    </row>
    <row r="1782" spans="1:17" x14ac:dyDescent="0.2">
      <c r="A1782" t="s">
        <v>2304</v>
      </c>
      <c r="B1782" t="s">
        <v>971</v>
      </c>
      <c r="C1782" s="1">
        <v>45366.166666666664</v>
      </c>
      <c r="D1782">
        <v>1969.4</v>
      </c>
      <c r="E1782" t="s">
        <v>80</v>
      </c>
      <c r="F1782" t="s">
        <v>17</v>
      </c>
      <c r="G1782" t="s">
        <v>35</v>
      </c>
      <c r="H1782" t="s">
        <v>23</v>
      </c>
      <c r="I1782" t="s">
        <v>36</v>
      </c>
      <c r="J1782" t="s">
        <v>51</v>
      </c>
      <c r="K1782">
        <v>0</v>
      </c>
      <c r="L1782">
        <v>2</v>
      </c>
      <c r="M1782">
        <v>4.2</v>
      </c>
      <c r="N1782">
        <v>0</v>
      </c>
      <c r="O1782" t="str">
        <f>IF(financial_fraud_data[[#This Row],[Risk_Score]]&gt;8,"High",IF(financial_fraud_data[[#This Row],[Risk_Score]]&gt;5,"Med","Low"))</f>
        <v>Low</v>
      </c>
      <c r="P1782" t="str">
        <f>TEXT(financial_fraud_data[[#This Row],[Transaction_Date]],"MMM")</f>
        <v>Mar</v>
      </c>
      <c r="Q1782" t="str">
        <f>IF(financial_fraud_data[[#This Row],[Is_Fraud]]=1,"Yes","No")</f>
        <v>No</v>
      </c>
    </row>
    <row r="1783" spans="1:17" x14ac:dyDescent="0.2">
      <c r="A1783" t="s">
        <v>2305</v>
      </c>
      <c r="B1783" t="s">
        <v>627</v>
      </c>
      <c r="C1783" s="1">
        <v>45366.208333333336</v>
      </c>
      <c r="D1783">
        <v>45093.01</v>
      </c>
      <c r="E1783" t="s">
        <v>42</v>
      </c>
      <c r="F1783" t="s">
        <v>17</v>
      </c>
      <c r="G1783" t="s">
        <v>35</v>
      </c>
      <c r="H1783" t="s">
        <v>36</v>
      </c>
      <c r="I1783" t="s">
        <v>23</v>
      </c>
      <c r="J1783" t="s">
        <v>20</v>
      </c>
      <c r="K1783">
        <v>0</v>
      </c>
      <c r="L1783">
        <v>1</v>
      </c>
      <c r="M1783">
        <v>7.01</v>
      </c>
      <c r="N1783">
        <v>1</v>
      </c>
      <c r="O1783" t="str">
        <f>IF(financial_fraud_data[[#This Row],[Risk_Score]]&gt;8,"High",IF(financial_fraud_data[[#This Row],[Risk_Score]]&gt;5,"Med","Low"))</f>
        <v>Med</v>
      </c>
      <c r="P1783" t="str">
        <f>TEXT(financial_fraud_data[[#This Row],[Transaction_Date]],"MMM")</f>
        <v>Mar</v>
      </c>
      <c r="Q1783" t="str">
        <f>IF(financial_fraud_data[[#This Row],[Is_Fraud]]=1,"Yes","No")</f>
        <v>Yes</v>
      </c>
    </row>
    <row r="1784" spans="1:17" x14ac:dyDescent="0.2">
      <c r="A1784" t="s">
        <v>2306</v>
      </c>
      <c r="B1784" t="s">
        <v>527</v>
      </c>
      <c r="C1784" s="1">
        <v>45366.25</v>
      </c>
      <c r="D1784">
        <v>23100.799999999999</v>
      </c>
      <c r="E1784" t="s">
        <v>34</v>
      </c>
      <c r="F1784" t="s">
        <v>17</v>
      </c>
      <c r="G1784" t="s">
        <v>65</v>
      </c>
      <c r="H1784" t="s">
        <v>23</v>
      </c>
      <c r="I1784" t="s">
        <v>23</v>
      </c>
      <c r="J1784" t="s">
        <v>51</v>
      </c>
      <c r="K1784">
        <v>0</v>
      </c>
      <c r="L1784">
        <v>0</v>
      </c>
      <c r="M1784">
        <v>2.31</v>
      </c>
      <c r="N1784">
        <v>0</v>
      </c>
      <c r="O1784" t="str">
        <f>IF(financial_fraud_data[[#This Row],[Risk_Score]]&gt;8,"High",IF(financial_fraud_data[[#This Row],[Risk_Score]]&gt;5,"Med","Low"))</f>
        <v>Low</v>
      </c>
      <c r="P1784" t="str">
        <f>TEXT(financial_fraud_data[[#This Row],[Transaction_Date]],"MMM")</f>
        <v>Mar</v>
      </c>
      <c r="Q1784" t="str">
        <f>IF(financial_fraud_data[[#This Row],[Is_Fraud]]=1,"Yes","No")</f>
        <v>No</v>
      </c>
    </row>
    <row r="1785" spans="1:17" x14ac:dyDescent="0.2">
      <c r="A1785" t="s">
        <v>2307</v>
      </c>
      <c r="B1785" t="s">
        <v>525</v>
      </c>
      <c r="C1785" s="1">
        <v>45366.291666666664</v>
      </c>
      <c r="D1785">
        <v>31878.21</v>
      </c>
      <c r="E1785" t="s">
        <v>80</v>
      </c>
      <c r="F1785" t="s">
        <v>50</v>
      </c>
      <c r="G1785" t="s">
        <v>28</v>
      </c>
      <c r="H1785" t="s">
        <v>19</v>
      </c>
      <c r="I1785" t="s">
        <v>23</v>
      </c>
      <c r="J1785" t="s">
        <v>51</v>
      </c>
      <c r="K1785">
        <v>1</v>
      </c>
      <c r="L1785">
        <v>2</v>
      </c>
      <c r="M1785">
        <v>9.19</v>
      </c>
      <c r="N1785">
        <v>1</v>
      </c>
      <c r="O1785" t="str">
        <f>IF(financial_fraud_data[[#This Row],[Risk_Score]]&gt;8,"High",IF(financial_fraud_data[[#This Row],[Risk_Score]]&gt;5,"Med","Low"))</f>
        <v>High</v>
      </c>
      <c r="P1785" t="str">
        <f>TEXT(financial_fraud_data[[#This Row],[Transaction_Date]],"MMM")</f>
        <v>Mar</v>
      </c>
      <c r="Q1785" t="str">
        <f>IF(financial_fraud_data[[#This Row],[Is_Fraud]]=1,"Yes","No")</f>
        <v>Yes</v>
      </c>
    </row>
    <row r="1786" spans="1:17" x14ac:dyDescent="0.2">
      <c r="A1786" t="s">
        <v>2308</v>
      </c>
      <c r="B1786" t="s">
        <v>2004</v>
      </c>
      <c r="C1786" s="1">
        <v>45366.333333333336</v>
      </c>
      <c r="D1786">
        <v>32984.730000000003</v>
      </c>
      <c r="E1786" t="s">
        <v>16</v>
      </c>
      <c r="F1786" t="s">
        <v>27</v>
      </c>
      <c r="G1786" t="s">
        <v>56</v>
      </c>
      <c r="H1786" t="s">
        <v>29</v>
      </c>
      <c r="I1786" t="s">
        <v>29</v>
      </c>
      <c r="J1786" t="s">
        <v>20</v>
      </c>
      <c r="K1786">
        <v>0</v>
      </c>
      <c r="L1786">
        <v>3</v>
      </c>
      <c r="M1786">
        <v>7.8</v>
      </c>
      <c r="N1786">
        <v>1</v>
      </c>
      <c r="O1786" t="str">
        <f>IF(financial_fraud_data[[#This Row],[Risk_Score]]&gt;8,"High",IF(financial_fraud_data[[#This Row],[Risk_Score]]&gt;5,"Med","Low"))</f>
        <v>Med</v>
      </c>
      <c r="P1786" t="str">
        <f>TEXT(financial_fraud_data[[#This Row],[Transaction_Date]],"MMM")</f>
        <v>Mar</v>
      </c>
      <c r="Q1786" t="str">
        <f>IF(financial_fraud_data[[#This Row],[Is_Fraud]]=1,"Yes","No")</f>
        <v>Yes</v>
      </c>
    </row>
    <row r="1787" spans="1:17" x14ac:dyDescent="0.2">
      <c r="A1787" t="s">
        <v>2309</v>
      </c>
      <c r="B1787" t="s">
        <v>601</v>
      </c>
      <c r="C1787" s="1">
        <v>45366.375</v>
      </c>
      <c r="D1787">
        <v>44761.13</v>
      </c>
      <c r="E1787" t="s">
        <v>34</v>
      </c>
      <c r="F1787" t="s">
        <v>27</v>
      </c>
      <c r="G1787" t="s">
        <v>28</v>
      </c>
      <c r="H1787" t="s">
        <v>23</v>
      </c>
      <c r="I1787" t="s">
        <v>23</v>
      </c>
      <c r="J1787" t="s">
        <v>20</v>
      </c>
      <c r="K1787">
        <v>1</v>
      </c>
      <c r="L1787">
        <v>1</v>
      </c>
      <c r="M1787">
        <v>7.98</v>
      </c>
      <c r="N1787">
        <v>1</v>
      </c>
      <c r="O1787" t="str">
        <f>IF(financial_fraud_data[[#This Row],[Risk_Score]]&gt;8,"High",IF(financial_fraud_data[[#This Row],[Risk_Score]]&gt;5,"Med","Low"))</f>
        <v>Med</v>
      </c>
      <c r="P1787" t="str">
        <f>TEXT(financial_fraud_data[[#This Row],[Transaction_Date]],"MMM")</f>
        <v>Mar</v>
      </c>
      <c r="Q1787" t="str">
        <f>IF(financial_fraud_data[[#This Row],[Is_Fraud]]=1,"Yes","No")</f>
        <v>Yes</v>
      </c>
    </row>
    <row r="1788" spans="1:17" x14ac:dyDescent="0.2">
      <c r="A1788" t="s">
        <v>2310</v>
      </c>
      <c r="B1788" t="s">
        <v>31</v>
      </c>
      <c r="C1788" s="1">
        <v>45366.416666666664</v>
      </c>
      <c r="D1788">
        <v>31851.65</v>
      </c>
      <c r="E1788" t="s">
        <v>34</v>
      </c>
      <c r="F1788" t="s">
        <v>47</v>
      </c>
      <c r="G1788" t="s">
        <v>28</v>
      </c>
      <c r="H1788" t="s">
        <v>24</v>
      </c>
      <c r="I1788" t="s">
        <v>36</v>
      </c>
      <c r="J1788" t="s">
        <v>20</v>
      </c>
      <c r="K1788">
        <v>0</v>
      </c>
      <c r="L1788">
        <v>2</v>
      </c>
      <c r="M1788">
        <v>7.19</v>
      </c>
      <c r="N1788">
        <v>1</v>
      </c>
      <c r="O1788" t="str">
        <f>IF(financial_fraud_data[[#This Row],[Risk_Score]]&gt;8,"High",IF(financial_fraud_data[[#This Row],[Risk_Score]]&gt;5,"Med","Low"))</f>
        <v>Med</v>
      </c>
      <c r="P1788" t="str">
        <f>TEXT(financial_fraud_data[[#This Row],[Transaction_Date]],"MMM")</f>
        <v>Mar</v>
      </c>
      <c r="Q1788" t="str">
        <f>IF(financial_fraud_data[[#This Row],[Is_Fraud]]=1,"Yes","No")</f>
        <v>Yes</v>
      </c>
    </row>
    <row r="1789" spans="1:17" x14ac:dyDescent="0.2">
      <c r="A1789" t="s">
        <v>2311</v>
      </c>
      <c r="B1789" t="s">
        <v>302</v>
      </c>
      <c r="C1789" s="1">
        <v>45366.458333333336</v>
      </c>
      <c r="D1789">
        <v>30715.98</v>
      </c>
      <c r="E1789" t="s">
        <v>16</v>
      </c>
      <c r="F1789" t="s">
        <v>47</v>
      </c>
      <c r="G1789" t="s">
        <v>28</v>
      </c>
      <c r="H1789" t="s">
        <v>36</v>
      </c>
      <c r="I1789" t="s">
        <v>36</v>
      </c>
      <c r="J1789" t="s">
        <v>20</v>
      </c>
      <c r="K1789">
        <v>0</v>
      </c>
      <c r="L1789">
        <v>4</v>
      </c>
      <c r="M1789">
        <v>9.07</v>
      </c>
      <c r="N1789">
        <v>1</v>
      </c>
      <c r="O1789" t="str">
        <f>IF(financial_fraud_data[[#This Row],[Risk_Score]]&gt;8,"High",IF(financial_fraud_data[[#This Row],[Risk_Score]]&gt;5,"Med","Low"))</f>
        <v>High</v>
      </c>
      <c r="P1789" t="str">
        <f>TEXT(financial_fraud_data[[#This Row],[Transaction_Date]],"MMM")</f>
        <v>Mar</v>
      </c>
      <c r="Q1789" t="str">
        <f>IF(financial_fraud_data[[#This Row],[Is_Fraud]]=1,"Yes","No")</f>
        <v>Yes</v>
      </c>
    </row>
    <row r="1790" spans="1:17" x14ac:dyDescent="0.2">
      <c r="A1790" t="s">
        <v>2312</v>
      </c>
      <c r="B1790" t="s">
        <v>67</v>
      </c>
      <c r="C1790" s="1">
        <v>45366.5</v>
      </c>
      <c r="D1790">
        <v>3379.27</v>
      </c>
      <c r="E1790" t="s">
        <v>42</v>
      </c>
      <c r="F1790" t="s">
        <v>47</v>
      </c>
      <c r="G1790" t="s">
        <v>65</v>
      </c>
      <c r="H1790" t="s">
        <v>24</v>
      </c>
      <c r="I1790" t="s">
        <v>23</v>
      </c>
      <c r="J1790" t="s">
        <v>20</v>
      </c>
      <c r="K1790">
        <v>0</v>
      </c>
      <c r="L1790">
        <v>2</v>
      </c>
      <c r="M1790">
        <v>4.34</v>
      </c>
      <c r="N1790">
        <v>0</v>
      </c>
      <c r="O1790" t="str">
        <f>IF(financial_fraud_data[[#This Row],[Risk_Score]]&gt;8,"High",IF(financial_fraud_data[[#This Row],[Risk_Score]]&gt;5,"Med","Low"))</f>
        <v>Low</v>
      </c>
      <c r="P1790" t="str">
        <f>TEXT(financial_fraud_data[[#This Row],[Transaction_Date]],"MMM")</f>
        <v>Mar</v>
      </c>
      <c r="Q1790" t="str">
        <f>IF(financial_fraud_data[[#This Row],[Is_Fraud]]=1,"Yes","No")</f>
        <v>No</v>
      </c>
    </row>
    <row r="1791" spans="1:17" x14ac:dyDescent="0.2">
      <c r="A1791" t="s">
        <v>2313</v>
      </c>
      <c r="B1791" t="s">
        <v>627</v>
      </c>
      <c r="C1791" s="1">
        <v>45366.541666666664</v>
      </c>
      <c r="D1791">
        <v>25944.48</v>
      </c>
      <c r="E1791" t="s">
        <v>16</v>
      </c>
      <c r="F1791" t="s">
        <v>47</v>
      </c>
      <c r="G1791" t="s">
        <v>65</v>
      </c>
      <c r="H1791" t="s">
        <v>24</v>
      </c>
      <c r="I1791" t="s">
        <v>24</v>
      </c>
      <c r="J1791" t="s">
        <v>20</v>
      </c>
      <c r="K1791">
        <v>0</v>
      </c>
      <c r="L1791">
        <v>3</v>
      </c>
      <c r="M1791">
        <v>7.09</v>
      </c>
      <c r="N1791">
        <v>1</v>
      </c>
      <c r="O1791" t="str">
        <f>IF(financial_fraud_data[[#This Row],[Risk_Score]]&gt;8,"High",IF(financial_fraud_data[[#This Row],[Risk_Score]]&gt;5,"Med","Low"))</f>
        <v>Med</v>
      </c>
      <c r="P1791" t="str">
        <f>TEXT(financial_fraud_data[[#This Row],[Transaction_Date]],"MMM")</f>
        <v>Mar</v>
      </c>
      <c r="Q1791" t="str">
        <f>IF(financial_fraud_data[[#This Row],[Is_Fraud]]=1,"Yes","No")</f>
        <v>Yes</v>
      </c>
    </row>
    <row r="1792" spans="1:17" x14ac:dyDescent="0.2">
      <c r="A1792" t="s">
        <v>2314</v>
      </c>
      <c r="B1792" t="s">
        <v>1216</v>
      </c>
      <c r="C1792" s="1">
        <v>45366.583333333336</v>
      </c>
      <c r="D1792">
        <v>7550.94</v>
      </c>
      <c r="E1792" t="s">
        <v>34</v>
      </c>
      <c r="F1792" t="s">
        <v>27</v>
      </c>
      <c r="G1792" t="s">
        <v>56</v>
      </c>
      <c r="H1792" t="s">
        <v>24</v>
      </c>
      <c r="I1792" t="s">
        <v>36</v>
      </c>
      <c r="J1792" t="s">
        <v>37</v>
      </c>
      <c r="K1792">
        <v>0</v>
      </c>
      <c r="L1792">
        <v>1</v>
      </c>
      <c r="M1792">
        <v>3.26</v>
      </c>
      <c r="N1792">
        <v>0</v>
      </c>
      <c r="O1792" t="str">
        <f>IF(financial_fraud_data[[#This Row],[Risk_Score]]&gt;8,"High",IF(financial_fraud_data[[#This Row],[Risk_Score]]&gt;5,"Med","Low"))</f>
        <v>Low</v>
      </c>
      <c r="P1792" t="str">
        <f>TEXT(financial_fraud_data[[#This Row],[Transaction_Date]],"MMM")</f>
        <v>Mar</v>
      </c>
      <c r="Q1792" t="str">
        <f>IF(financial_fraud_data[[#This Row],[Is_Fraud]]=1,"Yes","No")</f>
        <v>No</v>
      </c>
    </row>
    <row r="1793" spans="1:17" x14ac:dyDescent="0.2">
      <c r="A1793" t="s">
        <v>2315</v>
      </c>
      <c r="B1793" t="s">
        <v>572</v>
      </c>
      <c r="C1793" s="1">
        <v>45366.625</v>
      </c>
      <c r="D1793">
        <v>36884.82</v>
      </c>
      <c r="E1793" t="s">
        <v>42</v>
      </c>
      <c r="F1793" t="s">
        <v>17</v>
      </c>
      <c r="G1793" t="s">
        <v>28</v>
      </c>
      <c r="H1793" t="s">
        <v>36</v>
      </c>
      <c r="I1793" t="s">
        <v>24</v>
      </c>
      <c r="J1793" t="s">
        <v>51</v>
      </c>
      <c r="K1793">
        <v>0</v>
      </c>
      <c r="L1793">
        <v>2</v>
      </c>
      <c r="M1793">
        <v>7.69</v>
      </c>
      <c r="N1793">
        <v>1</v>
      </c>
      <c r="O1793" t="str">
        <f>IF(financial_fraud_data[[#This Row],[Risk_Score]]&gt;8,"High",IF(financial_fraud_data[[#This Row],[Risk_Score]]&gt;5,"Med","Low"))</f>
        <v>Med</v>
      </c>
      <c r="P1793" t="str">
        <f>TEXT(financial_fraud_data[[#This Row],[Transaction_Date]],"MMM")</f>
        <v>Mar</v>
      </c>
      <c r="Q1793" t="str">
        <f>IF(financial_fraud_data[[#This Row],[Is_Fraud]]=1,"Yes","No")</f>
        <v>Yes</v>
      </c>
    </row>
    <row r="1794" spans="1:17" x14ac:dyDescent="0.2">
      <c r="A1794" t="s">
        <v>2316</v>
      </c>
      <c r="B1794" t="s">
        <v>2221</v>
      </c>
      <c r="C1794" s="1">
        <v>45366.666666666664</v>
      </c>
      <c r="D1794">
        <v>25635.48</v>
      </c>
      <c r="E1794" t="s">
        <v>80</v>
      </c>
      <c r="F1794" t="s">
        <v>17</v>
      </c>
      <c r="G1794" t="s">
        <v>65</v>
      </c>
      <c r="H1794" t="s">
        <v>36</v>
      </c>
      <c r="I1794" t="s">
        <v>29</v>
      </c>
      <c r="J1794" t="s">
        <v>51</v>
      </c>
      <c r="K1794">
        <v>0</v>
      </c>
      <c r="L1794">
        <v>0</v>
      </c>
      <c r="M1794">
        <v>3.56</v>
      </c>
      <c r="N1794">
        <v>0</v>
      </c>
      <c r="O1794" t="str">
        <f>IF(financial_fraud_data[[#This Row],[Risk_Score]]&gt;8,"High",IF(financial_fraud_data[[#This Row],[Risk_Score]]&gt;5,"Med","Low"))</f>
        <v>Low</v>
      </c>
      <c r="P1794" t="str">
        <f>TEXT(financial_fraud_data[[#This Row],[Transaction_Date]],"MMM")</f>
        <v>Mar</v>
      </c>
      <c r="Q1794" t="str">
        <f>IF(financial_fraud_data[[#This Row],[Is_Fraud]]=1,"Yes","No")</f>
        <v>No</v>
      </c>
    </row>
    <row r="1795" spans="1:17" x14ac:dyDescent="0.2">
      <c r="A1795" t="s">
        <v>2317</v>
      </c>
      <c r="B1795" t="s">
        <v>308</v>
      </c>
      <c r="C1795" s="1">
        <v>45366.708333333336</v>
      </c>
      <c r="D1795">
        <v>34027.379999999997</v>
      </c>
      <c r="E1795" t="s">
        <v>80</v>
      </c>
      <c r="F1795" t="s">
        <v>50</v>
      </c>
      <c r="G1795" t="s">
        <v>56</v>
      </c>
      <c r="H1795" t="s">
        <v>36</v>
      </c>
      <c r="I1795" t="s">
        <v>36</v>
      </c>
      <c r="J1795" t="s">
        <v>20</v>
      </c>
      <c r="K1795">
        <v>0</v>
      </c>
      <c r="L1795">
        <v>1</v>
      </c>
      <c r="M1795">
        <v>4.9000000000000004</v>
      </c>
      <c r="N1795">
        <v>0</v>
      </c>
      <c r="O1795" t="str">
        <f>IF(financial_fraud_data[[#This Row],[Risk_Score]]&gt;8,"High",IF(financial_fraud_data[[#This Row],[Risk_Score]]&gt;5,"Med","Low"))</f>
        <v>Low</v>
      </c>
      <c r="P1795" t="str">
        <f>TEXT(financial_fraud_data[[#This Row],[Transaction_Date]],"MMM")</f>
        <v>Mar</v>
      </c>
      <c r="Q1795" t="str">
        <f>IF(financial_fraud_data[[#This Row],[Is_Fraud]]=1,"Yes","No")</f>
        <v>No</v>
      </c>
    </row>
    <row r="1796" spans="1:17" x14ac:dyDescent="0.2">
      <c r="A1796" t="s">
        <v>2318</v>
      </c>
      <c r="B1796" t="s">
        <v>455</v>
      </c>
      <c r="C1796" s="1">
        <v>45366.75</v>
      </c>
      <c r="D1796">
        <v>2131.56</v>
      </c>
      <c r="E1796" t="s">
        <v>80</v>
      </c>
      <c r="F1796" t="s">
        <v>17</v>
      </c>
      <c r="G1796" t="s">
        <v>56</v>
      </c>
      <c r="H1796" t="s">
        <v>36</v>
      </c>
      <c r="I1796" t="s">
        <v>24</v>
      </c>
      <c r="J1796" t="s">
        <v>20</v>
      </c>
      <c r="K1796">
        <v>0</v>
      </c>
      <c r="L1796">
        <v>2</v>
      </c>
      <c r="M1796">
        <v>4.21</v>
      </c>
      <c r="N1796">
        <v>0</v>
      </c>
      <c r="O1796" t="str">
        <f>IF(financial_fraud_data[[#This Row],[Risk_Score]]&gt;8,"High",IF(financial_fraud_data[[#This Row],[Risk_Score]]&gt;5,"Med","Low"))</f>
        <v>Low</v>
      </c>
      <c r="P1796" t="str">
        <f>TEXT(financial_fraud_data[[#This Row],[Transaction_Date]],"MMM")</f>
        <v>Mar</v>
      </c>
      <c r="Q1796" t="str">
        <f>IF(financial_fraud_data[[#This Row],[Is_Fraud]]=1,"Yes","No")</f>
        <v>No</v>
      </c>
    </row>
    <row r="1797" spans="1:17" x14ac:dyDescent="0.2">
      <c r="A1797" t="s">
        <v>2319</v>
      </c>
      <c r="B1797" t="s">
        <v>565</v>
      </c>
      <c r="C1797" s="1">
        <v>45366.791666666664</v>
      </c>
      <c r="D1797">
        <v>4285.3599999999997</v>
      </c>
      <c r="E1797" t="s">
        <v>34</v>
      </c>
      <c r="F1797" t="s">
        <v>27</v>
      </c>
      <c r="G1797" t="s">
        <v>28</v>
      </c>
      <c r="H1797" t="s">
        <v>24</v>
      </c>
      <c r="I1797" t="s">
        <v>23</v>
      </c>
      <c r="J1797" t="s">
        <v>37</v>
      </c>
      <c r="K1797">
        <v>1</v>
      </c>
      <c r="L1797">
        <v>2</v>
      </c>
      <c r="M1797">
        <v>6.43</v>
      </c>
      <c r="N1797">
        <v>1</v>
      </c>
      <c r="O1797" t="str">
        <f>IF(financial_fraud_data[[#This Row],[Risk_Score]]&gt;8,"High",IF(financial_fraud_data[[#This Row],[Risk_Score]]&gt;5,"Med","Low"))</f>
        <v>Med</v>
      </c>
      <c r="P1797" t="str">
        <f>TEXT(financial_fraud_data[[#This Row],[Transaction_Date]],"MMM")</f>
        <v>Mar</v>
      </c>
      <c r="Q1797" t="str">
        <f>IF(financial_fraud_data[[#This Row],[Is_Fraud]]=1,"Yes","No")</f>
        <v>Yes</v>
      </c>
    </row>
    <row r="1798" spans="1:17" x14ac:dyDescent="0.2">
      <c r="A1798" t="s">
        <v>2320</v>
      </c>
      <c r="B1798" t="s">
        <v>2051</v>
      </c>
      <c r="C1798" s="1">
        <v>45366.833333333336</v>
      </c>
      <c r="D1798">
        <v>35830.35</v>
      </c>
      <c r="E1798" t="s">
        <v>16</v>
      </c>
      <c r="F1798" t="s">
        <v>27</v>
      </c>
      <c r="G1798" t="s">
        <v>18</v>
      </c>
      <c r="H1798" t="s">
        <v>19</v>
      </c>
      <c r="I1798" t="s">
        <v>29</v>
      </c>
      <c r="J1798" t="s">
        <v>37</v>
      </c>
      <c r="K1798">
        <v>1</v>
      </c>
      <c r="L1798">
        <v>1</v>
      </c>
      <c r="M1798">
        <v>8.08</v>
      </c>
      <c r="N1798">
        <v>1</v>
      </c>
      <c r="O1798" t="str">
        <f>IF(financial_fraud_data[[#This Row],[Risk_Score]]&gt;8,"High",IF(financial_fraud_data[[#This Row],[Risk_Score]]&gt;5,"Med","Low"))</f>
        <v>High</v>
      </c>
      <c r="P1798" t="str">
        <f>TEXT(financial_fraud_data[[#This Row],[Transaction_Date]],"MMM")</f>
        <v>Mar</v>
      </c>
      <c r="Q1798" t="str">
        <f>IF(financial_fraud_data[[#This Row],[Is_Fraud]]=1,"Yes","No")</f>
        <v>Yes</v>
      </c>
    </row>
    <row r="1799" spans="1:17" x14ac:dyDescent="0.2">
      <c r="A1799" t="s">
        <v>2321</v>
      </c>
      <c r="B1799" t="s">
        <v>402</v>
      </c>
      <c r="C1799" s="1">
        <v>45366.875</v>
      </c>
      <c r="D1799">
        <v>3650.61</v>
      </c>
      <c r="E1799" t="s">
        <v>42</v>
      </c>
      <c r="F1799" t="s">
        <v>27</v>
      </c>
      <c r="G1799" t="s">
        <v>28</v>
      </c>
      <c r="H1799" t="s">
        <v>19</v>
      </c>
      <c r="I1799" t="s">
        <v>19</v>
      </c>
      <c r="J1799" t="s">
        <v>20</v>
      </c>
      <c r="K1799">
        <v>0</v>
      </c>
      <c r="L1799">
        <v>4</v>
      </c>
      <c r="M1799">
        <v>6.37</v>
      </c>
      <c r="N1799">
        <v>1</v>
      </c>
      <c r="O1799" t="str">
        <f>IF(financial_fraud_data[[#This Row],[Risk_Score]]&gt;8,"High",IF(financial_fraud_data[[#This Row],[Risk_Score]]&gt;5,"Med","Low"))</f>
        <v>Med</v>
      </c>
      <c r="P1799" t="str">
        <f>TEXT(financial_fraud_data[[#This Row],[Transaction_Date]],"MMM")</f>
        <v>Mar</v>
      </c>
      <c r="Q1799" t="str">
        <f>IF(financial_fraud_data[[#This Row],[Is_Fraud]]=1,"Yes","No")</f>
        <v>Yes</v>
      </c>
    </row>
    <row r="1800" spans="1:17" x14ac:dyDescent="0.2">
      <c r="A1800" t="s">
        <v>2322</v>
      </c>
      <c r="B1800" t="s">
        <v>2004</v>
      </c>
      <c r="C1800" s="1">
        <v>45366.916666666664</v>
      </c>
      <c r="D1800">
        <v>3609.27</v>
      </c>
      <c r="E1800" t="s">
        <v>80</v>
      </c>
      <c r="F1800" t="s">
        <v>50</v>
      </c>
      <c r="G1800" t="s">
        <v>18</v>
      </c>
      <c r="H1800" t="s">
        <v>36</v>
      </c>
      <c r="I1800" t="s">
        <v>19</v>
      </c>
      <c r="J1800" t="s">
        <v>37</v>
      </c>
      <c r="K1800">
        <v>1</v>
      </c>
      <c r="L1800">
        <v>0</v>
      </c>
      <c r="M1800">
        <v>3.36</v>
      </c>
      <c r="N1800">
        <v>0</v>
      </c>
      <c r="O1800" t="str">
        <f>IF(financial_fraud_data[[#This Row],[Risk_Score]]&gt;8,"High",IF(financial_fraud_data[[#This Row],[Risk_Score]]&gt;5,"Med","Low"))</f>
        <v>Low</v>
      </c>
      <c r="P1800" t="str">
        <f>TEXT(financial_fraud_data[[#This Row],[Transaction_Date]],"MMM")</f>
        <v>Mar</v>
      </c>
      <c r="Q1800" t="str">
        <f>IF(financial_fraud_data[[#This Row],[Is_Fraud]]=1,"Yes","No")</f>
        <v>No</v>
      </c>
    </row>
    <row r="1801" spans="1:17" x14ac:dyDescent="0.2">
      <c r="A1801" t="s">
        <v>2323</v>
      </c>
      <c r="B1801" t="s">
        <v>835</v>
      </c>
      <c r="C1801" s="1">
        <v>45366.958333333336</v>
      </c>
      <c r="D1801">
        <v>654.82000000000005</v>
      </c>
      <c r="E1801" t="s">
        <v>42</v>
      </c>
      <c r="F1801" t="s">
        <v>47</v>
      </c>
      <c r="G1801" t="s">
        <v>56</v>
      </c>
      <c r="H1801" t="s">
        <v>29</v>
      </c>
      <c r="I1801" t="s">
        <v>23</v>
      </c>
      <c r="J1801" t="s">
        <v>37</v>
      </c>
      <c r="K1801">
        <v>1</v>
      </c>
      <c r="L1801">
        <v>1</v>
      </c>
      <c r="M1801">
        <v>4.57</v>
      </c>
      <c r="N1801">
        <v>0</v>
      </c>
      <c r="O1801" t="str">
        <f>IF(financial_fraud_data[[#This Row],[Risk_Score]]&gt;8,"High",IF(financial_fraud_data[[#This Row],[Risk_Score]]&gt;5,"Med","Low"))</f>
        <v>Low</v>
      </c>
      <c r="P1801" t="str">
        <f>TEXT(financial_fraud_data[[#This Row],[Transaction_Date]],"MMM")</f>
        <v>Mar</v>
      </c>
      <c r="Q1801" t="str">
        <f>IF(financial_fraud_data[[#This Row],[Is_Fraud]]=1,"Yes","No")</f>
        <v>No</v>
      </c>
    </row>
    <row r="1802" spans="1:17" x14ac:dyDescent="0.2">
      <c r="A1802" t="s">
        <v>2324</v>
      </c>
      <c r="B1802" t="s">
        <v>1101</v>
      </c>
      <c r="C1802" s="1">
        <v>45367</v>
      </c>
      <c r="D1802">
        <v>47827.24</v>
      </c>
      <c r="E1802" t="s">
        <v>34</v>
      </c>
      <c r="F1802" t="s">
        <v>17</v>
      </c>
      <c r="G1802" t="s">
        <v>65</v>
      </c>
      <c r="H1802" t="s">
        <v>23</v>
      </c>
      <c r="I1802" t="s">
        <v>29</v>
      </c>
      <c r="J1802" t="s">
        <v>20</v>
      </c>
      <c r="K1802">
        <v>0</v>
      </c>
      <c r="L1802">
        <v>0</v>
      </c>
      <c r="M1802">
        <v>5.78</v>
      </c>
      <c r="N1802">
        <v>1</v>
      </c>
      <c r="O1802" t="str">
        <f>IF(financial_fraud_data[[#This Row],[Risk_Score]]&gt;8,"High",IF(financial_fraud_data[[#This Row],[Risk_Score]]&gt;5,"Med","Low"))</f>
        <v>Med</v>
      </c>
      <c r="P1802" t="str">
        <f>TEXT(financial_fraud_data[[#This Row],[Transaction_Date]],"MMM")</f>
        <v>Mar</v>
      </c>
      <c r="Q1802" t="str">
        <f>IF(financial_fraud_data[[#This Row],[Is_Fraud]]=1,"Yes","No")</f>
        <v>Yes</v>
      </c>
    </row>
    <row r="1803" spans="1:17" x14ac:dyDescent="0.2">
      <c r="A1803" t="s">
        <v>2325</v>
      </c>
      <c r="B1803" t="s">
        <v>1499</v>
      </c>
      <c r="C1803" s="1">
        <v>45367.041666666664</v>
      </c>
      <c r="D1803">
        <v>36888.54</v>
      </c>
      <c r="E1803" t="s">
        <v>80</v>
      </c>
      <c r="F1803" t="s">
        <v>27</v>
      </c>
      <c r="G1803" t="s">
        <v>35</v>
      </c>
      <c r="H1803" t="s">
        <v>29</v>
      </c>
      <c r="I1803" t="s">
        <v>29</v>
      </c>
      <c r="J1803" t="s">
        <v>20</v>
      </c>
      <c r="K1803">
        <v>0</v>
      </c>
      <c r="L1803">
        <v>0</v>
      </c>
      <c r="M1803">
        <v>3.69</v>
      </c>
      <c r="N1803">
        <v>0</v>
      </c>
      <c r="O1803" t="str">
        <f>IF(financial_fraud_data[[#This Row],[Risk_Score]]&gt;8,"High",IF(financial_fraud_data[[#This Row],[Risk_Score]]&gt;5,"Med","Low"))</f>
        <v>Low</v>
      </c>
      <c r="P1803" t="str">
        <f>TEXT(financial_fraud_data[[#This Row],[Transaction_Date]],"MMM")</f>
        <v>Mar</v>
      </c>
      <c r="Q1803" t="str">
        <f>IF(financial_fraud_data[[#This Row],[Is_Fraud]]=1,"Yes","No")</f>
        <v>No</v>
      </c>
    </row>
    <row r="1804" spans="1:17" x14ac:dyDescent="0.2">
      <c r="A1804" t="s">
        <v>2326</v>
      </c>
      <c r="B1804" t="s">
        <v>191</v>
      </c>
      <c r="C1804" s="1">
        <v>45367.083333333336</v>
      </c>
      <c r="D1804">
        <v>17694.91</v>
      </c>
      <c r="E1804" t="s">
        <v>34</v>
      </c>
      <c r="F1804" t="s">
        <v>27</v>
      </c>
      <c r="G1804" t="s">
        <v>56</v>
      </c>
      <c r="H1804" t="s">
        <v>29</v>
      </c>
      <c r="I1804" t="s">
        <v>29</v>
      </c>
      <c r="J1804" t="s">
        <v>20</v>
      </c>
      <c r="K1804">
        <v>0</v>
      </c>
      <c r="L1804">
        <v>1</v>
      </c>
      <c r="M1804">
        <v>3.27</v>
      </c>
      <c r="N1804">
        <v>0</v>
      </c>
      <c r="O1804" t="str">
        <f>IF(financial_fraud_data[[#This Row],[Risk_Score]]&gt;8,"High",IF(financial_fraud_data[[#This Row],[Risk_Score]]&gt;5,"Med","Low"))</f>
        <v>Low</v>
      </c>
      <c r="P1804" t="str">
        <f>TEXT(financial_fraud_data[[#This Row],[Transaction_Date]],"MMM")</f>
        <v>Mar</v>
      </c>
      <c r="Q1804" t="str">
        <f>IF(financial_fraud_data[[#This Row],[Is_Fraud]]=1,"Yes","No")</f>
        <v>No</v>
      </c>
    </row>
    <row r="1805" spans="1:17" x14ac:dyDescent="0.2">
      <c r="A1805" t="s">
        <v>2327</v>
      </c>
      <c r="B1805" t="s">
        <v>629</v>
      </c>
      <c r="C1805" s="1">
        <v>45367.125</v>
      </c>
      <c r="D1805">
        <v>14861.95</v>
      </c>
      <c r="E1805" t="s">
        <v>16</v>
      </c>
      <c r="F1805" t="s">
        <v>47</v>
      </c>
      <c r="G1805" t="s">
        <v>65</v>
      </c>
      <c r="H1805" t="s">
        <v>29</v>
      </c>
      <c r="I1805" t="s">
        <v>29</v>
      </c>
      <c r="J1805" t="s">
        <v>20</v>
      </c>
      <c r="K1805">
        <v>0</v>
      </c>
      <c r="L1805">
        <v>2</v>
      </c>
      <c r="M1805">
        <v>4.49</v>
      </c>
      <c r="N1805">
        <v>0</v>
      </c>
      <c r="O1805" t="str">
        <f>IF(financial_fraud_data[[#This Row],[Risk_Score]]&gt;8,"High",IF(financial_fraud_data[[#This Row],[Risk_Score]]&gt;5,"Med","Low"))</f>
        <v>Low</v>
      </c>
      <c r="P1805" t="str">
        <f>TEXT(financial_fraud_data[[#This Row],[Transaction_Date]],"MMM")</f>
        <v>Mar</v>
      </c>
      <c r="Q1805" t="str">
        <f>IF(financial_fraud_data[[#This Row],[Is_Fraud]]=1,"Yes","No")</f>
        <v>No</v>
      </c>
    </row>
    <row r="1806" spans="1:17" x14ac:dyDescent="0.2">
      <c r="A1806" t="s">
        <v>2328</v>
      </c>
      <c r="B1806" t="s">
        <v>898</v>
      </c>
      <c r="C1806" s="1">
        <v>45367.166666666664</v>
      </c>
      <c r="D1806">
        <v>17517.68</v>
      </c>
      <c r="E1806" t="s">
        <v>34</v>
      </c>
      <c r="F1806" t="s">
        <v>27</v>
      </c>
      <c r="G1806" t="s">
        <v>56</v>
      </c>
      <c r="H1806" t="s">
        <v>19</v>
      </c>
      <c r="I1806" t="s">
        <v>19</v>
      </c>
      <c r="J1806" t="s">
        <v>51</v>
      </c>
      <c r="K1806">
        <v>0</v>
      </c>
      <c r="L1806">
        <v>4</v>
      </c>
      <c r="M1806">
        <v>7.75</v>
      </c>
      <c r="N1806">
        <v>1</v>
      </c>
      <c r="O1806" t="str">
        <f>IF(financial_fraud_data[[#This Row],[Risk_Score]]&gt;8,"High",IF(financial_fraud_data[[#This Row],[Risk_Score]]&gt;5,"Med","Low"))</f>
        <v>Med</v>
      </c>
      <c r="P1806" t="str">
        <f>TEXT(financial_fraud_data[[#This Row],[Transaction_Date]],"MMM")</f>
        <v>Mar</v>
      </c>
      <c r="Q1806" t="str">
        <f>IF(financial_fraud_data[[#This Row],[Is_Fraud]]=1,"Yes","No")</f>
        <v>Yes</v>
      </c>
    </row>
    <row r="1807" spans="1:17" x14ac:dyDescent="0.2">
      <c r="A1807" t="s">
        <v>2329</v>
      </c>
      <c r="B1807" t="s">
        <v>359</v>
      </c>
      <c r="C1807" s="1">
        <v>45367.208333333336</v>
      </c>
      <c r="D1807">
        <v>38743.94</v>
      </c>
      <c r="E1807" t="s">
        <v>34</v>
      </c>
      <c r="F1807" t="s">
        <v>17</v>
      </c>
      <c r="G1807" t="s">
        <v>28</v>
      </c>
      <c r="H1807" t="s">
        <v>23</v>
      </c>
      <c r="I1807" t="s">
        <v>24</v>
      </c>
      <c r="J1807" t="s">
        <v>51</v>
      </c>
      <c r="K1807">
        <v>0</v>
      </c>
      <c r="L1807">
        <v>0</v>
      </c>
      <c r="M1807">
        <v>4.87</v>
      </c>
      <c r="N1807">
        <v>0</v>
      </c>
      <c r="O1807" t="str">
        <f>IF(financial_fraud_data[[#This Row],[Risk_Score]]&gt;8,"High",IF(financial_fraud_data[[#This Row],[Risk_Score]]&gt;5,"Med","Low"))</f>
        <v>Low</v>
      </c>
      <c r="P1807" t="str">
        <f>TEXT(financial_fraud_data[[#This Row],[Transaction_Date]],"MMM")</f>
        <v>Mar</v>
      </c>
      <c r="Q1807" t="str">
        <f>IF(financial_fraud_data[[#This Row],[Is_Fraud]]=1,"Yes","No")</f>
        <v>No</v>
      </c>
    </row>
    <row r="1808" spans="1:17" x14ac:dyDescent="0.2">
      <c r="A1808" t="s">
        <v>2330</v>
      </c>
      <c r="B1808" t="s">
        <v>986</v>
      </c>
      <c r="C1808" s="1">
        <v>45367.25</v>
      </c>
      <c r="D1808">
        <v>33085.46</v>
      </c>
      <c r="E1808" t="s">
        <v>16</v>
      </c>
      <c r="F1808" t="s">
        <v>50</v>
      </c>
      <c r="G1808" t="s">
        <v>18</v>
      </c>
      <c r="H1808" t="s">
        <v>29</v>
      </c>
      <c r="I1808" t="s">
        <v>29</v>
      </c>
      <c r="J1808" t="s">
        <v>20</v>
      </c>
      <c r="K1808">
        <v>0</v>
      </c>
      <c r="L1808">
        <v>0</v>
      </c>
      <c r="M1808">
        <v>3.31</v>
      </c>
      <c r="N1808">
        <v>0</v>
      </c>
      <c r="O1808" t="str">
        <f>IF(financial_fraud_data[[#This Row],[Risk_Score]]&gt;8,"High",IF(financial_fraud_data[[#This Row],[Risk_Score]]&gt;5,"Med","Low"))</f>
        <v>Low</v>
      </c>
      <c r="P1808" t="str">
        <f>TEXT(financial_fraud_data[[#This Row],[Transaction_Date]],"MMM")</f>
        <v>Mar</v>
      </c>
      <c r="Q1808" t="str">
        <f>IF(financial_fraud_data[[#This Row],[Is_Fraud]]=1,"Yes","No")</f>
        <v>No</v>
      </c>
    </row>
    <row r="1809" spans="1:17" x14ac:dyDescent="0.2">
      <c r="A1809" t="s">
        <v>2331</v>
      </c>
      <c r="B1809" t="s">
        <v>55</v>
      </c>
      <c r="C1809" s="1">
        <v>45367.291666666664</v>
      </c>
      <c r="D1809">
        <v>9300.52</v>
      </c>
      <c r="E1809" t="s">
        <v>42</v>
      </c>
      <c r="F1809" t="s">
        <v>27</v>
      </c>
      <c r="G1809" t="s">
        <v>56</v>
      </c>
      <c r="H1809" t="s">
        <v>36</v>
      </c>
      <c r="I1809" t="s">
        <v>24</v>
      </c>
      <c r="J1809" t="s">
        <v>37</v>
      </c>
      <c r="K1809">
        <v>0</v>
      </c>
      <c r="L1809">
        <v>2</v>
      </c>
      <c r="M1809">
        <v>4.93</v>
      </c>
      <c r="N1809">
        <v>0</v>
      </c>
      <c r="O1809" t="str">
        <f>IF(financial_fraud_data[[#This Row],[Risk_Score]]&gt;8,"High",IF(financial_fraud_data[[#This Row],[Risk_Score]]&gt;5,"Med","Low"))</f>
        <v>Low</v>
      </c>
      <c r="P1809" t="str">
        <f>TEXT(financial_fraud_data[[#This Row],[Transaction_Date]],"MMM")</f>
        <v>Mar</v>
      </c>
      <c r="Q1809" t="str">
        <f>IF(financial_fraud_data[[#This Row],[Is_Fraud]]=1,"Yes","No")</f>
        <v>No</v>
      </c>
    </row>
    <row r="1810" spans="1:17" x14ac:dyDescent="0.2">
      <c r="A1810" t="s">
        <v>2332</v>
      </c>
      <c r="B1810" t="s">
        <v>1027</v>
      </c>
      <c r="C1810" s="1">
        <v>45367.333333333336</v>
      </c>
      <c r="D1810">
        <v>8746.76</v>
      </c>
      <c r="E1810" t="s">
        <v>16</v>
      </c>
      <c r="F1810" t="s">
        <v>17</v>
      </c>
      <c r="G1810" t="s">
        <v>65</v>
      </c>
      <c r="H1810" t="s">
        <v>19</v>
      </c>
      <c r="I1810" t="s">
        <v>29</v>
      </c>
      <c r="J1810" t="s">
        <v>20</v>
      </c>
      <c r="K1810">
        <v>0</v>
      </c>
      <c r="L1810">
        <v>1</v>
      </c>
      <c r="M1810">
        <v>3.37</v>
      </c>
      <c r="N1810">
        <v>0</v>
      </c>
      <c r="O1810" t="str">
        <f>IF(financial_fraud_data[[#This Row],[Risk_Score]]&gt;8,"High",IF(financial_fraud_data[[#This Row],[Risk_Score]]&gt;5,"Med","Low"))</f>
        <v>Low</v>
      </c>
      <c r="P1810" t="str">
        <f>TEXT(financial_fraud_data[[#This Row],[Transaction_Date]],"MMM")</f>
        <v>Mar</v>
      </c>
      <c r="Q1810" t="str">
        <f>IF(financial_fraud_data[[#This Row],[Is_Fraud]]=1,"Yes","No")</f>
        <v>No</v>
      </c>
    </row>
    <row r="1811" spans="1:17" x14ac:dyDescent="0.2">
      <c r="A1811" t="s">
        <v>2333</v>
      </c>
      <c r="B1811" t="s">
        <v>274</v>
      </c>
      <c r="C1811" s="1">
        <v>45367.375</v>
      </c>
      <c r="D1811">
        <v>4964.8599999999997</v>
      </c>
      <c r="E1811" t="s">
        <v>16</v>
      </c>
      <c r="F1811" t="s">
        <v>27</v>
      </c>
      <c r="G1811" t="s">
        <v>28</v>
      </c>
      <c r="H1811" t="s">
        <v>36</v>
      </c>
      <c r="I1811" t="s">
        <v>36</v>
      </c>
      <c r="J1811" t="s">
        <v>51</v>
      </c>
      <c r="K1811">
        <v>0</v>
      </c>
      <c r="L1811">
        <v>4</v>
      </c>
      <c r="M1811">
        <v>6.5</v>
      </c>
      <c r="N1811">
        <v>1</v>
      </c>
      <c r="O1811" t="str">
        <f>IF(financial_fraud_data[[#This Row],[Risk_Score]]&gt;8,"High",IF(financial_fraud_data[[#This Row],[Risk_Score]]&gt;5,"Med","Low"))</f>
        <v>Med</v>
      </c>
      <c r="P1811" t="str">
        <f>TEXT(financial_fraud_data[[#This Row],[Transaction_Date]],"MMM")</f>
        <v>Mar</v>
      </c>
      <c r="Q1811" t="str">
        <f>IF(financial_fraud_data[[#This Row],[Is_Fraud]]=1,"Yes","No")</f>
        <v>Yes</v>
      </c>
    </row>
    <row r="1812" spans="1:17" x14ac:dyDescent="0.2">
      <c r="A1812" t="s">
        <v>2334</v>
      </c>
      <c r="B1812" t="s">
        <v>1253</v>
      </c>
      <c r="C1812" s="1">
        <v>45367.416666666664</v>
      </c>
      <c r="D1812">
        <v>33032.120000000003</v>
      </c>
      <c r="E1812" t="s">
        <v>34</v>
      </c>
      <c r="F1812" t="s">
        <v>47</v>
      </c>
      <c r="G1812" t="s">
        <v>35</v>
      </c>
      <c r="H1812" t="s">
        <v>36</v>
      </c>
      <c r="I1812" t="s">
        <v>36</v>
      </c>
      <c r="J1812" t="s">
        <v>37</v>
      </c>
      <c r="K1812">
        <v>0</v>
      </c>
      <c r="L1812">
        <v>0</v>
      </c>
      <c r="M1812">
        <v>3.3</v>
      </c>
      <c r="N1812">
        <v>0</v>
      </c>
      <c r="O1812" t="str">
        <f>IF(financial_fraud_data[[#This Row],[Risk_Score]]&gt;8,"High",IF(financial_fraud_data[[#This Row],[Risk_Score]]&gt;5,"Med","Low"))</f>
        <v>Low</v>
      </c>
      <c r="P1812" t="str">
        <f>TEXT(financial_fraud_data[[#This Row],[Transaction_Date]],"MMM")</f>
        <v>Mar</v>
      </c>
      <c r="Q1812" t="str">
        <f>IF(financial_fraud_data[[#This Row],[Is_Fraud]]=1,"Yes","No")</f>
        <v>No</v>
      </c>
    </row>
    <row r="1813" spans="1:17" x14ac:dyDescent="0.2">
      <c r="A1813" t="s">
        <v>2335</v>
      </c>
      <c r="B1813" t="s">
        <v>71</v>
      </c>
      <c r="C1813" s="1">
        <v>45367.458333333336</v>
      </c>
      <c r="D1813">
        <v>38230.410000000003</v>
      </c>
      <c r="E1813" t="s">
        <v>42</v>
      </c>
      <c r="F1813" t="s">
        <v>27</v>
      </c>
      <c r="G1813" t="s">
        <v>28</v>
      </c>
      <c r="H1813" t="s">
        <v>29</v>
      </c>
      <c r="I1813" t="s">
        <v>36</v>
      </c>
      <c r="J1813" t="s">
        <v>51</v>
      </c>
      <c r="K1813">
        <v>1</v>
      </c>
      <c r="L1813">
        <v>0</v>
      </c>
      <c r="M1813">
        <v>6.82</v>
      </c>
      <c r="N1813">
        <v>1</v>
      </c>
      <c r="O1813" t="str">
        <f>IF(financial_fraud_data[[#This Row],[Risk_Score]]&gt;8,"High",IF(financial_fraud_data[[#This Row],[Risk_Score]]&gt;5,"Med","Low"))</f>
        <v>Med</v>
      </c>
      <c r="P1813" t="str">
        <f>TEXT(financial_fraud_data[[#This Row],[Transaction_Date]],"MMM")</f>
        <v>Mar</v>
      </c>
      <c r="Q1813" t="str">
        <f>IF(financial_fraud_data[[#This Row],[Is_Fraud]]=1,"Yes","No")</f>
        <v>Yes</v>
      </c>
    </row>
    <row r="1814" spans="1:17" x14ac:dyDescent="0.2">
      <c r="A1814" t="s">
        <v>2336</v>
      </c>
      <c r="B1814" t="s">
        <v>844</v>
      </c>
      <c r="C1814" s="1">
        <v>45367.5</v>
      </c>
      <c r="D1814">
        <v>13289.07</v>
      </c>
      <c r="E1814" t="s">
        <v>80</v>
      </c>
      <c r="F1814" t="s">
        <v>27</v>
      </c>
      <c r="G1814" t="s">
        <v>18</v>
      </c>
      <c r="H1814" t="s">
        <v>36</v>
      </c>
      <c r="I1814" t="s">
        <v>29</v>
      </c>
      <c r="J1814" t="s">
        <v>20</v>
      </c>
      <c r="K1814">
        <v>0</v>
      </c>
      <c r="L1814">
        <v>1</v>
      </c>
      <c r="M1814">
        <v>3.83</v>
      </c>
      <c r="N1814">
        <v>0</v>
      </c>
      <c r="O1814" t="str">
        <f>IF(financial_fraud_data[[#This Row],[Risk_Score]]&gt;8,"High",IF(financial_fraud_data[[#This Row],[Risk_Score]]&gt;5,"Med","Low"))</f>
        <v>Low</v>
      </c>
      <c r="P1814" t="str">
        <f>TEXT(financial_fraud_data[[#This Row],[Transaction_Date]],"MMM")</f>
        <v>Mar</v>
      </c>
      <c r="Q1814" t="str">
        <f>IF(financial_fraud_data[[#This Row],[Is_Fraud]]=1,"Yes","No")</f>
        <v>No</v>
      </c>
    </row>
    <row r="1815" spans="1:17" x14ac:dyDescent="0.2">
      <c r="A1815" t="s">
        <v>2337</v>
      </c>
      <c r="B1815" t="s">
        <v>148</v>
      </c>
      <c r="C1815" s="1">
        <v>45367.541666666664</v>
      </c>
      <c r="D1815">
        <v>1096.2</v>
      </c>
      <c r="E1815" t="s">
        <v>16</v>
      </c>
      <c r="F1815" t="s">
        <v>50</v>
      </c>
      <c r="G1815" t="s">
        <v>28</v>
      </c>
      <c r="H1815" t="s">
        <v>23</v>
      </c>
      <c r="I1815" t="s">
        <v>24</v>
      </c>
      <c r="J1815" t="s">
        <v>51</v>
      </c>
      <c r="K1815">
        <v>0</v>
      </c>
      <c r="L1815">
        <v>2</v>
      </c>
      <c r="M1815">
        <v>4.1100000000000003</v>
      </c>
      <c r="N1815">
        <v>0</v>
      </c>
      <c r="O1815" t="str">
        <f>IF(financial_fraud_data[[#This Row],[Risk_Score]]&gt;8,"High",IF(financial_fraud_data[[#This Row],[Risk_Score]]&gt;5,"Med","Low"))</f>
        <v>Low</v>
      </c>
      <c r="P1815" t="str">
        <f>TEXT(financial_fraud_data[[#This Row],[Transaction_Date]],"MMM")</f>
        <v>Mar</v>
      </c>
      <c r="Q1815" t="str">
        <f>IF(financial_fraud_data[[#This Row],[Is_Fraud]]=1,"Yes","No")</f>
        <v>No</v>
      </c>
    </row>
    <row r="1816" spans="1:17" x14ac:dyDescent="0.2">
      <c r="A1816" t="s">
        <v>2338</v>
      </c>
      <c r="B1816" t="s">
        <v>1189</v>
      </c>
      <c r="C1816" s="1">
        <v>45367.583333333336</v>
      </c>
      <c r="D1816">
        <v>4154.47</v>
      </c>
      <c r="E1816" t="s">
        <v>42</v>
      </c>
      <c r="F1816" t="s">
        <v>47</v>
      </c>
      <c r="G1816" t="s">
        <v>35</v>
      </c>
      <c r="H1816" t="s">
        <v>36</v>
      </c>
      <c r="I1816" t="s">
        <v>19</v>
      </c>
      <c r="J1816" t="s">
        <v>51</v>
      </c>
      <c r="K1816">
        <v>1</v>
      </c>
      <c r="L1816">
        <v>3</v>
      </c>
      <c r="M1816">
        <v>7.92</v>
      </c>
      <c r="N1816">
        <v>1</v>
      </c>
      <c r="O1816" t="str">
        <f>IF(financial_fraud_data[[#This Row],[Risk_Score]]&gt;8,"High",IF(financial_fraud_data[[#This Row],[Risk_Score]]&gt;5,"Med","Low"))</f>
        <v>Med</v>
      </c>
      <c r="P1816" t="str">
        <f>TEXT(financial_fraud_data[[#This Row],[Transaction_Date]],"MMM")</f>
        <v>Mar</v>
      </c>
      <c r="Q1816" t="str">
        <f>IF(financial_fraud_data[[#This Row],[Is_Fraud]]=1,"Yes","No")</f>
        <v>Yes</v>
      </c>
    </row>
    <row r="1817" spans="1:17" x14ac:dyDescent="0.2">
      <c r="A1817" t="s">
        <v>2339</v>
      </c>
      <c r="B1817" t="s">
        <v>547</v>
      </c>
      <c r="C1817" s="1">
        <v>45367.625</v>
      </c>
      <c r="D1817">
        <v>48394.61</v>
      </c>
      <c r="E1817" t="s">
        <v>16</v>
      </c>
      <c r="F1817" t="s">
        <v>47</v>
      </c>
      <c r="G1817" t="s">
        <v>65</v>
      </c>
      <c r="H1817" t="s">
        <v>29</v>
      </c>
      <c r="I1817" t="s">
        <v>23</v>
      </c>
      <c r="J1817" t="s">
        <v>51</v>
      </c>
      <c r="K1817">
        <v>1</v>
      </c>
      <c r="L1817">
        <v>2</v>
      </c>
      <c r="M1817">
        <v>10.84</v>
      </c>
      <c r="N1817">
        <v>1</v>
      </c>
      <c r="O1817" t="str">
        <f>IF(financial_fraud_data[[#This Row],[Risk_Score]]&gt;8,"High",IF(financial_fraud_data[[#This Row],[Risk_Score]]&gt;5,"Med","Low"))</f>
        <v>High</v>
      </c>
      <c r="P1817" t="str">
        <f>TEXT(financial_fraud_data[[#This Row],[Transaction_Date]],"MMM")</f>
        <v>Mar</v>
      </c>
      <c r="Q1817" t="str">
        <f>IF(financial_fraud_data[[#This Row],[Is_Fraud]]=1,"Yes","No")</f>
        <v>Yes</v>
      </c>
    </row>
    <row r="1818" spans="1:17" x14ac:dyDescent="0.2">
      <c r="A1818" t="s">
        <v>2340</v>
      </c>
      <c r="B1818" t="s">
        <v>532</v>
      </c>
      <c r="C1818" s="1">
        <v>45367.666666666664</v>
      </c>
      <c r="D1818">
        <v>14807.47</v>
      </c>
      <c r="E1818" t="s">
        <v>16</v>
      </c>
      <c r="F1818" t="s">
        <v>50</v>
      </c>
      <c r="G1818" t="s">
        <v>56</v>
      </c>
      <c r="H1818" t="s">
        <v>36</v>
      </c>
      <c r="I1818" t="s">
        <v>19</v>
      </c>
      <c r="J1818" t="s">
        <v>37</v>
      </c>
      <c r="K1818">
        <v>0</v>
      </c>
      <c r="L1818">
        <v>0</v>
      </c>
      <c r="M1818">
        <v>2.48</v>
      </c>
      <c r="N1818">
        <v>0</v>
      </c>
      <c r="O1818" t="str">
        <f>IF(financial_fraud_data[[#This Row],[Risk_Score]]&gt;8,"High",IF(financial_fraud_data[[#This Row],[Risk_Score]]&gt;5,"Med","Low"))</f>
        <v>Low</v>
      </c>
      <c r="P1818" t="str">
        <f>TEXT(financial_fraud_data[[#This Row],[Transaction_Date]],"MMM")</f>
        <v>Mar</v>
      </c>
      <c r="Q1818" t="str">
        <f>IF(financial_fraud_data[[#This Row],[Is_Fraud]]=1,"Yes","No")</f>
        <v>No</v>
      </c>
    </row>
    <row r="1819" spans="1:17" x14ac:dyDescent="0.2">
      <c r="A1819" t="s">
        <v>2341</v>
      </c>
      <c r="B1819" t="s">
        <v>180</v>
      </c>
      <c r="C1819" s="1">
        <v>45367.708333333336</v>
      </c>
      <c r="D1819">
        <v>38472.699999999997</v>
      </c>
      <c r="E1819" t="s">
        <v>16</v>
      </c>
      <c r="F1819" t="s">
        <v>27</v>
      </c>
      <c r="G1819" t="s">
        <v>18</v>
      </c>
      <c r="H1819" t="s">
        <v>19</v>
      </c>
      <c r="I1819" t="s">
        <v>29</v>
      </c>
      <c r="J1819" t="s">
        <v>51</v>
      </c>
      <c r="K1819">
        <v>0</v>
      </c>
      <c r="L1819">
        <v>0</v>
      </c>
      <c r="M1819">
        <v>4.8499999999999996</v>
      </c>
      <c r="N1819">
        <v>0</v>
      </c>
      <c r="O1819" t="str">
        <f>IF(financial_fraud_data[[#This Row],[Risk_Score]]&gt;8,"High",IF(financial_fraud_data[[#This Row],[Risk_Score]]&gt;5,"Med","Low"))</f>
        <v>Low</v>
      </c>
      <c r="P1819" t="str">
        <f>TEXT(financial_fraud_data[[#This Row],[Transaction_Date]],"MMM")</f>
        <v>Mar</v>
      </c>
      <c r="Q1819" t="str">
        <f>IF(financial_fraud_data[[#This Row],[Is_Fraud]]=1,"Yes","No")</f>
        <v>No</v>
      </c>
    </row>
    <row r="1820" spans="1:17" x14ac:dyDescent="0.2">
      <c r="A1820" t="s">
        <v>2342</v>
      </c>
      <c r="B1820" t="s">
        <v>823</v>
      </c>
      <c r="C1820" s="1">
        <v>45367.75</v>
      </c>
      <c r="D1820">
        <v>31251.95</v>
      </c>
      <c r="E1820" t="s">
        <v>16</v>
      </c>
      <c r="F1820" t="s">
        <v>17</v>
      </c>
      <c r="G1820" t="s">
        <v>35</v>
      </c>
      <c r="H1820" t="s">
        <v>19</v>
      </c>
      <c r="I1820" t="s">
        <v>36</v>
      </c>
      <c r="J1820" t="s">
        <v>37</v>
      </c>
      <c r="K1820">
        <v>1</v>
      </c>
      <c r="L1820">
        <v>4</v>
      </c>
      <c r="M1820">
        <v>12.13</v>
      </c>
      <c r="N1820">
        <v>1</v>
      </c>
      <c r="O1820" t="str">
        <f>IF(financial_fraud_data[[#This Row],[Risk_Score]]&gt;8,"High",IF(financial_fraud_data[[#This Row],[Risk_Score]]&gt;5,"Med","Low"))</f>
        <v>High</v>
      </c>
      <c r="P1820" t="str">
        <f>TEXT(financial_fraud_data[[#This Row],[Transaction_Date]],"MMM")</f>
        <v>Mar</v>
      </c>
      <c r="Q1820" t="str">
        <f>IF(financial_fraud_data[[#This Row],[Is_Fraud]]=1,"Yes","No")</f>
        <v>Yes</v>
      </c>
    </row>
    <row r="1821" spans="1:17" x14ac:dyDescent="0.2">
      <c r="A1821" t="s">
        <v>2343</v>
      </c>
      <c r="B1821" t="s">
        <v>778</v>
      </c>
      <c r="C1821" s="1">
        <v>45367.791666666664</v>
      </c>
      <c r="D1821">
        <v>19127.89</v>
      </c>
      <c r="E1821" t="s">
        <v>34</v>
      </c>
      <c r="F1821" t="s">
        <v>47</v>
      </c>
      <c r="G1821" t="s">
        <v>18</v>
      </c>
      <c r="H1821" t="s">
        <v>19</v>
      </c>
      <c r="I1821" t="s">
        <v>36</v>
      </c>
      <c r="J1821" t="s">
        <v>20</v>
      </c>
      <c r="K1821">
        <v>0</v>
      </c>
      <c r="L1821">
        <v>2</v>
      </c>
      <c r="M1821">
        <v>5.91</v>
      </c>
      <c r="N1821">
        <v>1</v>
      </c>
      <c r="O1821" t="str">
        <f>IF(financial_fraud_data[[#This Row],[Risk_Score]]&gt;8,"High",IF(financial_fraud_data[[#This Row],[Risk_Score]]&gt;5,"Med","Low"))</f>
        <v>Med</v>
      </c>
      <c r="P1821" t="str">
        <f>TEXT(financial_fraud_data[[#This Row],[Transaction_Date]],"MMM")</f>
        <v>Mar</v>
      </c>
      <c r="Q1821" t="str">
        <f>IF(financial_fraud_data[[#This Row],[Is_Fraud]]=1,"Yes","No")</f>
        <v>Yes</v>
      </c>
    </row>
    <row r="1822" spans="1:17" x14ac:dyDescent="0.2">
      <c r="A1822" t="s">
        <v>2344</v>
      </c>
      <c r="B1822" t="s">
        <v>674</v>
      </c>
      <c r="C1822" s="1">
        <v>45367.833333333336</v>
      </c>
      <c r="D1822">
        <v>10324.08</v>
      </c>
      <c r="E1822" t="s">
        <v>42</v>
      </c>
      <c r="F1822" t="s">
        <v>47</v>
      </c>
      <c r="G1822" t="s">
        <v>28</v>
      </c>
      <c r="H1822" t="s">
        <v>24</v>
      </c>
      <c r="I1822" t="s">
        <v>24</v>
      </c>
      <c r="J1822" t="s">
        <v>20</v>
      </c>
      <c r="K1822">
        <v>0</v>
      </c>
      <c r="L1822">
        <v>3</v>
      </c>
      <c r="M1822">
        <v>5.53</v>
      </c>
      <c r="N1822">
        <v>1</v>
      </c>
      <c r="O1822" t="str">
        <f>IF(financial_fraud_data[[#This Row],[Risk_Score]]&gt;8,"High",IF(financial_fraud_data[[#This Row],[Risk_Score]]&gt;5,"Med","Low"))</f>
        <v>Med</v>
      </c>
      <c r="P1822" t="str">
        <f>TEXT(financial_fraud_data[[#This Row],[Transaction_Date]],"MMM")</f>
        <v>Mar</v>
      </c>
      <c r="Q1822" t="str">
        <f>IF(financial_fraud_data[[#This Row],[Is_Fraud]]=1,"Yes","No")</f>
        <v>Yes</v>
      </c>
    </row>
    <row r="1823" spans="1:17" x14ac:dyDescent="0.2">
      <c r="A1823" t="s">
        <v>2345</v>
      </c>
      <c r="B1823" t="s">
        <v>530</v>
      </c>
      <c r="C1823" s="1">
        <v>45367.875</v>
      </c>
      <c r="D1823">
        <v>6113.25</v>
      </c>
      <c r="E1823" t="s">
        <v>42</v>
      </c>
      <c r="F1823" t="s">
        <v>27</v>
      </c>
      <c r="G1823" t="s">
        <v>18</v>
      </c>
      <c r="H1823" t="s">
        <v>19</v>
      </c>
      <c r="I1823" t="s">
        <v>29</v>
      </c>
      <c r="J1823" t="s">
        <v>51</v>
      </c>
      <c r="K1823">
        <v>0</v>
      </c>
      <c r="L1823">
        <v>4</v>
      </c>
      <c r="M1823">
        <v>7.61</v>
      </c>
      <c r="N1823">
        <v>1</v>
      </c>
      <c r="O1823" t="str">
        <f>IF(financial_fraud_data[[#This Row],[Risk_Score]]&gt;8,"High",IF(financial_fraud_data[[#This Row],[Risk_Score]]&gt;5,"Med","Low"))</f>
        <v>Med</v>
      </c>
      <c r="P1823" t="str">
        <f>TEXT(financial_fraud_data[[#This Row],[Transaction_Date]],"MMM")</f>
        <v>Mar</v>
      </c>
      <c r="Q1823" t="str">
        <f>IF(financial_fraud_data[[#This Row],[Is_Fraud]]=1,"Yes","No")</f>
        <v>Yes</v>
      </c>
    </row>
    <row r="1824" spans="1:17" x14ac:dyDescent="0.2">
      <c r="A1824" t="s">
        <v>2346</v>
      </c>
      <c r="B1824" t="s">
        <v>582</v>
      </c>
      <c r="C1824" s="1">
        <v>45367.916666666664</v>
      </c>
      <c r="D1824">
        <v>30769.9</v>
      </c>
      <c r="E1824" t="s">
        <v>42</v>
      </c>
      <c r="F1824" t="s">
        <v>27</v>
      </c>
      <c r="G1824" t="s">
        <v>35</v>
      </c>
      <c r="H1824" t="s">
        <v>19</v>
      </c>
      <c r="I1824" t="s">
        <v>19</v>
      </c>
      <c r="J1824" t="s">
        <v>37</v>
      </c>
      <c r="K1824">
        <v>0</v>
      </c>
      <c r="L1824">
        <v>3</v>
      </c>
      <c r="M1824">
        <v>7.58</v>
      </c>
      <c r="N1824">
        <v>1</v>
      </c>
      <c r="O1824" t="str">
        <f>IF(financial_fraud_data[[#This Row],[Risk_Score]]&gt;8,"High",IF(financial_fraud_data[[#This Row],[Risk_Score]]&gt;5,"Med","Low"))</f>
        <v>Med</v>
      </c>
      <c r="P1824" t="str">
        <f>TEXT(financial_fraud_data[[#This Row],[Transaction_Date]],"MMM")</f>
        <v>Mar</v>
      </c>
      <c r="Q1824" t="str">
        <f>IF(financial_fraud_data[[#This Row],[Is_Fraud]]=1,"Yes","No")</f>
        <v>Yes</v>
      </c>
    </row>
    <row r="1825" spans="1:17" x14ac:dyDescent="0.2">
      <c r="A1825" t="s">
        <v>2347</v>
      </c>
      <c r="B1825" t="s">
        <v>1649</v>
      </c>
      <c r="C1825" s="1">
        <v>45367.958333333336</v>
      </c>
      <c r="D1825">
        <v>38742.959999999999</v>
      </c>
      <c r="E1825" t="s">
        <v>16</v>
      </c>
      <c r="F1825" t="s">
        <v>47</v>
      </c>
      <c r="G1825" t="s">
        <v>56</v>
      </c>
      <c r="H1825" t="s">
        <v>24</v>
      </c>
      <c r="I1825" t="s">
        <v>29</v>
      </c>
      <c r="J1825" t="s">
        <v>20</v>
      </c>
      <c r="K1825">
        <v>0</v>
      </c>
      <c r="L1825">
        <v>4</v>
      </c>
      <c r="M1825">
        <v>10.87</v>
      </c>
      <c r="N1825">
        <v>1</v>
      </c>
      <c r="O1825" t="str">
        <f>IF(financial_fraud_data[[#This Row],[Risk_Score]]&gt;8,"High",IF(financial_fraud_data[[#This Row],[Risk_Score]]&gt;5,"Med","Low"))</f>
        <v>High</v>
      </c>
      <c r="P1825" t="str">
        <f>TEXT(financial_fraud_data[[#This Row],[Transaction_Date]],"MMM")</f>
        <v>Mar</v>
      </c>
      <c r="Q1825" t="str">
        <f>IF(financial_fraud_data[[#This Row],[Is_Fraud]]=1,"Yes","No")</f>
        <v>Yes</v>
      </c>
    </row>
    <row r="1826" spans="1:17" x14ac:dyDescent="0.2">
      <c r="A1826" t="s">
        <v>2348</v>
      </c>
      <c r="B1826" t="s">
        <v>455</v>
      </c>
      <c r="C1826" s="1">
        <v>45368</v>
      </c>
      <c r="D1826">
        <v>32213.02</v>
      </c>
      <c r="E1826" t="s">
        <v>34</v>
      </c>
      <c r="F1826" t="s">
        <v>27</v>
      </c>
      <c r="G1826" t="s">
        <v>56</v>
      </c>
      <c r="H1826" t="s">
        <v>19</v>
      </c>
      <c r="I1826" t="s">
        <v>29</v>
      </c>
      <c r="J1826" t="s">
        <v>37</v>
      </c>
      <c r="K1826">
        <v>0</v>
      </c>
      <c r="L1826">
        <v>2</v>
      </c>
      <c r="M1826">
        <v>7.22</v>
      </c>
      <c r="N1826">
        <v>1</v>
      </c>
      <c r="O1826" t="str">
        <f>IF(financial_fraud_data[[#This Row],[Risk_Score]]&gt;8,"High",IF(financial_fraud_data[[#This Row],[Risk_Score]]&gt;5,"Med","Low"))</f>
        <v>Med</v>
      </c>
      <c r="P1826" t="str">
        <f>TEXT(financial_fraud_data[[#This Row],[Transaction_Date]],"MMM")</f>
        <v>Mar</v>
      </c>
      <c r="Q1826" t="str">
        <f>IF(financial_fraud_data[[#This Row],[Is_Fraud]]=1,"Yes","No")</f>
        <v>Yes</v>
      </c>
    </row>
    <row r="1827" spans="1:17" x14ac:dyDescent="0.2">
      <c r="A1827" t="s">
        <v>2349</v>
      </c>
      <c r="B1827" t="s">
        <v>986</v>
      </c>
      <c r="C1827" s="1">
        <v>45368.041666666664</v>
      </c>
      <c r="D1827">
        <v>26538.59</v>
      </c>
      <c r="E1827" t="s">
        <v>16</v>
      </c>
      <c r="F1827" t="s">
        <v>17</v>
      </c>
      <c r="G1827" t="s">
        <v>18</v>
      </c>
      <c r="H1827" t="s">
        <v>29</v>
      </c>
      <c r="I1827" t="s">
        <v>36</v>
      </c>
      <c r="J1827" t="s">
        <v>37</v>
      </c>
      <c r="K1827">
        <v>1</v>
      </c>
      <c r="L1827">
        <v>0</v>
      </c>
      <c r="M1827">
        <v>5.65</v>
      </c>
      <c r="N1827">
        <v>1</v>
      </c>
      <c r="O1827" t="str">
        <f>IF(financial_fraud_data[[#This Row],[Risk_Score]]&gt;8,"High",IF(financial_fraud_data[[#This Row],[Risk_Score]]&gt;5,"Med","Low"))</f>
        <v>Med</v>
      </c>
      <c r="P1827" t="str">
        <f>TEXT(financial_fraud_data[[#This Row],[Transaction_Date]],"MMM")</f>
        <v>Mar</v>
      </c>
      <c r="Q1827" t="str">
        <f>IF(financial_fraud_data[[#This Row],[Is_Fraud]]=1,"Yes","No")</f>
        <v>Yes</v>
      </c>
    </row>
    <row r="1828" spans="1:17" x14ac:dyDescent="0.2">
      <c r="A1828" t="s">
        <v>2350</v>
      </c>
      <c r="B1828" t="s">
        <v>160</v>
      </c>
      <c r="C1828" s="1">
        <v>45368.083333333336</v>
      </c>
      <c r="D1828">
        <v>2145.46</v>
      </c>
      <c r="E1828" t="s">
        <v>16</v>
      </c>
      <c r="F1828" t="s">
        <v>47</v>
      </c>
      <c r="G1828" t="s">
        <v>65</v>
      </c>
      <c r="H1828" t="s">
        <v>19</v>
      </c>
      <c r="I1828" t="s">
        <v>19</v>
      </c>
      <c r="J1828" t="s">
        <v>51</v>
      </c>
      <c r="K1828">
        <v>0</v>
      </c>
      <c r="L1828">
        <v>3</v>
      </c>
      <c r="M1828">
        <v>4.71</v>
      </c>
      <c r="N1828">
        <v>0</v>
      </c>
      <c r="O1828" t="str">
        <f>IF(financial_fraud_data[[#This Row],[Risk_Score]]&gt;8,"High",IF(financial_fraud_data[[#This Row],[Risk_Score]]&gt;5,"Med","Low"))</f>
        <v>Low</v>
      </c>
      <c r="P1828" t="str">
        <f>TEXT(financial_fraud_data[[#This Row],[Transaction_Date]],"MMM")</f>
        <v>Mar</v>
      </c>
      <c r="Q1828" t="str">
        <f>IF(financial_fraud_data[[#This Row],[Is_Fraud]]=1,"Yes","No")</f>
        <v>No</v>
      </c>
    </row>
    <row r="1829" spans="1:17" x14ac:dyDescent="0.2">
      <c r="A1829" t="s">
        <v>2351</v>
      </c>
      <c r="B1829" t="s">
        <v>354</v>
      </c>
      <c r="C1829" s="1">
        <v>45368.125</v>
      </c>
      <c r="D1829">
        <v>48426.01</v>
      </c>
      <c r="E1829" t="s">
        <v>42</v>
      </c>
      <c r="F1829" t="s">
        <v>17</v>
      </c>
      <c r="G1829" t="s">
        <v>18</v>
      </c>
      <c r="H1829" t="s">
        <v>19</v>
      </c>
      <c r="I1829" t="s">
        <v>23</v>
      </c>
      <c r="J1829" t="s">
        <v>51</v>
      </c>
      <c r="K1829">
        <v>0</v>
      </c>
      <c r="L1829">
        <v>2</v>
      </c>
      <c r="M1829">
        <v>8.84</v>
      </c>
      <c r="N1829">
        <v>1</v>
      </c>
      <c r="O1829" t="str">
        <f>IF(financial_fraud_data[[#This Row],[Risk_Score]]&gt;8,"High",IF(financial_fraud_data[[#This Row],[Risk_Score]]&gt;5,"Med","Low"))</f>
        <v>High</v>
      </c>
      <c r="P1829" t="str">
        <f>TEXT(financial_fraud_data[[#This Row],[Transaction_Date]],"MMM")</f>
        <v>Mar</v>
      </c>
      <c r="Q1829" t="str">
        <f>IF(financial_fraud_data[[#This Row],[Is_Fraud]]=1,"Yes","No")</f>
        <v>Yes</v>
      </c>
    </row>
    <row r="1830" spans="1:17" x14ac:dyDescent="0.2">
      <c r="A1830" t="s">
        <v>2352</v>
      </c>
      <c r="B1830" t="s">
        <v>688</v>
      </c>
      <c r="C1830" s="1">
        <v>45368.166666666664</v>
      </c>
      <c r="D1830">
        <v>39945.769999999997</v>
      </c>
      <c r="E1830" t="s">
        <v>16</v>
      </c>
      <c r="F1830" t="s">
        <v>17</v>
      </c>
      <c r="G1830" t="s">
        <v>28</v>
      </c>
      <c r="H1830" t="s">
        <v>24</v>
      </c>
      <c r="I1830" t="s">
        <v>36</v>
      </c>
      <c r="J1830" t="s">
        <v>37</v>
      </c>
      <c r="K1830">
        <v>0</v>
      </c>
      <c r="L1830">
        <v>3</v>
      </c>
      <c r="M1830">
        <v>9.49</v>
      </c>
      <c r="N1830">
        <v>1</v>
      </c>
      <c r="O1830" t="str">
        <f>IF(financial_fraud_data[[#This Row],[Risk_Score]]&gt;8,"High",IF(financial_fraud_data[[#This Row],[Risk_Score]]&gt;5,"Med","Low"))</f>
        <v>High</v>
      </c>
      <c r="P1830" t="str">
        <f>TEXT(financial_fraud_data[[#This Row],[Transaction_Date]],"MMM")</f>
        <v>Mar</v>
      </c>
      <c r="Q1830" t="str">
        <f>IF(financial_fraud_data[[#This Row],[Is_Fraud]]=1,"Yes","No")</f>
        <v>Yes</v>
      </c>
    </row>
    <row r="1831" spans="1:17" x14ac:dyDescent="0.2">
      <c r="A1831" t="s">
        <v>2353</v>
      </c>
      <c r="B1831" t="s">
        <v>291</v>
      </c>
      <c r="C1831" s="1">
        <v>45368.208333333336</v>
      </c>
      <c r="D1831">
        <v>14676.46</v>
      </c>
      <c r="E1831" t="s">
        <v>80</v>
      </c>
      <c r="F1831" t="s">
        <v>27</v>
      </c>
      <c r="G1831" t="s">
        <v>56</v>
      </c>
      <c r="H1831" t="s">
        <v>29</v>
      </c>
      <c r="I1831" t="s">
        <v>19</v>
      </c>
      <c r="J1831" t="s">
        <v>37</v>
      </c>
      <c r="K1831">
        <v>1</v>
      </c>
      <c r="L1831">
        <v>2</v>
      </c>
      <c r="M1831">
        <v>7.47</v>
      </c>
      <c r="N1831">
        <v>1</v>
      </c>
      <c r="O1831" t="str">
        <f>IF(financial_fraud_data[[#This Row],[Risk_Score]]&gt;8,"High",IF(financial_fraud_data[[#This Row],[Risk_Score]]&gt;5,"Med","Low"))</f>
        <v>Med</v>
      </c>
      <c r="P1831" t="str">
        <f>TEXT(financial_fraud_data[[#This Row],[Transaction_Date]],"MMM")</f>
        <v>Mar</v>
      </c>
      <c r="Q1831" t="str">
        <f>IF(financial_fraud_data[[#This Row],[Is_Fraud]]=1,"Yes","No")</f>
        <v>Yes</v>
      </c>
    </row>
    <row r="1832" spans="1:17" x14ac:dyDescent="0.2">
      <c r="A1832" t="s">
        <v>2354</v>
      </c>
      <c r="B1832" t="s">
        <v>1255</v>
      </c>
      <c r="C1832" s="1">
        <v>45368.25</v>
      </c>
      <c r="D1832">
        <v>48999.519999999997</v>
      </c>
      <c r="E1832" t="s">
        <v>16</v>
      </c>
      <c r="F1832" t="s">
        <v>17</v>
      </c>
      <c r="G1832" t="s">
        <v>56</v>
      </c>
      <c r="H1832" t="s">
        <v>36</v>
      </c>
      <c r="I1832" t="s">
        <v>24</v>
      </c>
      <c r="J1832" t="s">
        <v>51</v>
      </c>
      <c r="K1832">
        <v>0</v>
      </c>
      <c r="L1832">
        <v>4</v>
      </c>
      <c r="M1832">
        <v>11.9</v>
      </c>
      <c r="N1832">
        <v>1</v>
      </c>
      <c r="O1832" t="str">
        <f>IF(financial_fraud_data[[#This Row],[Risk_Score]]&gt;8,"High",IF(financial_fraud_data[[#This Row],[Risk_Score]]&gt;5,"Med","Low"))</f>
        <v>High</v>
      </c>
      <c r="P1832" t="str">
        <f>TEXT(financial_fraud_data[[#This Row],[Transaction_Date]],"MMM")</f>
        <v>Mar</v>
      </c>
      <c r="Q1832" t="str">
        <f>IF(financial_fraud_data[[#This Row],[Is_Fraud]]=1,"Yes","No")</f>
        <v>Yes</v>
      </c>
    </row>
    <row r="1833" spans="1:17" x14ac:dyDescent="0.2">
      <c r="A1833" t="s">
        <v>2355</v>
      </c>
      <c r="B1833" t="s">
        <v>1387</v>
      </c>
      <c r="C1833" s="1">
        <v>45368.291666666664</v>
      </c>
      <c r="D1833">
        <v>30113.99</v>
      </c>
      <c r="E1833" t="s">
        <v>80</v>
      </c>
      <c r="F1833" t="s">
        <v>27</v>
      </c>
      <c r="G1833" t="s">
        <v>56</v>
      </c>
      <c r="H1833" t="s">
        <v>23</v>
      </c>
      <c r="I1833" t="s">
        <v>36</v>
      </c>
      <c r="J1833" t="s">
        <v>37</v>
      </c>
      <c r="K1833">
        <v>0</v>
      </c>
      <c r="L1833">
        <v>2</v>
      </c>
      <c r="M1833">
        <v>7.01</v>
      </c>
      <c r="N1833">
        <v>1</v>
      </c>
      <c r="O1833" t="str">
        <f>IF(financial_fraud_data[[#This Row],[Risk_Score]]&gt;8,"High",IF(financial_fraud_data[[#This Row],[Risk_Score]]&gt;5,"Med","Low"))</f>
        <v>Med</v>
      </c>
      <c r="P1833" t="str">
        <f>TEXT(financial_fraud_data[[#This Row],[Transaction_Date]],"MMM")</f>
        <v>Mar</v>
      </c>
      <c r="Q1833" t="str">
        <f>IF(financial_fraud_data[[#This Row],[Is_Fraud]]=1,"Yes","No")</f>
        <v>Yes</v>
      </c>
    </row>
    <row r="1834" spans="1:17" x14ac:dyDescent="0.2">
      <c r="A1834" t="s">
        <v>2356</v>
      </c>
      <c r="B1834" t="s">
        <v>365</v>
      </c>
      <c r="C1834" s="1">
        <v>45368.333333333336</v>
      </c>
      <c r="D1834">
        <v>29142.01</v>
      </c>
      <c r="E1834" t="s">
        <v>16</v>
      </c>
      <c r="F1834" t="s">
        <v>50</v>
      </c>
      <c r="G1834" t="s">
        <v>65</v>
      </c>
      <c r="H1834" t="s">
        <v>29</v>
      </c>
      <c r="I1834" t="s">
        <v>24</v>
      </c>
      <c r="J1834" t="s">
        <v>51</v>
      </c>
      <c r="K1834">
        <v>1</v>
      </c>
      <c r="L1834">
        <v>4</v>
      </c>
      <c r="M1834">
        <v>11.91</v>
      </c>
      <c r="N1834">
        <v>1</v>
      </c>
      <c r="O1834" t="str">
        <f>IF(financial_fraud_data[[#This Row],[Risk_Score]]&gt;8,"High",IF(financial_fraud_data[[#This Row],[Risk_Score]]&gt;5,"Med","Low"))</f>
        <v>High</v>
      </c>
      <c r="P1834" t="str">
        <f>TEXT(financial_fraud_data[[#This Row],[Transaction_Date]],"MMM")</f>
        <v>Mar</v>
      </c>
      <c r="Q1834" t="str">
        <f>IF(financial_fraud_data[[#This Row],[Is_Fraud]]=1,"Yes","No")</f>
        <v>Yes</v>
      </c>
    </row>
    <row r="1835" spans="1:17" x14ac:dyDescent="0.2">
      <c r="A1835" t="s">
        <v>2357</v>
      </c>
      <c r="B1835" t="s">
        <v>272</v>
      </c>
      <c r="C1835" s="1">
        <v>45368.375</v>
      </c>
      <c r="D1835">
        <v>37416.26</v>
      </c>
      <c r="E1835" t="s">
        <v>34</v>
      </c>
      <c r="F1835" t="s">
        <v>27</v>
      </c>
      <c r="G1835" t="s">
        <v>65</v>
      </c>
      <c r="H1835" t="s">
        <v>36</v>
      </c>
      <c r="I1835" t="s">
        <v>36</v>
      </c>
      <c r="J1835" t="s">
        <v>37</v>
      </c>
      <c r="K1835">
        <v>0</v>
      </c>
      <c r="L1835">
        <v>0</v>
      </c>
      <c r="M1835">
        <v>3.74</v>
      </c>
      <c r="N1835">
        <v>0</v>
      </c>
      <c r="O1835" t="str">
        <f>IF(financial_fraud_data[[#This Row],[Risk_Score]]&gt;8,"High",IF(financial_fraud_data[[#This Row],[Risk_Score]]&gt;5,"Med","Low"))</f>
        <v>Low</v>
      </c>
      <c r="P1835" t="str">
        <f>TEXT(financial_fraud_data[[#This Row],[Transaction_Date]],"MMM")</f>
        <v>Mar</v>
      </c>
      <c r="Q1835" t="str">
        <f>IF(financial_fraud_data[[#This Row],[Is_Fraud]]=1,"Yes","No")</f>
        <v>No</v>
      </c>
    </row>
    <row r="1836" spans="1:17" x14ac:dyDescent="0.2">
      <c r="A1836" t="s">
        <v>2358</v>
      </c>
      <c r="B1836" t="s">
        <v>431</v>
      </c>
      <c r="C1836" s="1">
        <v>45368.416666666664</v>
      </c>
      <c r="D1836">
        <v>40597.9</v>
      </c>
      <c r="E1836" t="s">
        <v>34</v>
      </c>
      <c r="F1836" t="s">
        <v>17</v>
      </c>
      <c r="G1836" t="s">
        <v>35</v>
      </c>
      <c r="H1836" t="s">
        <v>29</v>
      </c>
      <c r="I1836" t="s">
        <v>29</v>
      </c>
      <c r="J1836" t="s">
        <v>51</v>
      </c>
      <c r="K1836">
        <v>0</v>
      </c>
      <c r="L1836">
        <v>4</v>
      </c>
      <c r="M1836">
        <v>10.06</v>
      </c>
      <c r="N1836">
        <v>1</v>
      </c>
      <c r="O1836" t="str">
        <f>IF(financial_fraud_data[[#This Row],[Risk_Score]]&gt;8,"High",IF(financial_fraud_data[[#This Row],[Risk_Score]]&gt;5,"Med","Low"))</f>
        <v>High</v>
      </c>
      <c r="P1836" t="str">
        <f>TEXT(financial_fraud_data[[#This Row],[Transaction_Date]],"MMM")</f>
        <v>Mar</v>
      </c>
      <c r="Q1836" t="str">
        <f>IF(financial_fraud_data[[#This Row],[Is_Fraud]]=1,"Yes","No")</f>
        <v>Yes</v>
      </c>
    </row>
    <row r="1837" spans="1:17" x14ac:dyDescent="0.2">
      <c r="A1837" t="s">
        <v>2359</v>
      </c>
      <c r="B1837" t="s">
        <v>284</v>
      </c>
      <c r="C1837" s="1">
        <v>45368.458333333336</v>
      </c>
      <c r="D1837">
        <v>32841.11</v>
      </c>
      <c r="E1837" t="s">
        <v>42</v>
      </c>
      <c r="F1837" t="s">
        <v>50</v>
      </c>
      <c r="G1837" t="s">
        <v>18</v>
      </c>
      <c r="H1837" t="s">
        <v>36</v>
      </c>
      <c r="I1837" t="s">
        <v>19</v>
      </c>
      <c r="J1837" t="s">
        <v>37</v>
      </c>
      <c r="K1837">
        <v>1</v>
      </c>
      <c r="L1837">
        <v>1</v>
      </c>
      <c r="M1837">
        <v>7.78</v>
      </c>
      <c r="N1837">
        <v>1</v>
      </c>
      <c r="O1837" t="str">
        <f>IF(financial_fraud_data[[#This Row],[Risk_Score]]&gt;8,"High",IF(financial_fraud_data[[#This Row],[Risk_Score]]&gt;5,"Med","Low"))</f>
        <v>Med</v>
      </c>
      <c r="P1837" t="str">
        <f>TEXT(financial_fraud_data[[#This Row],[Transaction_Date]],"MMM")</f>
        <v>Mar</v>
      </c>
      <c r="Q1837" t="str">
        <f>IF(financial_fraud_data[[#This Row],[Is_Fraud]]=1,"Yes","No")</f>
        <v>Yes</v>
      </c>
    </row>
    <row r="1838" spans="1:17" x14ac:dyDescent="0.2">
      <c r="A1838" t="s">
        <v>2360</v>
      </c>
      <c r="B1838" t="s">
        <v>580</v>
      </c>
      <c r="C1838" s="1">
        <v>45368.5</v>
      </c>
      <c r="D1838">
        <v>6448.38</v>
      </c>
      <c r="E1838" t="s">
        <v>16</v>
      </c>
      <c r="F1838" t="s">
        <v>27</v>
      </c>
      <c r="G1838" t="s">
        <v>18</v>
      </c>
      <c r="H1838" t="s">
        <v>36</v>
      </c>
      <c r="I1838" t="s">
        <v>24</v>
      </c>
      <c r="J1838" t="s">
        <v>51</v>
      </c>
      <c r="K1838">
        <v>1</v>
      </c>
      <c r="L1838">
        <v>0</v>
      </c>
      <c r="M1838">
        <v>3.64</v>
      </c>
      <c r="N1838">
        <v>0</v>
      </c>
      <c r="O1838" t="str">
        <f>IF(financial_fraud_data[[#This Row],[Risk_Score]]&gt;8,"High",IF(financial_fraud_data[[#This Row],[Risk_Score]]&gt;5,"Med","Low"))</f>
        <v>Low</v>
      </c>
      <c r="P1838" t="str">
        <f>TEXT(financial_fraud_data[[#This Row],[Transaction_Date]],"MMM")</f>
        <v>Mar</v>
      </c>
      <c r="Q1838" t="str">
        <f>IF(financial_fraud_data[[#This Row],[Is_Fraud]]=1,"Yes","No")</f>
        <v>No</v>
      </c>
    </row>
    <row r="1839" spans="1:17" x14ac:dyDescent="0.2">
      <c r="A1839" t="s">
        <v>2361</v>
      </c>
      <c r="B1839" t="s">
        <v>337</v>
      </c>
      <c r="C1839" s="1">
        <v>45368.541666666664</v>
      </c>
      <c r="D1839">
        <v>16946.46</v>
      </c>
      <c r="E1839" t="s">
        <v>80</v>
      </c>
      <c r="F1839" t="s">
        <v>17</v>
      </c>
      <c r="G1839" t="s">
        <v>28</v>
      </c>
      <c r="H1839" t="s">
        <v>29</v>
      </c>
      <c r="I1839" t="s">
        <v>36</v>
      </c>
      <c r="J1839" t="s">
        <v>37</v>
      </c>
      <c r="K1839">
        <v>0</v>
      </c>
      <c r="L1839">
        <v>2</v>
      </c>
      <c r="M1839">
        <v>5.69</v>
      </c>
      <c r="N1839">
        <v>1</v>
      </c>
      <c r="O1839" t="str">
        <f>IF(financial_fraud_data[[#This Row],[Risk_Score]]&gt;8,"High",IF(financial_fraud_data[[#This Row],[Risk_Score]]&gt;5,"Med","Low"))</f>
        <v>Med</v>
      </c>
      <c r="P1839" t="str">
        <f>TEXT(financial_fraud_data[[#This Row],[Transaction_Date]],"MMM")</f>
        <v>Mar</v>
      </c>
      <c r="Q1839" t="str">
        <f>IF(financial_fraud_data[[#This Row],[Is_Fraud]]=1,"Yes","No")</f>
        <v>Yes</v>
      </c>
    </row>
    <row r="1840" spans="1:17" x14ac:dyDescent="0.2">
      <c r="A1840" t="s">
        <v>2362</v>
      </c>
      <c r="B1840" t="s">
        <v>805</v>
      </c>
      <c r="C1840" s="1">
        <v>45368.583333333336</v>
      </c>
      <c r="D1840">
        <v>46407.78</v>
      </c>
      <c r="E1840" t="s">
        <v>80</v>
      </c>
      <c r="F1840" t="s">
        <v>47</v>
      </c>
      <c r="G1840" t="s">
        <v>56</v>
      </c>
      <c r="H1840" t="s">
        <v>24</v>
      </c>
      <c r="I1840" t="s">
        <v>24</v>
      </c>
      <c r="J1840" t="s">
        <v>20</v>
      </c>
      <c r="K1840">
        <v>1</v>
      </c>
      <c r="L1840">
        <v>2</v>
      </c>
      <c r="M1840">
        <v>9.64</v>
      </c>
      <c r="N1840">
        <v>1</v>
      </c>
      <c r="O1840" t="str">
        <f>IF(financial_fraud_data[[#This Row],[Risk_Score]]&gt;8,"High",IF(financial_fraud_data[[#This Row],[Risk_Score]]&gt;5,"Med","Low"))</f>
        <v>High</v>
      </c>
      <c r="P1840" t="str">
        <f>TEXT(financial_fraud_data[[#This Row],[Transaction_Date]],"MMM")</f>
        <v>Mar</v>
      </c>
      <c r="Q1840" t="str">
        <f>IF(financial_fraud_data[[#This Row],[Is_Fraud]]=1,"Yes","No")</f>
        <v>Yes</v>
      </c>
    </row>
    <row r="1841" spans="1:17" x14ac:dyDescent="0.2">
      <c r="A1841" t="s">
        <v>2363</v>
      </c>
      <c r="B1841" t="s">
        <v>738</v>
      </c>
      <c r="C1841" s="1">
        <v>45368.625</v>
      </c>
      <c r="D1841">
        <v>11269.55</v>
      </c>
      <c r="E1841" t="s">
        <v>16</v>
      </c>
      <c r="F1841" t="s">
        <v>47</v>
      </c>
      <c r="G1841" t="s">
        <v>65</v>
      </c>
      <c r="H1841" t="s">
        <v>29</v>
      </c>
      <c r="I1841" t="s">
        <v>36</v>
      </c>
      <c r="J1841" t="s">
        <v>20</v>
      </c>
      <c r="K1841">
        <v>0</v>
      </c>
      <c r="L1841">
        <v>1</v>
      </c>
      <c r="M1841">
        <v>3.63</v>
      </c>
      <c r="N1841">
        <v>0</v>
      </c>
      <c r="O1841" t="str">
        <f>IF(financial_fraud_data[[#This Row],[Risk_Score]]&gt;8,"High",IF(financial_fraud_data[[#This Row],[Risk_Score]]&gt;5,"Med","Low"))</f>
        <v>Low</v>
      </c>
      <c r="P1841" t="str">
        <f>TEXT(financial_fraud_data[[#This Row],[Transaction_Date]],"MMM")</f>
        <v>Mar</v>
      </c>
      <c r="Q1841" t="str">
        <f>IF(financial_fraud_data[[#This Row],[Is_Fraud]]=1,"Yes","No")</f>
        <v>No</v>
      </c>
    </row>
    <row r="1842" spans="1:17" x14ac:dyDescent="0.2">
      <c r="A1842" t="s">
        <v>2364</v>
      </c>
      <c r="B1842" t="s">
        <v>819</v>
      </c>
      <c r="C1842" s="1">
        <v>45368.666666666664</v>
      </c>
      <c r="D1842">
        <v>18639.740000000002</v>
      </c>
      <c r="E1842" t="s">
        <v>80</v>
      </c>
      <c r="F1842" t="s">
        <v>27</v>
      </c>
      <c r="G1842" t="s">
        <v>28</v>
      </c>
      <c r="H1842" t="s">
        <v>29</v>
      </c>
      <c r="I1842" t="s">
        <v>36</v>
      </c>
      <c r="J1842" t="s">
        <v>37</v>
      </c>
      <c r="K1842">
        <v>0</v>
      </c>
      <c r="L1842">
        <v>2</v>
      </c>
      <c r="M1842">
        <v>5.86</v>
      </c>
      <c r="N1842">
        <v>1</v>
      </c>
      <c r="O1842" t="str">
        <f>IF(financial_fraud_data[[#This Row],[Risk_Score]]&gt;8,"High",IF(financial_fraud_data[[#This Row],[Risk_Score]]&gt;5,"Med","Low"))</f>
        <v>Med</v>
      </c>
      <c r="P1842" t="str">
        <f>TEXT(financial_fraud_data[[#This Row],[Transaction_Date]],"MMM")</f>
        <v>Mar</v>
      </c>
      <c r="Q1842" t="str">
        <f>IF(financial_fraud_data[[#This Row],[Is_Fraud]]=1,"Yes","No")</f>
        <v>Yes</v>
      </c>
    </row>
    <row r="1843" spans="1:17" x14ac:dyDescent="0.2">
      <c r="A1843" t="s">
        <v>2365</v>
      </c>
      <c r="B1843" t="s">
        <v>26</v>
      </c>
      <c r="C1843" s="1">
        <v>45368.708333333336</v>
      </c>
      <c r="D1843">
        <v>21632.240000000002</v>
      </c>
      <c r="E1843" t="s">
        <v>34</v>
      </c>
      <c r="F1843" t="s">
        <v>27</v>
      </c>
      <c r="G1843" t="s">
        <v>28</v>
      </c>
      <c r="H1843" t="s">
        <v>36</v>
      </c>
      <c r="I1843" t="s">
        <v>23</v>
      </c>
      <c r="J1843" t="s">
        <v>20</v>
      </c>
      <c r="K1843">
        <v>1</v>
      </c>
      <c r="L1843">
        <v>0</v>
      </c>
      <c r="M1843">
        <v>5.16</v>
      </c>
      <c r="N1843">
        <v>1</v>
      </c>
      <c r="O1843" t="str">
        <f>IF(financial_fraud_data[[#This Row],[Risk_Score]]&gt;8,"High",IF(financial_fraud_data[[#This Row],[Risk_Score]]&gt;5,"Med","Low"))</f>
        <v>Med</v>
      </c>
      <c r="P1843" t="str">
        <f>TEXT(financial_fraud_data[[#This Row],[Transaction_Date]],"MMM")</f>
        <v>Mar</v>
      </c>
      <c r="Q1843" t="str">
        <f>IF(financial_fraud_data[[#This Row],[Is_Fraud]]=1,"Yes","No")</f>
        <v>Yes</v>
      </c>
    </row>
    <row r="1844" spans="1:17" x14ac:dyDescent="0.2">
      <c r="A1844" t="s">
        <v>2366</v>
      </c>
      <c r="B1844" t="s">
        <v>1189</v>
      </c>
      <c r="C1844" s="1">
        <v>45368.75</v>
      </c>
      <c r="D1844">
        <v>21998.28</v>
      </c>
      <c r="E1844" t="s">
        <v>80</v>
      </c>
      <c r="F1844" t="s">
        <v>47</v>
      </c>
      <c r="G1844" t="s">
        <v>65</v>
      </c>
      <c r="H1844" t="s">
        <v>23</v>
      </c>
      <c r="I1844" t="s">
        <v>23</v>
      </c>
      <c r="J1844" t="s">
        <v>37</v>
      </c>
      <c r="K1844">
        <v>1</v>
      </c>
      <c r="L1844">
        <v>0</v>
      </c>
      <c r="M1844">
        <v>4.2</v>
      </c>
      <c r="N1844">
        <v>0</v>
      </c>
      <c r="O1844" t="str">
        <f>IF(financial_fraud_data[[#This Row],[Risk_Score]]&gt;8,"High",IF(financial_fraud_data[[#This Row],[Risk_Score]]&gt;5,"Med","Low"))</f>
        <v>Low</v>
      </c>
      <c r="P1844" t="str">
        <f>TEXT(financial_fraud_data[[#This Row],[Transaction_Date]],"MMM")</f>
        <v>Mar</v>
      </c>
      <c r="Q1844" t="str">
        <f>IF(financial_fraud_data[[#This Row],[Is_Fraud]]=1,"Yes","No")</f>
        <v>No</v>
      </c>
    </row>
    <row r="1845" spans="1:17" x14ac:dyDescent="0.2">
      <c r="A1845" t="s">
        <v>2367</v>
      </c>
      <c r="B1845" t="s">
        <v>227</v>
      </c>
      <c r="C1845" s="1">
        <v>45368.791666666664</v>
      </c>
      <c r="D1845">
        <v>30666.33</v>
      </c>
      <c r="E1845" t="s">
        <v>42</v>
      </c>
      <c r="F1845" t="s">
        <v>17</v>
      </c>
      <c r="G1845" t="s">
        <v>18</v>
      </c>
      <c r="H1845" t="s">
        <v>36</v>
      </c>
      <c r="I1845" t="s">
        <v>23</v>
      </c>
      <c r="J1845" t="s">
        <v>37</v>
      </c>
      <c r="K1845">
        <v>0</v>
      </c>
      <c r="L1845">
        <v>4</v>
      </c>
      <c r="M1845">
        <v>10.07</v>
      </c>
      <c r="N1845">
        <v>1</v>
      </c>
      <c r="O1845" t="str">
        <f>IF(financial_fraud_data[[#This Row],[Risk_Score]]&gt;8,"High",IF(financial_fraud_data[[#This Row],[Risk_Score]]&gt;5,"Med","Low"))</f>
        <v>High</v>
      </c>
      <c r="P1845" t="str">
        <f>TEXT(financial_fraud_data[[#This Row],[Transaction_Date]],"MMM")</f>
        <v>Mar</v>
      </c>
      <c r="Q1845" t="str">
        <f>IF(financial_fraud_data[[#This Row],[Is_Fraud]]=1,"Yes","No")</f>
        <v>Yes</v>
      </c>
    </row>
    <row r="1846" spans="1:17" x14ac:dyDescent="0.2">
      <c r="A1846" t="s">
        <v>2368</v>
      </c>
      <c r="B1846" t="s">
        <v>671</v>
      </c>
      <c r="C1846" s="1">
        <v>45368.833333333336</v>
      </c>
      <c r="D1846">
        <v>47156.639999999999</v>
      </c>
      <c r="E1846" t="s">
        <v>34</v>
      </c>
      <c r="F1846" t="s">
        <v>17</v>
      </c>
      <c r="G1846" t="s">
        <v>56</v>
      </c>
      <c r="H1846" t="s">
        <v>19</v>
      </c>
      <c r="I1846" t="s">
        <v>24</v>
      </c>
      <c r="J1846" t="s">
        <v>20</v>
      </c>
      <c r="K1846">
        <v>0</v>
      </c>
      <c r="L1846">
        <v>3</v>
      </c>
      <c r="M1846">
        <v>10.220000000000001</v>
      </c>
      <c r="N1846">
        <v>1</v>
      </c>
      <c r="O1846" t="str">
        <f>IF(financial_fraud_data[[#This Row],[Risk_Score]]&gt;8,"High",IF(financial_fraud_data[[#This Row],[Risk_Score]]&gt;5,"Med","Low"))</f>
        <v>High</v>
      </c>
      <c r="P1846" t="str">
        <f>TEXT(financial_fraud_data[[#This Row],[Transaction_Date]],"MMM")</f>
        <v>Mar</v>
      </c>
      <c r="Q1846" t="str">
        <f>IF(financial_fraud_data[[#This Row],[Is_Fraud]]=1,"Yes","No")</f>
        <v>Yes</v>
      </c>
    </row>
    <row r="1847" spans="1:17" x14ac:dyDescent="0.2">
      <c r="A1847" t="s">
        <v>2369</v>
      </c>
      <c r="B1847" t="s">
        <v>439</v>
      </c>
      <c r="C1847" s="1">
        <v>45368.875</v>
      </c>
      <c r="D1847">
        <v>12072.6</v>
      </c>
      <c r="E1847" t="s">
        <v>34</v>
      </c>
      <c r="F1847" t="s">
        <v>17</v>
      </c>
      <c r="G1847" t="s">
        <v>18</v>
      </c>
      <c r="H1847" t="s">
        <v>29</v>
      </c>
      <c r="I1847" t="s">
        <v>29</v>
      </c>
      <c r="J1847" t="s">
        <v>37</v>
      </c>
      <c r="K1847">
        <v>0</v>
      </c>
      <c r="L1847">
        <v>2</v>
      </c>
      <c r="M1847">
        <v>4.21</v>
      </c>
      <c r="N1847">
        <v>0</v>
      </c>
      <c r="O1847" t="str">
        <f>IF(financial_fraud_data[[#This Row],[Risk_Score]]&gt;8,"High",IF(financial_fraud_data[[#This Row],[Risk_Score]]&gt;5,"Med","Low"))</f>
        <v>Low</v>
      </c>
      <c r="P1847" t="str">
        <f>TEXT(financial_fraud_data[[#This Row],[Transaction_Date]],"MMM")</f>
        <v>Mar</v>
      </c>
      <c r="Q1847" t="str">
        <f>IF(financial_fraud_data[[#This Row],[Is_Fraud]]=1,"Yes","No")</f>
        <v>No</v>
      </c>
    </row>
    <row r="1848" spans="1:17" x14ac:dyDescent="0.2">
      <c r="A1848" t="s">
        <v>2370</v>
      </c>
      <c r="B1848" t="s">
        <v>535</v>
      </c>
      <c r="C1848" s="1">
        <v>45368.916666666664</v>
      </c>
      <c r="D1848">
        <v>6118.99</v>
      </c>
      <c r="E1848" t="s">
        <v>34</v>
      </c>
      <c r="F1848" t="s">
        <v>27</v>
      </c>
      <c r="G1848" t="s">
        <v>28</v>
      </c>
      <c r="H1848" t="s">
        <v>29</v>
      </c>
      <c r="I1848" t="s">
        <v>36</v>
      </c>
      <c r="J1848" t="s">
        <v>51</v>
      </c>
      <c r="K1848">
        <v>0</v>
      </c>
      <c r="L1848">
        <v>1</v>
      </c>
      <c r="M1848">
        <v>3.11</v>
      </c>
      <c r="N1848">
        <v>0</v>
      </c>
      <c r="O1848" t="str">
        <f>IF(financial_fraud_data[[#This Row],[Risk_Score]]&gt;8,"High",IF(financial_fraud_data[[#This Row],[Risk_Score]]&gt;5,"Med","Low"))</f>
        <v>Low</v>
      </c>
      <c r="P1848" t="str">
        <f>TEXT(financial_fraud_data[[#This Row],[Transaction_Date]],"MMM")</f>
        <v>Mar</v>
      </c>
      <c r="Q1848" t="str">
        <f>IF(financial_fraud_data[[#This Row],[Is_Fraud]]=1,"Yes","No")</f>
        <v>No</v>
      </c>
    </row>
    <row r="1849" spans="1:17" x14ac:dyDescent="0.2">
      <c r="A1849" t="s">
        <v>2371</v>
      </c>
      <c r="B1849" t="s">
        <v>1219</v>
      </c>
      <c r="C1849" s="1">
        <v>45368.958333333336</v>
      </c>
      <c r="D1849">
        <v>9913.65</v>
      </c>
      <c r="E1849" t="s">
        <v>16</v>
      </c>
      <c r="F1849" t="s">
        <v>50</v>
      </c>
      <c r="G1849" t="s">
        <v>56</v>
      </c>
      <c r="H1849" t="s">
        <v>24</v>
      </c>
      <c r="I1849" t="s">
        <v>19</v>
      </c>
      <c r="J1849" t="s">
        <v>37</v>
      </c>
      <c r="K1849">
        <v>0</v>
      </c>
      <c r="L1849">
        <v>0</v>
      </c>
      <c r="M1849">
        <v>1.99</v>
      </c>
      <c r="N1849">
        <v>0</v>
      </c>
      <c r="O1849" t="str">
        <f>IF(financial_fraud_data[[#This Row],[Risk_Score]]&gt;8,"High",IF(financial_fraud_data[[#This Row],[Risk_Score]]&gt;5,"Med","Low"))</f>
        <v>Low</v>
      </c>
      <c r="P1849" t="str">
        <f>TEXT(financial_fraud_data[[#This Row],[Transaction_Date]],"MMM")</f>
        <v>Mar</v>
      </c>
      <c r="Q1849" t="str">
        <f>IF(financial_fraud_data[[#This Row],[Is_Fraud]]=1,"Yes","No")</f>
        <v>No</v>
      </c>
    </row>
    <row r="1850" spans="1:17" x14ac:dyDescent="0.2">
      <c r="A1850" t="s">
        <v>2372</v>
      </c>
      <c r="B1850" t="s">
        <v>263</v>
      </c>
      <c r="C1850" s="1">
        <v>45369</v>
      </c>
      <c r="D1850">
        <v>44351.9</v>
      </c>
      <c r="E1850" t="s">
        <v>16</v>
      </c>
      <c r="F1850" t="s">
        <v>50</v>
      </c>
      <c r="G1850" t="s">
        <v>35</v>
      </c>
      <c r="H1850" t="s">
        <v>36</v>
      </c>
      <c r="I1850" t="s">
        <v>23</v>
      </c>
      <c r="J1850" t="s">
        <v>37</v>
      </c>
      <c r="K1850">
        <v>0</v>
      </c>
      <c r="L1850">
        <v>0</v>
      </c>
      <c r="M1850">
        <v>5.44</v>
      </c>
      <c r="N1850">
        <v>1</v>
      </c>
      <c r="O1850" t="str">
        <f>IF(financial_fraud_data[[#This Row],[Risk_Score]]&gt;8,"High",IF(financial_fraud_data[[#This Row],[Risk_Score]]&gt;5,"Med","Low"))</f>
        <v>Med</v>
      </c>
      <c r="P1850" t="str">
        <f>TEXT(financial_fraud_data[[#This Row],[Transaction_Date]],"MMM")</f>
        <v>Mar</v>
      </c>
      <c r="Q1850" t="str">
        <f>IF(financial_fraud_data[[#This Row],[Is_Fraud]]=1,"Yes","No")</f>
        <v>Yes</v>
      </c>
    </row>
    <row r="1851" spans="1:17" x14ac:dyDescent="0.2">
      <c r="A1851" t="s">
        <v>2373</v>
      </c>
      <c r="B1851" t="s">
        <v>77</v>
      </c>
      <c r="C1851" s="1">
        <v>45369.041666666664</v>
      </c>
      <c r="D1851">
        <v>32308.25</v>
      </c>
      <c r="E1851" t="s">
        <v>34</v>
      </c>
      <c r="F1851" t="s">
        <v>50</v>
      </c>
      <c r="G1851" t="s">
        <v>28</v>
      </c>
      <c r="H1851" t="s">
        <v>24</v>
      </c>
      <c r="I1851" t="s">
        <v>24</v>
      </c>
      <c r="J1851" t="s">
        <v>20</v>
      </c>
      <c r="K1851">
        <v>0</v>
      </c>
      <c r="L1851">
        <v>0</v>
      </c>
      <c r="M1851">
        <v>3.23</v>
      </c>
      <c r="N1851">
        <v>0</v>
      </c>
      <c r="O1851" t="str">
        <f>IF(financial_fraud_data[[#This Row],[Risk_Score]]&gt;8,"High",IF(financial_fraud_data[[#This Row],[Risk_Score]]&gt;5,"Med","Low"))</f>
        <v>Low</v>
      </c>
      <c r="P1851" t="str">
        <f>TEXT(financial_fraud_data[[#This Row],[Transaction_Date]],"MMM")</f>
        <v>Mar</v>
      </c>
      <c r="Q1851" t="str">
        <f>IF(financial_fraud_data[[#This Row],[Is_Fraud]]=1,"Yes","No")</f>
        <v>No</v>
      </c>
    </row>
    <row r="1852" spans="1:17" x14ac:dyDescent="0.2">
      <c r="A1852" t="s">
        <v>2374</v>
      </c>
      <c r="B1852" t="s">
        <v>481</v>
      </c>
      <c r="C1852" s="1">
        <v>45369.083333333336</v>
      </c>
      <c r="D1852">
        <v>14331.04</v>
      </c>
      <c r="E1852" t="s">
        <v>16</v>
      </c>
      <c r="F1852" t="s">
        <v>50</v>
      </c>
      <c r="G1852" t="s">
        <v>18</v>
      </c>
      <c r="H1852" t="s">
        <v>29</v>
      </c>
      <c r="I1852" t="s">
        <v>24</v>
      </c>
      <c r="J1852" t="s">
        <v>51</v>
      </c>
      <c r="K1852">
        <v>0</v>
      </c>
      <c r="L1852">
        <v>3</v>
      </c>
      <c r="M1852">
        <v>6.93</v>
      </c>
      <c r="N1852">
        <v>1</v>
      </c>
      <c r="O1852" t="str">
        <f>IF(financial_fraud_data[[#This Row],[Risk_Score]]&gt;8,"High",IF(financial_fraud_data[[#This Row],[Risk_Score]]&gt;5,"Med","Low"))</f>
        <v>Med</v>
      </c>
      <c r="P1852" t="str">
        <f>TEXT(financial_fraud_data[[#This Row],[Transaction_Date]],"MMM")</f>
        <v>Mar</v>
      </c>
      <c r="Q1852" t="str">
        <f>IF(financial_fraud_data[[#This Row],[Is_Fraud]]=1,"Yes","No")</f>
        <v>Yes</v>
      </c>
    </row>
    <row r="1853" spans="1:17" x14ac:dyDescent="0.2">
      <c r="A1853" t="s">
        <v>2375</v>
      </c>
      <c r="B1853" t="s">
        <v>472</v>
      </c>
      <c r="C1853" s="1">
        <v>45369.125</v>
      </c>
      <c r="D1853">
        <v>40806.550000000003</v>
      </c>
      <c r="E1853" t="s">
        <v>80</v>
      </c>
      <c r="F1853" t="s">
        <v>50</v>
      </c>
      <c r="G1853" t="s">
        <v>18</v>
      </c>
      <c r="H1853" t="s">
        <v>36</v>
      </c>
      <c r="I1853" t="s">
        <v>24</v>
      </c>
      <c r="J1853" t="s">
        <v>37</v>
      </c>
      <c r="K1853">
        <v>0</v>
      </c>
      <c r="L1853">
        <v>3</v>
      </c>
      <c r="M1853">
        <v>9.58</v>
      </c>
      <c r="N1853">
        <v>1</v>
      </c>
      <c r="O1853" t="str">
        <f>IF(financial_fraud_data[[#This Row],[Risk_Score]]&gt;8,"High",IF(financial_fraud_data[[#This Row],[Risk_Score]]&gt;5,"Med","Low"))</f>
        <v>High</v>
      </c>
      <c r="P1853" t="str">
        <f>TEXT(financial_fraud_data[[#This Row],[Transaction_Date]],"MMM")</f>
        <v>Mar</v>
      </c>
      <c r="Q1853" t="str">
        <f>IF(financial_fraud_data[[#This Row],[Is_Fraud]]=1,"Yes","No")</f>
        <v>Yes</v>
      </c>
    </row>
    <row r="1854" spans="1:17" x14ac:dyDescent="0.2">
      <c r="A1854" t="s">
        <v>2376</v>
      </c>
      <c r="B1854" t="s">
        <v>148</v>
      </c>
      <c r="C1854" s="1">
        <v>45369.166666666664</v>
      </c>
      <c r="D1854">
        <v>43075.43</v>
      </c>
      <c r="E1854" t="s">
        <v>16</v>
      </c>
      <c r="F1854" t="s">
        <v>27</v>
      </c>
      <c r="G1854" t="s">
        <v>18</v>
      </c>
      <c r="H1854" t="s">
        <v>36</v>
      </c>
      <c r="I1854" t="s">
        <v>19</v>
      </c>
      <c r="J1854" t="s">
        <v>37</v>
      </c>
      <c r="K1854">
        <v>0</v>
      </c>
      <c r="L1854">
        <v>2</v>
      </c>
      <c r="M1854">
        <v>8.31</v>
      </c>
      <c r="N1854">
        <v>1</v>
      </c>
      <c r="O1854" t="str">
        <f>IF(financial_fraud_data[[#This Row],[Risk_Score]]&gt;8,"High",IF(financial_fraud_data[[#This Row],[Risk_Score]]&gt;5,"Med","Low"))</f>
        <v>High</v>
      </c>
      <c r="P1854" t="str">
        <f>TEXT(financial_fraud_data[[#This Row],[Transaction_Date]],"MMM")</f>
        <v>Mar</v>
      </c>
      <c r="Q1854" t="str">
        <f>IF(financial_fraud_data[[#This Row],[Is_Fraud]]=1,"Yes","No")</f>
        <v>Yes</v>
      </c>
    </row>
    <row r="1855" spans="1:17" x14ac:dyDescent="0.2">
      <c r="A1855" t="s">
        <v>2377</v>
      </c>
      <c r="B1855" t="s">
        <v>930</v>
      </c>
      <c r="C1855" s="1">
        <v>45369.208333333336</v>
      </c>
      <c r="D1855">
        <v>42333.39</v>
      </c>
      <c r="E1855" t="s">
        <v>16</v>
      </c>
      <c r="F1855" t="s">
        <v>27</v>
      </c>
      <c r="G1855" t="s">
        <v>65</v>
      </c>
      <c r="H1855" t="s">
        <v>19</v>
      </c>
      <c r="I1855" t="s">
        <v>19</v>
      </c>
      <c r="J1855" t="s">
        <v>37</v>
      </c>
      <c r="K1855">
        <v>0</v>
      </c>
      <c r="L1855">
        <v>1</v>
      </c>
      <c r="M1855">
        <v>5.73</v>
      </c>
      <c r="N1855">
        <v>1</v>
      </c>
      <c r="O1855" t="str">
        <f>IF(financial_fraud_data[[#This Row],[Risk_Score]]&gt;8,"High",IF(financial_fraud_data[[#This Row],[Risk_Score]]&gt;5,"Med","Low"))</f>
        <v>Med</v>
      </c>
      <c r="P1855" t="str">
        <f>TEXT(financial_fraud_data[[#This Row],[Transaction_Date]],"MMM")</f>
        <v>Mar</v>
      </c>
      <c r="Q1855" t="str">
        <f>IF(financial_fraud_data[[#This Row],[Is_Fraud]]=1,"Yes","No")</f>
        <v>Yes</v>
      </c>
    </row>
    <row r="1856" spans="1:17" x14ac:dyDescent="0.2">
      <c r="A1856" t="s">
        <v>2378</v>
      </c>
      <c r="B1856" t="s">
        <v>1446</v>
      </c>
      <c r="C1856" s="1">
        <v>45369.25</v>
      </c>
      <c r="D1856">
        <v>45950.38</v>
      </c>
      <c r="E1856" t="s">
        <v>34</v>
      </c>
      <c r="F1856" t="s">
        <v>50</v>
      </c>
      <c r="G1856" t="s">
        <v>28</v>
      </c>
      <c r="H1856" t="s">
        <v>19</v>
      </c>
      <c r="I1856" t="s">
        <v>23</v>
      </c>
      <c r="J1856" t="s">
        <v>37</v>
      </c>
      <c r="K1856">
        <v>0</v>
      </c>
      <c r="L1856">
        <v>3</v>
      </c>
      <c r="M1856">
        <v>10.1</v>
      </c>
      <c r="N1856">
        <v>1</v>
      </c>
      <c r="O1856" t="str">
        <f>IF(financial_fraud_data[[#This Row],[Risk_Score]]&gt;8,"High",IF(financial_fraud_data[[#This Row],[Risk_Score]]&gt;5,"Med","Low"))</f>
        <v>High</v>
      </c>
      <c r="P1856" t="str">
        <f>TEXT(financial_fraud_data[[#This Row],[Transaction_Date]],"MMM")</f>
        <v>Mar</v>
      </c>
      <c r="Q1856" t="str">
        <f>IF(financial_fraud_data[[#This Row],[Is_Fraud]]=1,"Yes","No")</f>
        <v>Yes</v>
      </c>
    </row>
    <row r="1857" spans="1:17" x14ac:dyDescent="0.2">
      <c r="A1857" t="s">
        <v>2379</v>
      </c>
      <c r="B1857" t="s">
        <v>1913</v>
      </c>
      <c r="C1857" s="1">
        <v>45369.291666666664</v>
      </c>
      <c r="D1857">
        <v>12649.44</v>
      </c>
      <c r="E1857" t="s">
        <v>42</v>
      </c>
      <c r="F1857" t="s">
        <v>27</v>
      </c>
      <c r="G1857" t="s">
        <v>56</v>
      </c>
      <c r="H1857" t="s">
        <v>23</v>
      </c>
      <c r="I1857" t="s">
        <v>19</v>
      </c>
      <c r="J1857" t="s">
        <v>37</v>
      </c>
      <c r="K1857">
        <v>1</v>
      </c>
      <c r="L1857">
        <v>4</v>
      </c>
      <c r="M1857">
        <v>10.26</v>
      </c>
      <c r="N1857">
        <v>1</v>
      </c>
      <c r="O1857" t="str">
        <f>IF(financial_fraud_data[[#This Row],[Risk_Score]]&gt;8,"High",IF(financial_fraud_data[[#This Row],[Risk_Score]]&gt;5,"Med","Low"))</f>
        <v>High</v>
      </c>
      <c r="P1857" t="str">
        <f>TEXT(financial_fraud_data[[#This Row],[Transaction_Date]],"MMM")</f>
        <v>Mar</v>
      </c>
      <c r="Q1857" t="str">
        <f>IF(financial_fraud_data[[#This Row],[Is_Fraud]]=1,"Yes","No")</f>
        <v>Yes</v>
      </c>
    </row>
    <row r="1858" spans="1:17" x14ac:dyDescent="0.2">
      <c r="A1858" t="s">
        <v>2380</v>
      </c>
      <c r="B1858" t="s">
        <v>88</v>
      </c>
      <c r="C1858" s="1">
        <v>45369.333333333336</v>
      </c>
      <c r="D1858">
        <v>37764.339999999997</v>
      </c>
      <c r="E1858" t="s">
        <v>42</v>
      </c>
      <c r="F1858" t="s">
        <v>27</v>
      </c>
      <c r="G1858" t="s">
        <v>18</v>
      </c>
      <c r="H1858" t="s">
        <v>19</v>
      </c>
      <c r="I1858" t="s">
        <v>23</v>
      </c>
      <c r="J1858" t="s">
        <v>37</v>
      </c>
      <c r="K1858">
        <v>0</v>
      </c>
      <c r="L1858">
        <v>3</v>
      </c>
      <c r="M1858">
        <v>9.2799999999999994</v>
      </c>
      <c r="N1858">
        <v>1</v>
      </c>
      <c r="O1858" t="str">
        <f>IF(financial_fraud_data[[#This Row],[Risk_Score]]&gt;8,"High",IF(financial_fraud_data[[#This Row],[Risk_Score]]&gt;5,"Med","Low"))</f>
        <v>High</v>
      </c>
      <c r="P1858" t="str">
        <f>TEXT(financial_fraud_data[[#This Row],[Transaction_Date]],"MMM")</f>
        <v>Mar</v>
      </c>
      <c r="Q1858" t="str">
        <f>IF(financial_fraud_data[[#This Row],[Is_Fraud]]=1,"Yes","No")</f>
        <v>Yes</v>
      </c>
    </row>
    <row r="1859" spans="1:17" x14ac:dyDescent="0.2">
      <c r="A1859" t="s">
        <v>2381</v>
      </c>
      <c r="B1859" t="s">
        <v>1389</v>
      </c>
      <c r="C1859" s="1">
        <v>45369.375</v>
      </c>
      <c r="D1859">
        <v>23053.95</v>
      </c>
      <c r="E1859" t="s">
        <v>42</v>
      </c>
      <c r="F1859" t="s">
        <v>50</v>
      </c>
      <c r="G1859" t="s">
        <v>18</v>
      </c>
      <c r="H1859" t="s">
        <v>36</v>
      </c>
      <c r="I1859" t="s">
        <v>19</v>
      </c>
      <c r="J1859" t="s">
        <v>51</v>
      </c>
      <c r="K1859">
        <v>0</v>
      </c>
      <c r="L1859">
        <v>0</v>
      </c>
      <c r="M1859">
        <v>3.31</v>
      </c>
      <c r="N1859">
        <v>0</v>
      </c>
      <c r="O1859" t="str">
        <f>IF(financial_fraud_data[[#This Row],[Risk_Score]]&gt;8,"High",IF(financial_fraud_data[[#This Row],[Risk_Score]]&gt;5,"Med","Low"))</f>
        <v>Low</v>
      </c>
      <c r="P1859" t="str">
        <f>TEXT(financial_fraud_data[[#This Row],[Transaction_Date]],"MMM")</f>
        <v>Mar</v>
      </c>
      <c r="Q1859" t="str">
        <f>IF(financial_fraud_data[[#This Row],[Is_Fraud]]=1,"Yes","No")</f>
        <v>No</v>
      </c>
    </row>
    <row r="1860" spans="1:17" x14ac:dyDescent="0.2">
      <c r="A1860" t="s">
        <v>2382</v>
      </c>
      <c r="B1860" t="s">
        <v>953</v>
      </c>
      <c r="C1860" s="1">
        <v>45369.416666666664</v>
      </c>
      <c r="D1860">
        <v>42107.83</v>
      </c>
      <c r="E1860" t="s">
        <v>80</v>
      </c>
      <c r="F1860" t="s">
        <v>17</v>
      </c>
      <c r="G1860" t="s">
        <v>65</v>
      </c>
      <c r="H1860" t="s">
        <v>19</v>
      </c>
      <c r="I1860" t="s">
        <v>19</v>
      </c>
      <c r="J1860" t="s">
        <v>51</v>
      </c>
      <c r="K1860">
        <v>0</v>
      </c>
      <c r="L1860">
        <v>1</v>
      </c>
      <c r="M1860">
        <v>5.71</v>
      </c>
      <c r="N1860">
        <v>1</v>
      </c>
      <c r="O1860" t="str">
        <f>IF(financial_fraud_data[[#This Row],[Risk_Score]]&gt;8,"High",IF(financial_fraud_data[[#This Row],[Risk_Score]]&gt;5,"Med","Low"))</f>
        <v>Med</v>
      </c>
      <c r="P1860" t="str">
        <f>TEXT(financial_fraud_data[[#This Row],[Transaction_Date]],"MMM")</f>
        <v>Mar</v>
      </c>
      <c r="Q1860" t="str">
        <f>IF(financial_fraud_data[[#This Row],[Is_Fraud]]=1,"Yes","No")</f>
        <v>Yes</v>
      </c>
    </row>
    <row r="1861" spans="1:17" x14ac:dyDescent="0.2">
      <c r="A1861" t="s">
        <v>2383</v>
      </c>
      <c r="B1861" t="s">
        <v>499</v>
      </c>
      <c r="C1861" s="1">
        <v>45369.458333333336</v>
      </c>
      <c r="D1861">
        <v>36438.11</v>
      </c>
      <c r="E1861" t="s">
        <v>16</v>
      </c>
      <c r="F1861" t="s">
        <v>27</v>
      </c>
      <c r="G1861" t="s">
        <v>56</v>
      </c>
      <c r="H1861" t="s">
        <v>23</v>
      </c>
      <c r="I1861" t="s">
        <v>19</v>
      </c>
      <c r="J1861" t="s">
        <v>37</v>
      </c>
      <c r="K1861">
        <v>0</v>
      </c>
      <c r="L1861">
        <v>2</v>
      </c>
      <c r="M1861">
        <v>7.64</v>
      </c>
      <c r="N1861">
        <v>1</v>
      </c>
      <c r="O1861" t="str">
        <f>IF(financial_fraud_data[[#This Row],[Risk_Score]]&gt;8,"High",IF(financial_fraud_data[[#This Row],[Risk_Score]]&gt;5,"Med","Low"))</f>
        <v>Med</v>
      </c>
      <c r="P1861" t="str">
        <f>TEXT(financial_fraud_data[[#This Row],[Transaction_Date]],"MMM")</f>
        <v>Mar</v>
      </c>
      <c r="Q1861" t="str">
        <f>IF(financial_fraud_data[[#This Row],[Is_Fraud]]=1,"Yes","No")</f>
        <v>Yes</v>
      </c>
    </row>
    <row r="1862" spans="1:17" x14ac:dyDescent="0.2">
      <c r="A1862" t="s">
        <v>2384</v>
      </c>
      <c r="B1862" t="s">
        <v>497</v>
      </c>
      <c r="C1862" s="1">
        <v>45369.5</v>
      </c>
      <c r="D1862">
        <v>38833.550000000003</v>
      </c>
      <c r="E1862" t="s">
        <v>42</v>
      </c>
      <c r="F1862" t="s">
        <v>17</v>
      </c>
      <c r="G1862" t="s">
        <v>28</v>
      </c>
      <c r="H1862" t="s">
        <v>29</v>
      </c>
      <c r="I1862" t="s">
        <v>23</v>
      </c>
      <c r="J1862" t="s">
        <v>37</v>
      </c>
      <c r="K1862">
        <v>0</v>
      </c>
      <c r="L1862">
        <v>3</v>
      </c>
      <c r="M1862">
        <v>9.3800000000000008</v>
      </c>
      <c r="N1862">
        <v>1</v>
      </c>
      <c r="O1862" t="str">
        <f>IF(financial_fraud_data[[#This Row],[Risk_Score]]&gt;8,"High",IF(financial_fraud_data[[#This Row],[Risk_Score]]&gt;5,"Med","Low"))</f>
        <v>High</v>
      </c>
      <c r="P1862" t="str">
        <f>TEXT(financial_fraud_data[[#This Row],[Transaction_Date]],"MMM")</f>
        <v>Mar</v>
      </c>
      <c r="Q1862" t="str">
        <f>IF(financial_fraud_data[[#This Row],[Is_Fraud]]=1,"Yes","No")</f>
        <v>Yes</v>
      </c>
    </row>
    <row r="1863" spans="1:17" x14ac:dyDescent="0.2">
      <c r="A1863" t="s">
        <v>2385</v>
      </c>
      <c r="B1863" t="s">
        <v>388</v>
      </c>
      <c r="C1863" s="1">
        <v>45369.541666666664</v>
      </c>
      <c r="D1863">
        <v>32825.279999999999</v>
      </c>
      <c r="E1863" t="s">
        <v>34</v>
      </c>
      <c r="F1863" t="s">
        <v>27</v>
      </c>
      <c r="G1863" t="s">
        <v>35</v>
      </c>
      <c r="H1863" t="s">
        <v>19</v>
      </c>
      <c r="I1863" t="s">
        <v>36</v>
      </c>
      <c r="J1863" t="s">
        <v>20</v>
      </c>
      <c r="K1863">
        <v>0</v>
      </c>
      <c r="L1863">
        <v>0</v>
      </c>
      <c r="M1863">
        <v>4.28</v>
      </c>
      <c r="N1863">
        <v>0</v>
      </c>
      <c r="O1863" t="str">
        <f>IF(financial_fraud_data[[#This Row],[Risk_Score]]&gt;8,"High",IF(financial_fraud_data[[#This Row],[Risk_Score]]&gt;5,"Med","Low"))</f>
        <v>Low</v>
      </c>
      <c r="P1863" t="str">
        <f>TEXT(financial_fraud_data[[#This Row],[Transaction_Date]],"MMM")</f>
        <v>Mar</v>
      </c>
      <c r="Q1863" t="str">
        <f>IF(financial_fraud_data[[#This Row],[Is_Fraud]]=1,"Yes","No")</f>
        <v>No</v>
      </c>
    </row>
    <row r="1864" spans="1:17" x14ac:dyDescent="0.2">
      <c r="A1864" t="s">
        <v>2386</v>
      </c>
      <c r="B1864" t="s">
        <v>111</v>
      </c>
      <c r="C1864" s="1">
        <v>45369.583333333336</v>
      </c>
      <c r="D1864">
        <v>8912.57</v>
      </c>
      <c r="E1864" t="s">
        <v>42</v>
      </c>
      <c r="F1864" t="s">
        <v>27</v>
      </c>
      <c r="G1864" t="s">
        <v>65</v>
      </c>
      <c r="H1864" t="s">
        <v>36</v>
      </c>
      <c r="I1864" t="s">
        <v>23</v>
      </c>
      <c r="J1864" t="s">
        <v>51</v>
      </c>
      <c r="K1864">
        <v>0</v>
      </c>
      <c r="L1864">
        <v>4</v>
      </c>
      <c r="M1864">
        <v>7.89</v>
      </c>
      <c r="N1864">
        <v>1</v>
      </c>
      <c r="O1864" t="str">
        <f>IF(financial_fraud_data[[#This Row],[Risk_Score]]&gt;8,"High",IF(financial_fraud_data[[#This Row],[Risk_Score]]&gt;5,"Med","Low"))</f>
        <v>Med</v>
      </c>
      <c r="P1864" t="str">
        <f>TEXT(financial_fraud_data[[#This Row],[Transaction_Date]],"MMM")</f>
        <v>Mar</v>
      </c>
      <c r="Q1864" t="str">
        <f>IF(financial_fraud_data[[#This Row],[Is_Fraud]]=1,"Yes","No")</f>
        <v>Yes</v>
      </c>
    </row>
    <row r="1865" spans="1:17" x14ac:dyDescent="0.2">
      <c r="A1865" t="s">
        <v>2387</v>
      </c>
      <c r="B1865" t="s">
        <v>844</v>
      </c>
      <c r="C1865" s="1">
        <v>45369.625</v>
      </c>
      <c r="D1865">
        <v>27274.09</v>
      </c>
      <c r="E1865" t="s">
        <v>42</v>
      </c>
      <c r="F1865" t="s">
        <v>50</v>
      </c>
      <c r="G1865" t="s">
        <v>28</v>
      </c>
      <c r="H1865" t="s">
        <v>29</v>
      </c>
      <c r="I1865" t="s">
        <v>36</v>
      </c>
      <c r="J1865" t="s">
        <v>51</v>
      </c>
      <c r="K1865">
        <v>0</v>
      </c>
      <c r="L1865">
        <v>4</v>
      </c>
      <c r="M1865">
        <v>9.73</v>
      </c>
      <c r="N1865">
        <v>1</v>
      </c>
      <c r="O1865" t="str">
        <f>IF(financial_fraud_data[[#This Row],[Risk_Score]]&gt;8,"High",IF(financial_fraud_data[[#This Row],[Risk_Score]]&gt;5,"Med","Low"))</f>
        <v>High</v>
      </c>
      <c r="P1865" t="str">
        <f>TEXT(financial_fraud_data[[#This Row],[Transaction_Date]],"MMM")</f>
        <v>Mar</v>
      </c>
      <c r="Q1865" t="str">
        <f>IF(financial_fraud_data[[#This Row],[Is_Fraud]]=1,"Yes","No")</f>
        <v>Yes</v>
      </c>
    </row>
    <row r="1866" spans="1:17" x14ac:dyDescent="0.2">
      <c r="A1866" t="s">
        <v>2388</v>
      </c>
      <c r="B1866" t="s">
        <v>409</v>
      </c>
      <c r="C1866" s="1">
        <v>45369.666666666664</v>
      </c>
      <c r="D1866">
        <v>49234.25</v>
      </c>
      <c r="E1866" t="s">
        <v>16</v>
      </c>
      <c r="F1866" t="s">
        <v>27</v>
      </c>
      <c r="G1866" t="s">
        <v>35</v>
      </c>
      <c r="H1866" t="s">
        <v>36</v>
      </c>
      <c r="I1866" t="s">
        <v>24</v>
      </c>
      <c r="J1866" t="s">
        <v>37</v>
      </c>
      <c r="K1866">
        <v>0</v>
      </c>
      <c r="L1866">
        <v>2</v>
      </c>
      <c r="M1866">
        <v>8.92</v>
      </c>
      <c r="N1866">
        <v>1</v>
      </c>
      <c r="O1866" t="str">
        <f>IF(financial_fraud_data[[#This Row],[Risk_Score]]&gt;8,"High",IF(financial_fraud_data[[#This Row],[Risk_Score]]&gt;5,"Med","Low"))</f>
        <v>High</v>
      </c>
      <c r="P1866" t="str">
        <f>TEXT(financial_fraud_data[[#This Row],[Transaction_Date]],"MMM")</f>
        <v>Mar</v>
      </c>
      <c r="Q1866" t="str">
        <f>IF(financial_fraud_data[[#This Row],[Is_Fraud]]=1,"Yes","No")</f>
        <v>Yes</v>
      </c>
    </row>
    <row r="1867" spans="1:17" x14ac:dyDescent="0.2">
      <c r="A1867" t="s">
        <v>2389</v>
      </c>
      <c r="B1867" t="s">
        <v>530</v>
      </c>
      <c r="C1867" s="1">
        <v>45369.708333333336</v>
      </c>
      <c r="D1867">
        <v>46872.53</v>
      </c>
      <c r="E1867" t="s">
        <v>16</v>
      </c>
      <c r="F1867" t="s">
        <v>47</v>
      </c>
      <c r="G1867" t="s">
        <v>18</v>
      </c>
      <c r="H1867" t="s">
        <v>29</v>
      </c>
      <c r="I1867" t="s">
        <v>24</v>
      </c>
      <c r="J1867" t="s">
        <v>51</v>
      </c>
      <c r="K1867">
        <v>0</v>
      </c>
      <c r="L1867">
        <v>2</v>
      </c>
      <c r="M1867">
        <v>8.69</v>
      </c>
      <c r="N1867">
        <v>1</v>
      </c>
      <c r="O1867" t="str">
        <f>IF(financial_fraud_data[[#This Row],[Risk_Score]]&gt;8,"High",IF(financial_fraud_data[[#This Row],[Risk_Score]]&gt;5,"Med","Low"))</f>
        <v>High</v>
      </c>
      <c r="P1867" t="str">
        <f>TEXT(financial_fraud_data[[#This Row],[Transaction_Date]],"MMM")</f>
        <v>Mar</v>
      </c>
      <c r="Q1867" t="str">
        <f>IF(financial_fraud_data[[#This Row],[Is_Fraud]]=1,"Yes","No")</f>
        <v>Yes</v>
      </c>
    </row>
    <row r="1868" spans="1:17" x14ac:dyDescent="0.2">
      <c r="A1868" t="s">
        <v>2390</v>
      </c>
      <c r="B1868" t="s">
        <v>1079</v>
      </c>
      <c r="C1868" s="1">
        <v>45369.75</v>
      </c>
      <c r="D1868">
        <v>2206.5300000000002</v>
      </c>
      <c r="E1868" t="s">
        <v>16</v>
      </c>
      <c r="F1868" t="s">
        <v>47</v>
      </c>
      <c r="G1868" t="s">
        <v>18</v>
      </c>
      <c r="H1868" t="s">
        <v>36</v>
      </c>
      <c r="I1868" t="s">
        <v>23</v>
      </c>
      <c r="J1868" t="s">
        <v>51</v>
      </c>
      <c r="K1868">
        <v>1</v>
      </c>
      <c r="L1868">
        <v>3</v>
      </c>
      <c r="M1868">
        <v>7.72</v>
      </c>
      <c r="N1868">
        <v>1</v>
      </c>
      <c r="O1868" t="str">
        <f>IF(financial_fraud_data[[#This Row],[Risk_Score]]&gt;8,"High",IF(financial_fraud_data[[#This Row],[Risk_Score]]&gt;5,"Med","Low"))</f>
        <v>Med</v>
      </c>
      <c r="P1868" t="str">
        <f>TEXT(financial_fraud_data[[#This Row],[Transaction_Date]],"MMM")</f>
        <v>Mar</v>
      </c>
      <c r="Q1868" t="str">
        <f>IF(financial_fraud_data[[#This Row],[Is_Fraud]]=1,"Yes","No")</f>
        <v>Yes</v>
      </c>
    </row>
    <row r="1869" spans="1:17" x14ac:dyDescent="0.2">
      <c r="A1869" t="s">
        <v>2391</v>
      </c>
      <c r="B1869" t="s">
        <v>180</v>
      </c>
      <c r="C1869" s="1">
        <v>45369.791666666664</v>
      </c>
      <c r="D1869">
        <v>8282.5</v>
      </c>
      <c r="E1869" t="s">
        <v>80</v>
      </c>
      <c r="F1869" t="s">
        <v>50</v>
      </c>
      <c r="G1869" t="s">
        <v>56</v>
      </c>
      <c r="H1869" t="s">
        <v>19</v>
      </c>
      <c r="I1869" t="s">
        <v>36</v>
      </c>
      <c r="J1869" t="s">
        <v>20</v>
      </c>
      <c r="K1869">
        <v>0</v>
      </c>
      <c r="L1869">
        <v>2</v>
      </c>
      <c r="M1869">
        <v>4.83</v>
      </c>
      <c r="N1869">
        <v>0</v>
      </c>
      <c r="O1869" t="str">
        <f>IF(financial_fraud_data[[#This Row],[Risk_Score]]&gt;8,"High",IF(financial_fraud_data[[#This Row],[Risk_Score]]&gt;5,"Med","Low"))</f>
        <v>Low</v>
      </c>
      <c r="P1869" t="str">
        <f>TEXT(financial_fraud_data[[#This Row],[Transaction_Date]],"MMM")</f>
        <v>Mar</v>
      </c>
      <c r="Q1869" t="str">
        <f>IF(financial_fraud_data[[#This Row],[Is_Fraud]]=1,"Yes","No")</f>
        <v>No</v>
      </c>
    </row>
    <row r="1870" spans="1:17" x14ac:dyDescent="0.2">
      <c r="A1870" t="s">
        <v>2392</v>
      </c>
      <c r="B1870" t="s">
        <v>645</v>
      </c>
      <c r="C1870" s="1">
        <v>45369.833333333336</v>
      </c>
      <c r="D1870">
        <v>6629.85</v>
      </c>
      <c r="E1870" t="s">
        <v>80</v>
      </c>
      <c r="F1870" t="s">
        <v>17</v>
      </c>
      <c r="G1870" t="s">
        <v>35</v>
      </c>
      <c r="H1870" t="s">
        <v>19</v>
      </c>
      <c r="I1870" t="s">
        <v>36</v>
      </c>
      <c r="J1870" t="s">
        <v>20</v>
      </c>
      <c r="K1870">
        <v>0</v>
      </c>
      <c r="L1870">
        <v>0</v>
      </c>
      <c r="M1870">
        <v>1.66</v>
      </c>
      <c r="N1870">
        <v>0</v>
      </c>
      <c r="O1870" t="str">
        <f>IF(financial_fraud_data[[#This Row],[Risk_Score]]&gt;8,"High",IF(financial_fraud_data[[#This Row],[Risk_Score]]&gt;5,"Med","Low"))</f>
        <v>Low</v>
      </c>
      <c r="P1870" t="str">
        <f>TEXT(financial_fraud_data[[#This Row],[Transaction_Date]],"MMM")</f>
        <v>Mar</v>
      </c>
      <c r="Q1870" t="str">
        <f>IF(financial_fraud_data[[#This Row],[Is_Fraud]]=1,"Yes","No")</f>
        <v>No</v>
      </c>
    </row>
    <row r="1871" spans="1:17" x14ac:dyDescent="0.2">
      <c r="A1871" t="s">
        <v>2393</v>
      </c>
      <c r="B1871" t="s">
        <v>669</v>
      </c>
      <c r="C1871" s="1">
        <v>45369.875</v>
      </c>
      <c r="D1871">
        <v>36312.699999999997</v>
      </c>
      <c r="E1871" t="s">
        <v>42</v>
      </c>
      <c r="F1871" t="s">
        <v>17</v>
      </c>
      <c r="G1871" t="s">
        <v>18</v>
      </c>
      <c r="H1871" t="s">
        <v>23</v>
      </c>
      <c r="I1871" t="s">
        <v>36</v>
      </c>
      <c r="J1871" t="s">
        <v>51</v>
      </c>
      <c r="K1871">
        <v>0</v>
      </c>
      <c r="L1871">
        <v>0</v>
      </c>
      <c r="M1871">
        <v>4.63</v>
      </c>
      <c r="N1871">
        <v>0</v>
      </c>
      <c r="O1871" t="str">
        <f>IF(financial_fraud_data[[#This Row],[Risk_Score]]&gt;8,"High",IF(financial_fraud_data[[#This Row],[Risk_Score]]&gt;5,"Med","Low"))</f>
        <v>Low</v>
      </c>
      <c r="P1871" t="str">
        <f>TEXT(financial_fraud_data[[#This Row],[Transaction_Date]],"MMM")</f>
        <v>Mar</v>
      </c>
      <c r="Q1871" t="str">
        <f>IF(financial_fraud_data[[#This Row],[Is_Fraud]]=1,"Yes","No")</f>
        <v>No</v>
      </c>
    </row>
    <row r="1872" spans="1:17" x14ac:dyDescent="0.2">
      <c r="A1872" t="s">
        <v>2394</v>
      </c>
      <c r="B1872" t="s">
        <v>904</v>
      </c>
      <c r="C1872" s="1">
        <v>45369.916666666664</v>
      </c>
      <c r="D1872">
        <v>40898.379999999997</v>
      </c>
      <c r="E1872" t="s">
        <v>16</v>
      </c>
      <c r="F1872" t="s">
        <v>17</v>
      </c>
      <c r="G1872" t="s">
        <v>18</v>
      </c>
      <c r="H1872" t="s">
        <v>29</v>
      </c>
      <c r="I1872" t="s">
        <v>24</v>
      </c>
      <c r="J1872" t="s">
        <v>51</v>
      </c>
      <c r="K1872">
        <v>0</v>
      </c>
      <c r="L1872">
        <v>0</v>
      </c>
      <c r="M1872">
        <v>5.09</v>
      </c>
      <c r="N1872">
        <v>1</v>
      </c>
      <c r="O1872" t="str">
        <f>IF(financial_fraud_data[[#This Row],[Risk_Score]]&gt;8,"High",IF(financial_fraud_data[[#This Row],[Risk_Score]]&gt;5,"Med","Low"))</f>
        <v>Med</v>
      </c>
      <c r="P1872" t="str">
        <f>TEXT(financial_fraud_data[[#This Row],[Transaction_Date]],"MMM")</f>
        <v>Mar</v>
      </c>
      <c r="Q1872" t="str">
        <f>IF(financial_fraud_data[[#This Row],[Is_Fraud]]=1,"Yes","No")</f>
        <v>Yes</v>
      </c>
    </row>
    <row r="1873" spans="1:17" x14ac:dyDescent="0.2">
      <c r="A1873" t="s">
        <v>2395</v>
      </c>
      <c r="B1873" t="s">
        <v>686</v>
      </c>
      <c r="C1873" s="1">
        <v>45369.958333333336</v>
      </c>
      <c r="D1873">
        <v>10714.89</v>
      </c>
      <c r="E1873" t="s">
        <v>42</v>
      </c>
      <c r="F1873" t="s">
        <v>47</v>
      </c>
      <c r="G1873" t="s">
        <v>56</v>
      </c>
      <c r="H1873" t="s">
        <v>23</v>
      </c>
      <c r="I1873" t="s">
        <v>23</v>
      </c>
      <c r="J1873" t="s">
        <v>51</v>
      </c>
      <c r="K1873">
        <v>1</v>
      </c>
      <c r="L1873">
        <v>3</v>
      </c>
      <c r="M1873">
        <v>7.57</v>
      </c>
      <c r="N1873">
        <v>1</v>
      </c>
      <c r="O1873" t="str">
        <f>IF(financial_fraud_data[[#This Row],[Risk_Score]]&gt;8,"High",IF(financial_fraud_data[[#This Row],[Risk_Score]]&gt;5,"Med","Low"))</f>
        <v>Med</v>
      </c>
      <c r="P1873" t="str">
        <f>TEXT(financial_fraud_data[[#This Row],[Transaction_Date]],"MMM")</f>
        <v>Mar</v>
      </c>
      <c r="Q1873" t="str">
        <f>IF(financial_fraud_data[[#This Row],[Is_Fraud]]=1,"Yes","No")</f>
        <v>Yes</v>
      </c>
    </row>
    <row r="1874" spans="1:17" x14ac:dyDescent="0.2">
      <c r="A1874" t="s">
        <v>2396</v>
      </c>
      <c r="B1874" t="s">
        <v>205</v>
      </c>
      <c r="C1874" s="1">
        <v>45370</v>
      </c>
      <c r="D1874">
        <v>25317.34</v>
      </c>
      <c r="E1874" t="s">
        <v>34</v>
      </c>
      <c r="F1874" t="s">
        <v>17</v>
      </c>
      <c r="G1874" t="s">
        <v>28</v>
      </c>
      <c r="H1874" t="s">
        <v>24</v>
      </c>
      <c r="I1874" t="s">
        <v>29</v>
      </c>
      <c r="J1874" t="s">
        <v>37</v>
      </c>
      <c r="K1874">
        <v>0</v>
      </c>
      <c r="L1874">
        <v>3</v>
      </c>
      <c r="M1874">
        <v>8.0299999999999994</v>
      </c>
      <c r="N1874">
        <v>1</v>
      </c>
      <c r="O1874" t="str">
        <f>IF(financial_fraud_data[[#This Row],[Risk_Score]]&gt;8,"High",IF(financial_fraud_data[[#This Row],[Risk_Score]]&gt;5,"Med","Low"))</f>
        <v>High</v>
      </c>
      <c r="P1874" t="str">
        <f>TEXT(financial_fraud_data[[#This Row],[Transaction_Date]],"MMM")</f>
        <v>Mar</v>
      </c>
      <c r="Q1874" t="str">
        <f>IF(financial_fraud_data[[#This Row],[Is_Fraud]]=1,"Yes","No")</f>
        <v>Yes</v>
      </c>
    </row>
    <row r="1875" spans="1:17" x14ac:dyDescent="0.2">
      <c r="A1875" t="s">
        <v>2397</v>
      </c>
      <c r="B1875" t="s">
        <v>1079</v>
      </c>
      <c r="C1875" s="1">
        <v>45370.041666666664</v>
      </c>
      <c r="D1875">
        <v>42043.12</v>
      </c>
      <c r="E1875" t="s">
        <v>34</v>
      </c>
      <c r="F1875" t="s">
        <v>17</v>
      </c>
      <c r="G1875" t="s">
        <v>18</v>
      </c>
      <c r="H1875" t="s">
        <v>19</v>
      </c>
      <c r="I1875" t="s">
        <v>36</v>
      </c>
      <c r="J1875" t="s">
        <v>20</v>
      </c>
      <c r="K1875">
        <v>1</v>
      </c>
      <c r="L1875">
        <v>2</v>
      </c>
      <c r="M1875">
        <v>10.199999999999999</v>
      </c>
      <c r="N1875">
        <v>1</v>
      </c>
      <c r="O1875" t="str">
        <f>IF(financial_fraud_data[[#This Row],[Risk_Score]]&gt;8,"High",IF(financial_fraud_data[[#This Row],[Risk_Score]]&gt;5,"Med","Low"))</f>
        <v>High</v>
      </c>
      <c r="P1875" t="str">
        <f>TEXT(financial_fraud_data[[#This Row],[Transaction_Date]],"MMM")</f>
        <v>Mar</v>
      </c>
      <c r="Q1875" t="str">
        <f>IF(financial_fraud_data[[#This Row],[Is_Fraud]]=1,"Yes","No")</f>
        <v>Yes</v>
      </c>
    </row>
    <row r="1876" spans="1:17" x14ac:dyDescent="0.2">
      <c r="A1876" t="s">
        <v>2398</v>
      </c>
      <c r="B1876" t="s">
        <v>738</v>
      </c>
      <c r="C1876" s="1">
        <v>45370.083333333336</v>
      </c>
      <c r="D1876">
        <v>36653.440000000002</v>
      </c>
      <c r="E1876" t="s">
        <v>16</v>
      </c>
      <c r="F1876" t="s">
        <v>50</v>
      </c>
      <c r="G1876" t="s">
        <v>65</v>
      </c>
      <c r="H1876" t="s">
        <v>29</v>
      </c>
      <c r="I1876" t="s">
        <v>36</v>
      </c>
      <c r="J1876" t="s">
        <v>37</v>
      </c>
      <c r="K1876">
        <v>0</v>
      </c>
      <c r="L1876">
        <v>3</v>
      </c>
      <c r="M1876">
        <v>9.17</v>
      </c>
      <c r="N1876">
        <v>1</v>
      </c>
      <c r="O1876" t="str">
        <f>IF(financial_fraud_data[[#This Row],[Risk_Score]]&gt;8,"High",IF(financial_fraud_data[[#This Row],[Risk_Score]]&gt;5,"Med","Low"))</f>
        <v>High</v>
      </c>
      <c r="P1876" t="str">
        <f>TEXT(financial_fraud_data[[#This Row],[Transaction_Date]],"MMM")</f>
        <v>Mar</v>
      </c>
      <c r="Q1876" t="str">
        <f>IF(financial_fraud_data[[#This Row],[Is_Fraud]]=1,"Yes","No")</f>
        <v>Yes</v>
      </c>
    </row>
    <row r="1877" spans="1:17" x14ac:dyDescent="0.2">
      <c r="A1877" t="s">
        <v>2399</v>
      </c>
      <c r="B1877" t="s">
        <v>356</v>
      </c>
      <c r="C1877" s="1">
        <v>45370.125</v>
      </c>
      <c r="D1877">
        <v>27134.75</v>
      </c>
      <c r="E1877" t="s">
        <v>16</v>
      </c>
      <c r="F1877" t="s">
        <v>17</v>
      </c>
      <c r="G1877" t="s">
        <v>65</v>
      </c>
      <c r="H1877" t="s">
        <v>23</v>
      </c>
      <c r="I1877" t="s">
        <v>29</v>
      </c>
      <c r="J1877" t="s">
        <v>20</v>
      </c>
      <c r="K1877">
        <v>1</v>
      </c>
      <c r="L1877">
        <v>0</v>
      </c>
      <c r="M1877">
        <v>5.71</v>
      </c>
      <c r="N1877">
        <v>1</v>
      </c>
      <c r="O1877" t="str">
        <f>IF(financial_fraud_data[[#This Row],[Risk_Score]]&gt;8,"High",IF(financial_fraud_data[[#This Row],[Risk_Score]]&gt;5,"Med","Low"))</f>
        <v>Med</v>
      </c>
      <c r="P1877" t="str">
        <f>TEXT(financial_fraud_data[[#This Row],[Transaction_Date]],"MMM")</f>
        <v>Mar</v>
      </c>
      <c r="Q1877" t="str">
        <f>IF(financial_fraud_data[[#This Row],[Is_Fraud]]=1,"Yes","No")</f>
        <v>Yes</v>
      </c>
    </row>
    <row r="1878" spans="1:17" x14ac:dyDescent="0.2">
      <c r="A1878" t="s">
        <v>2400</v>
      </c>
      <c r="B1878" t="s">
        <v>1378</v>
      </c>
      <c r="C1878" s="1">
        <v>45370.166666666664</v>
      </c>
      <c r="D1878">
        <v>29537.87</v>
      </c>
      <c r="E1878" t="s">
        <v>34</v>
      </c>
      <c r="F1878" t="s">
        <v>47</v>
      </c>
      <c r="G1878" t="s">
        <v>28</v>
      </c>
      <c r="H1878" t="s">
        <v>23</v>
      </c>
      <c r="I1878" t="s">
        <v>23</v>
      </c>
      <c r="J1878" t="s">
        <v>20</v>
      </c>
      <c r="K1878">
        <v>0</v>
      </c>
      <c r="L1878">
        <v>1</v>
      </c>
      <c r="M1878">
        <v>4.45</v>
      </c>
      <c r="N1878">
        <v>0</v>
      </c>
      <c r="O1878" t="str">
        <f>IF(financial_fraud_data[[#This Row],[Risk_Score]]&gt;8,"High",IF(financial_fraud_data[[#This Row],[Risk_Score]]&gt;5,"Med","Low"))</f>
        <v>Low</v>
      </c>
      <c r="P1878" t="str">
        <f>TEXT(financial_fraud_data[[#This Row],[Transaction_Date]],"MMM")</f>
        <v>Mar</v>
      </c>
      <c r="Q1878" t="str">
        <f>IF(financial_fraud_data[[#This Row],[Is_Fraud]]=1,"Yes","No")</f>
        <v>No</v>
      </c>
    </row>
    <row r="1879" spans="1:17" x14ac:dyDescent="0.2">
      <c r="A1879" t="s">
        <v>2401</v>
      </c>
      <c r="B1879" t="s">
        <v>162</v>
      </c>
      <c r="C1879" s="1">
        <v>45370.208333333336</v>
      </c>
      <c r="D1879">
        <v>25442.61</v>
      </c>
      <c r="E1879" t="s">
        <v>16</v>
      </c>
      <c r="F1879" t="s">
        <v>47</v>
      </c>
      <c r="G1879" t="s">
        <v>35</v>
      </c>
      <c r="H1879" t="s">
        <v>24</v>
      </c>
      <c r="I1879" t="s">
        <v>36</v>
      </c>
      <c r="J1879" t="s">
        <v>20</v>
      </c>
      <c r="K1879">
        <v>0</v>
      </c>
      <c r="L1879">
        <v>0</v>
      </c>
      <c r="M1879">
        <v>3.54</v>
      </c>
      <c r="N1879">
        <v>0</v>
      </c>
      <c r="O1879" t="str">
        <f>IF(financial_fraud_data[[#This Row],[Risk_Score]]&gt;8,"High",IF(financial_fraud_data[[#This Row],[Risk_Score]]&gt;5,"Med","Low"))</f>
        <v>Low</v>
      </c>
      <c r="P1879" t="str">
        <f>TEXT(financial_fraud_data[[#This Row],[Transaction_Date]],"MMM")</f>
        <v>Mar</v>
      </c>
      <c r="Q1879" t="str">
        <f>IF(financial_fraud_data[[#This Row],[Is_Fraud]]=1,"Yes","No")</f>
        <v>No</v>
      </c>
    </row>
    <row r="1880" spans="1:17" x14ac:dyDescent="0.2">
      <c r="A1880" t="s">
        <v>2402</v>
      </c>
      <c r="B1880" t="s">
        <v>306</v>
      </c>
      <c r="C1880" s="1">
        <v>45370.25</v>
      </c>
      <c r="D1880">
        <v>14912.55</v>
      </c>
      <c r="E1880" t="s">
        <v>80</v>
      </c>
      <c r="F1880" t="s">
        <v>47</v>
      </c>
      <c r="G1880" t="s">
        <v>56</v>
      </c>
      <c r="H1880" t="s">
        <v>23</v>
      </c>
      <c r="I1880" t="s">
        <v>23</v>
      </c>
      <c r="J1880" t="s">
        <v>51</v>
      </c>
      <c r="K1880">
        <v>0</v>
      </c>
      <c r="L1880">
        <v>1</v>
      </c>
      <c r="M1880">
        <v>2.99</v>
      </c>
      <c r="N1880">
        <v>0</v>
      </c>
      <c r="O1880" t="str">
        <f>IF(financial_fraud_data[[#This Row],[Risk_Score]]&gt;8,"High",IF(financial_fraud_data[[#This Row],[Risk_Score]]&gt;5,"Med","Low"))</f>
        <v>Low</v>
      </c>
      <c r="P1880" t="str">
        <f>TEXT(financial_fraud_data[[#This Row],[Transaction_Date]],"MMM")</f>
        <v>Mar</v>
      </c>
      <c r="Q1880" t="str">
        <f>IF(financial_fraud_data[[#This Row],[Is_Fraud]]=1,"Yes","No")</f>
        <v>No</v>
      </c>
    </row>
    <row r="1881" spans="1:17" x14ac:dyDescent="0.2">
      <c r="A1881" t="s">
        <v>2403</v>
      </c>
      <c r="B1881" t="s">
        <v>481</v>
      </c>
      <c r="C1881" s="1">
        <v>45370.291666666664</v>
      </c>
      <c r="D1881">
        <v>28272.85</v>
      </c>
      <c r="E1881" t="s">
        <v>80</v>
      </c>
      <c r="F1881" t="s">
        <v>50</v>
      </c>
      <c r="G1881" t="s">
        <v>65</v>
      </c>
      <c r="H1881" t="s">
        <v>36</v>
      </c>
      <c r="I1881" t="s">
        <v>36</v>
      </c>
      <c r="J1881" t="s">
        <v>20</v>
      </c>
      <c r="K1881">
        <v>0</v>
      </c>
      <c r="L1881">
        <v>2</v>
      </c>
      <c r="M1881">
        <v>5.83</v>
      </c>
      <c r="N1881">
        <v>1</v>
      </c>
      <c r="O1881" t="str">
        <f>IF(financial_fraud_data[[#This Row],[Risk_Score]]&gt;8,"High",IF(financial_fraud_data[[#This Row],[Risk_Score]]&gt;5,"Med","Low"))</f>
        <v>Med</v>
      </c>
      <c r="P1881" t="str">
        <f>TEXT(financial_fraud_data[[#This Row],[Transaction_Date]],"MMM")</f>
        <v>Mar</v>
      </c>
      <c r="Q1881" t="str">
        <f>IF(financial_fraud_data[[#This Row],[Is_Fraud]]=1,"Yes","No")</f>
        <v>Yes</v>
      </c>
    </row>
    <row r="1882" spans="1:17" x14ac:dyDescent="0.2">
      <c r="A1882" t="s">
        <v>2404</v>
      </c>
      <c r="B1882" t="s">
        <v>58</v>
      </c>
      <c r="C1882" s="1">
        <v>45370.333333333336</v>
      </c>
      <c r="D1882">
        <v>34459.82</v>
      </c>
      <c r="E1882" t="s">
        <v>16</v>
      </c>
      <c r="F1882" t="s">
        <v>50</v>
      </c>
      <c r="G1882" t="s">
        <v>65</v>
      </c>
      <c r="H1882" t="s">
        <v>19</v>
      </c>
      <c r="I1882" t="s">
        <v>19</v>
      </c>
      <c r="J1882" t="s">
        <v>37</v>
      </c>
      <c r="K1882">
        <v>0</v>
      </c>
      <c r="L1882">
        <v>4</v>
      </c>
      <c r="M1882">
        <v>9.4499999999999993</v>
      </c>
      <c r="N1882">
        <v>1</v>
      </c>
      <c r="O1882" t="str">
        <f>IF(financial_fraud_data[[#This Row],[Risk_Score]]&gt;8,"High",IF(financial_fraud_data[[#This Row],[Risk_Score]]&gt;5,"Med","Low"))</f>
        <v>High</v>
      </c>
      <c r="P1882" t="str">
        <f>TEXT(financial_fraud_data[[#This Row],[Transaction_Date]],"MMM")</f>
        <v>Mar</v>
      </c>
      <c r="Q1882" t="str">
        <f>IF(financial_fraud_data[[#This Row],[Is_Fraud]]=1,"Yes","No")</f>
        <v>Yes</v>
      </c>
    </row>
    <row r="1883" spans="1:17" x14ac:dyDescent="0.2">
      <c r="A1883" t="s">
        <v>2405</v>
      </c>
      <c r="B1883" t="s">
        <v>367</v>
      </c>
      <c r="C1883" s="1">
        <v>45370.375</v>
      </c>
      <c r="D1883">
        <v>43672.480000000003</v>
      </c>
      <c r="E1883" t="s">
        <v>34</v>
      </c>
      <c r="F1883" t="s">
        <v>27</v>
      </c>
      <c r="G1883" t="s">
        <v>28</v>
      </c>
      <c r="H1883" t="s">
        <v>23</v>
      </c>
      <c r="I1883" t="s">
        <v>36</v>
      </c>
      <c r="J1883" t="s">
        <v>20</v>
      </c>
      <c r="K1883">
        <v>0</v>
      </c>
      <c r="L1883">
        <v>3</v>
      </c>
      <c r="M1883">
        <v>9.8699999999999992</v>
      </c>
      <c r="N1883">
        <v>1</v>
      </c>
      <c r="O1883" t="str">
        <f>IF(financial_fraud_data[[#This Row],[Risk_Score]]&gt;8,"High",IF(financial_fraud_data[[#This Row],[Risk_Score]]&gt;5,"Med","Low"))</f>
        <v>High</v>
      </c>
      <c r="P1883" t="str">
        <f>TEXT(financial_fraud_data[[#This Row],[Transaction_Date]],"MMM")</f>
        <v>Mar</v>
      </c>
      <c r="Q1883" t="str">
        <f>IF(financial_fraud_data[[#This Row],[Is_Fraud]]=1,"Yes","No")</f>
        <v>Yes</v>
      </c>
    </row>
    <row r="1884" spans="1:17" x14ac:dyDescent="0.2">
      <c r="A1884" t="s">
        <v>2406</v>
      </c>
      <c r="B1884" t="s">
        <v>263</v>
      </c>
      <c r="C1884" s="1">
        <v>45370.416666666664</v>
      </c>
      <c r="D1884">
        <v>31832.75</v>
      </c>
      <c r="E1884" t="s">
        <v>42</v>
      </c>
      <c r="F1884" t="s">
        <v>17</v>
      </c>
      <c r="G1884" t="s">
        <v>35</v>
      </c>
      <c r="H1884" t="s">
        <v>23</v>
      </c>
      <c r="I1884" t="s">
        <v>19</v>
      </c>
      <c r="J1884" t="s">
        <v>37</v>
      </c>
      <c r="K1884">
        <v>0</v>
      </c>
      <c r="L1884">
        <v>3</v>
      </c>
      <c r="M1884">
        <v>8.68</v>
      </c>
      <c r="N1884">
        <v>1</v>
      </c>
      <c r="O1884" t="str">
        <f>IF(financial_fraud_data[[#This Row],[Risk_Score]]&gt;8,"High",IF(financial_fraud_data[[#This Row],[Risk_Score]]&gt;5,"Med","Low"))</f>
        <v>High</v>
      </c>
      <c r="P1884" t="str">
        <f>TEXT(financial_fraud_data[[#This Row],[Transaction_Date]],"MMM")</f>
        <v>Mar</v>
      </c>
      <c r="Q1884" t="str">
        <f>IF(financial_fraud_data[[#This Row],[Is_Fraud]]=1,"Yes","No")</f>
        <v>Yes</v>
      </c>
    </row>
    <row r="1885" spans="1:17" x14ac:dyDescent="0.2">
      <c r="A1885" t="s">
        <v>2407</v>
      </c>
      <c r="B1885" t="s">
        <v>1499</v>
      </c>
      <c r="C1885" s="1">
        <v>45370.458333333336</v>
      </c>
      <c r="D1885">
        <v>38068.019999999997</v>
      </c>
      <c r="E1885" t="s">
        <v>16</v>
      </c>
      <c r="F1885" t="s">
        <v>50</v>
      </c>
      <c r="G1885" t="s">
        <v>35</v>
      </c>
      <c r="H1885" t="s">
        <v>24</v>
      </c>
      <c r="I1885" t="s">
        <v>23</v>
      </c>
      <c r="J1885" t="s">
        <v>20</v>
      </c>
      <c r="K1885">
        <v>1</v>
      </c>
      <c r="L1885">
        <v>0</v>
      </c>
      <c r="M1885">
        <v>6.81</v>
      </c>
      <c r="N1885">
        <v>1</v>
      </c>
      <c r="O1885" t="str">
        <f>IF(financial_fraud_data[[#This Row],[Risk_Score]]&gt;8,"High",IF(financial_fraud_data[[#This Row],[Risk_Score]]&gt;5,"Med","Low"))</f>
        <v>Med</v>
      </c>
      <c r="P1885" t="str">
        <f>TEXT(financial_fraud_data[[#This Row],[Transaction_Date]],"MMM")</f>
        <v>Mar</v>
      </c>
      <c r="Q1885" t="str">
        <f>IF(financial_fraud_data[[#This Row],[Is_Fraud]]=1,"Yes","No")</f>
        <v>Yes</v>
      </c>
    </row>
    <row r="1886" spans="1:17" x14ac:dyDescent="0.2">
      <c r="A1886" t="s">
        <v>2408</v>
      </c>
      <c r="B1886" t="s">
        <v>2173</v>
      </c>
      <c r="C1886" s="1">
        <v>45370.5</v>
      </c>
      <c r="D1886">
        <v>8045.58</v>
      </c>
      <c r="E1886" t="s">
        <v>16</v>
      </c>
      <c r="F1886" t="s">
        <v>47</v>
      </c>
      <c r="G1886" t="s">
        <v>28</v>
      </c>
      <c r="H1886" t="s">
        <v>36</v>
      </c>
      <c r="I1886" t="s">
        <v>36</v>
      </c>
      <c r="J1886" t="s">
        <v>20</v>
      </c>
      <c r="K1886">
        <v>0</v>
      </c>
      <c r="L1886">
        <v>0</v>
      </c>
      <c r="M1886">
        <v>0.8</v>
      </c>
      <c r="N1886">
        <v>0</v>
      </c>
      <c r="O1886" t="str">
        <f>IF(financial_fraud_data[[#This Row],[Risk_Score]]&gt;8,"High",IF(financial_fraud_data[[#This Row],[Risk_Score]]&gt;5,"Med","Low"))</f>
        <v>Low</v>
      </c>
      <c r="P1886" t="str">
        <f>TEXT(financial_fraud_data[[#This Row],[Transaction_Date]],"MMM")</f>
        <v>Mar</v>
      </c>
      <c r="Q1886" t="str">
        <f>IF(financial_fraud_data[[#This Row],[Is_Fraud]]=1,"Yes","No")</f>
        <v>No</v>
      </c>
    </row>
    <row r="1887" spans="1:17" x14ac:dyDescent="0.2">
      <c r="A1887" t="s">
        <v>2409</v>
      </c>
      <c r="B1887" t="s">
        <v>433</v>
      </c>
      <c r="C1887" s="1">
        <v>45370.541666666664</v>
      </c>
      <c r="D1887">
        <v>23104.799999999999</v>
      </c>
      <c r="E1887" t="s">
        <v>42</v>
      </c>
      <c r="F1887" t="s">
        <v>47</v>
      </c>
      <c r="G1887" t="s">
        <v>65</v>
      </c>
      <c r="H1887" t="s">
        <v>23</v>
      </c>
      <c r="I1887" t="s">
        <v>24</v>
      </c>
      <c r="J1887" t="s">
        <v>51</v>
      </c>
      <c r="K1887">
        <v>0</v>
      </c>
      <c r="L1887">
        <v>1</v>
      </c>
      <c r="M1887">
        <v>4.8099999999999996</v>
      </c>
      <c r="N1887">
        <v>0</v>
      </c>
      <c r="O1887" t="str">
        <f>IF(financial_fraud_data[[#This Row],[Risk_Score]]&gt;8,"High",IF(financial_fraud_data[[#This Row],[Risk_Score]]&gt;5,"Med","Low"))</f>
        <v>Low</v>
      </c>
      <c r="P1887" t="str">
        <f>TEXT(financial_fraud_data[[#This Row],[Transaction_Date]],"MMM")</f>
        <v>Mar</v>
      </c>
      <c r="Q1887" t="str">
        <f>IF(financial_fraud_data[[#This Row],[Is_Fraud]]=1,"Yes","No")</f>
        <v>No</v>
      </c>
    </row>
    <row r="1888" spans="1:17" x14ac:dyDescent="0.2">
      <c r="A1888" t="s">
        <v>2410</v>
      </c>
      <c r="B1888" t="s">
        <v>1336</v>
      </c>
      <c r="C1888" s="1">
        <v>45370.583333333336</v>
      </c>
      <c r="D1888">
        <v>516.11</v>
      </c>
      <c r="E1888" t="s">
        <v>16</v>
      </c>
      <c r="F1888" t="s">
        <v>50</v>
      </c>
      <c r="G1888" t="s">
        <v>56</v>
      </c>
      <c r="H1888" t="s">
        <v>19</v>
      </c>
      <c r="I1888" t="s">
        <v>24</v>
      </c>
      <c r="J1888" t="s">
        <v>37</v>
      </c>
      <c r="K1888">
        <v>1</v>
      </c>
      <c r="L1888">
        <v>3</v>
      </c>
      <c r="M1888">
        <v>7.55</v>
      </c>
      <c r="N1888">
        <v>1</v>
      </c>
      <c r="O1888" t="str">
        <f>IF(financial_fraud_data[[#This Row],[Risk_Score]]&gt;8,"High",IF(financial_fraud_data[[#This Row],[Risk_Score]]&gt;5,"Med","Low"))</f>
        <v>Med</v>
      </c>
      <c r="P1888" t="str">
        <f>TEXT(financial_fraud_data[[#This Row],[Transaction_Date]],"MMM")</f>
        <v>Mar</v>
      </c>
      <c r="Q1888" t="str">
        <f>IF(financial_fraud_data[[#This Row],[Is_Fraud]]=1,"Yes","No")</f>
        <v>Yes</v>
      </c>
    </row>
    <row r="1889" spans="1:17" x14ac:dyDescent="0.2">
      <c r="A1889" t="s">
        <v>2411</v>
      </c>
      <c r="B1889" t="s">
        <v>671</v>
      </c>
      <c r="C1889" s="1">
        <v>45370.625</v>
      </c>
      <c r="D1889">
        <v>12371.61</v>
      </c>
      <c r="E1889" t="s">
        <v>42</v>
      </c>
      <c r="F1889" t="s">
        <v>50</v>
      </c>
      <c r="G1889" t="s">
        <v>65</v>
      </c>
      <c r="H1889" t="s">
        <v>19</v>
      </c>
      <c r="I1889" t="s">
        <v>29</v>
      </c>
      <c r="J1889" t="s">
        <v>20</v>
      </c>
      <c r="K1889">
        <v>1</v>
      </c>
      <c r="L1889">
        <v>2</v>
      </c>
      <c r="M1889">
        <v>7.24</v>
      </c>
      <c r="N1889">
        <v>1</v>
      </c>
      <c r="O1889" t="str">
        <f>IF(financial_fraud_data[[#This Row],[Risk_Score]]&gt;8,"High",IF(financial_fraud_data[[#This Row],[Risk_Score]]&gt;5,"Med","Low"))</f>
        <v>Med</v>
      </c>
      <c r="P1889" t="str">
        <f>TEXT(financial_fraud_data[[#This Row],[Transaction_Date]],"MMM")</f>
        <v>Mar</v>
      </c>
      <c r="Q1889" t="str">
        <f>IF(financial_fraud_data[[#This Row],[Is_Fraud]]=1,"Yes","No")</f>
        <v>Yes</v>
      </c>
    </row>
    <row r="1890" spans="1:17" x14ac:dyDescent="0.2">
      <c r="A1890" t="s">
        <v>2412</v>
      </c>
      <c r="B1890" t="s">
        <v>708</v>
      </c>
      <c r="C1890" s="1">
        <v>45370.666666666664</v>
      </c>
      <c r="D1890">
        <v>36336.76</v>
      </c>
      <c r="E1890" t="s">
        <v>34</v>
      </c>
      <c r="F1890" t="s">
        <v>50</v>
      </c>
      <c r="G1890" t="s">
        <v>35</v>
      </c>
      <c r="H1890" t="s">
        <v>23</v>
      </c>
      <c r="I1890" t="s">
        <v>24</v>
      </c>
      <c r="J1890" t="s">
        <v>20</v>
      </c>
      <c r="K1890">
        <v>0</v>
      </c>
      <c r="L1890">
        <v>0</v>
      </c>
      <c r="M1890">
        <v>4.63</v>
      </c>
      <c r="N1890">
        <v>0</v>
      </c>
      <c r="O1890" t="str">
        <f>IF(financial_fraud_data[[#This Row],[Risk_Score]]&gt;8,"High",IF(financial_fraud_data[[#This Row],[Risk_Score]]&gt;5,"Med","Low"))</f>
        <v>Low</v>
      </c>
      <c r="P1890" t="str">
        <f>TEXT(financial_fraud_data[[#This Row],[Transaction_Date]],"MMM")</f>
        <v>Mar</v>
      </c>
      <c r="Q1890" t="str">
        <f>IF(financial_fraud_data[[#This Row],[Is_Fraud]]=1,"Yes","No")</f>
        <v>No</v>
      </c>
    </row>
    <row r="1891" spans="1:17" x14ac:dyDescent="0.2">
      <c r="A1891" t="s">
        <v>2413</v>
      </c>
      <c r="B1891" t="s">
        <v>79</v>
      </c>
      <c r="C1891" s="1">
        <v>45370.708333333336</v>
      </c>
      <c r="D1891">
        <v>49590.91</v>
      </c>
      <c r="E1891" t="s">
        <v>80</v>
      </c>
      <c r="F1891" t="s">
        <v>27</v>
      </c>
      <c r="G1891" t="s">
        <v>65</v>
      </c>
      <c r="H1891" t="s">
        <v>36</v>
      </c>
      <c r="I1891" t="s">
        <v>19</v>
      </c>
      <c r="J1891" t="s">
        <v>37</v>
      </c>
      <c r="K1891">
        <v>0</v>
      </c>
      <c r="L1891">
        <v>3</v>
      </c>
      <c r="M1891">
        <v>10.46</v>
      </c>
      <c r="N1891">
        <v>1</v>
      </c>
      <c r="O1891" t="str">
        <f>IF(financial_fraud_data[[#This Row],[Risk_Score]]&gt;8,"High",IF(financial_fraud_data[[#This Row],[Risk_Score]]&gt;5,"Med","Low"))</f>
        <v>High</v>
      </c>
      <c r="P1891" t="str">
        <f>TEXT(financial_fraud_data[[#This Row],[Transaction_Date]],"MMM")</f>
        <v>Mar</v>
      </c>
      <c r="Q1891" t="str">
        <f>IF(financial_fraud_data[[#This Row],[Is_Fraud]]=1,"Yes","No")</f>
        <v>Yes</v>
      </c>
    </row>
    <row r="1892" spans="1:17" x14ac:dyDescent="0.2">
      <c r="A1892" t="s">
        <v>2414</v>
      </c>
      <c r="B1892" t="s">
        <v>125</v>
      </c>
      <c r="C1892" s="1">
        <v>45370.75</v>
      </c>
      <c r="D1892">
        <v>5003.95</v>
      </c>
      <c r="E1892" t="s">
        <v>34</v>
      </c>
      <c r="F1892" t="s">
        <v>47</v>
      </c>
      <c r="G1892" t="s">
        <v>56</v>
      </c>
      <c r="H1892" t="s">
        <v>19</v>
      </c>
      <c r="I1892" t="s">
        <v>24</v>
      </c>
      <c r="J1892" t="s">
        <v>20</v>
      </c>
      <c r="K1892">
        <v>0</v>
      </c>
      <c r="L1892">
        <v>4</v>
      </c>
      <c r="M1892">
        <v>7.5</v>
      </c>
      <c r="N1892">
        <v>1</v>
      </c>
      <c r="O1892" t="str">
        <f>IF(financial_fraud_data[[#This Row],[Risk_Score]]&gt;8,"High",IF(financial_fraud_data[[#This Row],[Risk_Score]]&gt;5,"Med","Low"))</f>
        <v>Med</v>
      </c>
      <c r="P1892" t="str">
        <f>TEXT(financial_fraud_data[[#This Row],[Transaction_Date]],"MMM")</f>
        <v>Mar</v>
      </c>
      <c r="Q1892" t="str">
        <f>IF(financial_fraud_data[[#This Row],[Is_Fraud]]=1,"Yes","No")</f>
        <v>Yes</v>
      </c>
    </row>
    <row r="1893" spans="1:17" x14ac:dyDescent="0.2">
      <c r="A1893" t="s">
        <v>2415</v>
      </c>
      <c r="B1893" t="s">
        <v>310</v>
      </c>
      <c r="C1893" s="1">
        <v>45370.791666666664</v>
      </c>
      <c r="D1893">
        <v>20104.64</v>
      </c>
      <c r="E1893" t="s">
        <v>80</v>
      </c>
      <c r="F1893" t="s">
        <v>27</v>
      </c>
      <c r="G1893" t="s">
        <v>18</v>
      </c>
      <c r="H1893" t="s">
        <v>19</v>
      </c>
      <c r="I1893" t="s">
        <v>24</v>
      </c>
      <c r="J1893" t="s">
        <v>51</v>
      </c>
      <c r="K1893">
        <v>0</v>
      </c>
      <c r="L1893">
        <v>1</v>
      </c>
      <c r="M1893">
        <v>4.51</v>
      </c>
      <c r="N1893">
        <v>0</v>
      </c>
      <c r="O1893" t="str">
        <f>IF(financial_fraud_data[[#This Row],[Risk_Score]]&gt;8,"High",IF(financial_fraud_data[[#This Row],[Risk_Score]]&gt;5,"Med","Low"))</f>
        <v>Low</v>
      </c>
      <c r="P1893" t="str">
        <f>TEXT(financial_fraud_data[[#This Row],[Transaction_Date]],"MMM")</f>
        <v>Mar</v>
      </c>
      <c r="Q1893" t="str">
        <f>IF(financial_fraud_data[[#This Row],[Is_Fraud]]=1,"Yes","No")</f>
        <v>No</v>
      </c>
    </row>
    <row r="1894" spans="1:17" x14ac:dyDescent="0.2">
      <c r="A1894" t="s">
        <v>2416</v>
      </c>
      <c r="B1894" t="s">
        <v>868</v>
      </c>
      <c r="C1894" s="1">
        <v>45370.833333333336</v>
      </c>
      <c r="D1894">
        <v>40013.54</v>
      </c>
      <c r="E1894" t="s">
        <v>42</v>
      </c>
      <c r="F1894" t="s">
        <v>27</v>
      </c>
      <c r="G1894" t="s">
        <v>65</v>
      </c>
      <c r="H1894" t="s">
        <v>36</v>
      </c>
      <c r="I1894" t="s">
        <v>24</v>
      </c>
      <c r="J1894" t="s">
        <v>37</v>
      </c>
      <c r="K1894">
        <v>0</v>
      </c>
      <c r="L1894">
        <v>0</v>
      </c>
      <c r="M1894">
        <v>5</v>
      </c>
      <c r="N1894">
        <v>0</v>
      </c>
      <c r="O1894" t="str">
        <f>IF(financial_fraud_data[[#This Row],[Risk_Score]]&gt;8,"High",IF(financial_fraud_data[[#This Row],[Risk_Score]]&gt;5,"Med","Low"))</f>
        <v>Low</v>
      </c>
      <c r="P1894" t="str">
        <f>TEXT(financial_fraud_data[[#This Row],[Transaction_Date]],"MMM")</f>
        <v>Mar</v>
      </c>
      <c r="Q1894" t="str">
        <f>IF(financial_fraud_data[[#This Row],[Is_Fraud]]=1,"Yes","No")</f>
        <v>No</v>
      </c>
    </row>
    <row r="1895" spans="1:17" x14ac:dyDescent="0.2">
      <c r="A1895" t="s">
        <v>2417</v>
      </c>
      <c r="B1895" t="s">
        <v>257</v>
      </c>
      <c r="C1895" s="1">
        <v>45370.875</v>
      </c>
      <c r="D1895">
        <v>10241.58</v>
      </c>
      <c r="E1895" t="s">
        <v>80</v>
      </c>
      <c r="F1895" t="s">
        <v>17</v>
      </c>
      <c r="G1895" t="s">
        <v>28</v>
      </c>
      <c r="H1895" t="s">
        <v>36</v>
      </c>
      <c r="I1895" t="s">
        <v>36</v>
      </c>
      <c r="J1895" t="s">
        <v>51</v>
      </c>
      <c r="K1895">
        <v>0</v>
      </c>
      <c r="L1895">
        <v>0</v>
      </c>
      <c r="M1895">
        <v>1.02</v>
      </c>
      <c r="N1895">
        <v>0</v>
      </c>
      <c r="O1895" t="str">
        <f>IF(financial_fraud_data[[#This Row],[Risk_Score]]&gt;8,"High",IF(financial_fraud_data[[#This Row],[Risk_Score]]&gt;5,"Med","Low"))</f>
        <v>Low</v>
      </c>
      <c r="P1895" t="str">
        <f>TEXT(financial_fraud_data[[#This Row],[Transaction_Date]],"MMM")</f>
        <v>Mar</v>
      </c>
      <c r="Q1895" t="str">
        <f>IF(financial_fraud_data[[#This Row],[Is_Fraud]]=1,"Yes","No")</f>
        <v>No</v>
      </c>
    </row>
    <row r="1896" spans="1:17" x14ac:dyDescent="0.2">
      <c r="A1896" t="s">
        <v>2418</v>
      </c>
      <c r="B1896" t="s">
        <v>1443</v>
      </c>
      <c r="C1896" s="1">
        <v>45370.916666666664</v>
      </c>
      <c r="D1896">
        <v>27776.49</v>
      </c>
      <c r="E1896" t="s">
        <v>34</v>
      </c>
      <c r="F1896" t="s">
        <v>47</v>
      </c>
      <c r="G1896" t="s">
        <v>18</v>
      </c>
      <c r="H1896" t="s">
        <v>23</v>
      </c>
      <c r="I1896" t="s">
        <v>29</v>
      </c>
      <c r="J1896" t="s">
        <v>37</v>
      </c>
      <c r="K1896">
        <v>0</v>
      </c>
      <c r="L1896">
        <v>2</v>
      </c>
      <c r="M1896">
        <v>6.78</v>
      </c>
      <c r="N1896">
        <v>1</v>
      </c>
      <c r="O1896" t="str">
        <f>IF(financial_fraud_data[[#This Row],[Risk_Score]]&gt;8,"High",IF(financial_fraud_data[[#This Row],[Risk_Score]]&gt;5,"Med","Low"))</f>
        <v>Med</v>
      </c>
      <c r="P1896" t="str">
        <f>TEXT(financial_fraud_data[[#This Row],[Transaction_Date]],"MMM")</f>
        <v>Mar</v>
      </c>
      <c r="Q1896" t="str">
        <f>IF(financial_fraud_data[[#This Row],[Is_Fraud]]=1,"Yes","No")</f>
        <v>Yes</v>
      </c>
    </row>
    <row r="1897" spans="1:17" x14ac:dyDescent="0.2">
      <c r="A1897" t="s">
        <v>2419</v>
      </c>
      <c r="B1897" t="s">
        <v>746</v>
      </c>
      <c r="C1897" s="1">
        <v>45370.958333333336</v>
      </c>
      <c r="D1897">
        <v>36666.910000000003</v>
      </c>
      <c r="E1897" t="s">
        <v>80</v>
      </c>
      <c r="F1897" t="s">
        <v>47</v>
      </c>
      <c r="G1897" t="s">
        <v>28</v>
      </c>
      <c r="H1897" t="s">
        <v>29</v>
      </c>
      <c r="I1897" t="s">
        <v>23</v>
      </c>
      <c r="J1897" t="s">
        <v>37</v>
      </c>
      <c r="K1897">
        <v>0</v>
      </c>
      <c r="L1897">
        <v>0</v>
      </c>
      <c r="M1897">
        <v>4.67</v>
      </c>
      <c r="N1897">
        <v>0</v>
      </c>
      <c r="O1897" t="str">
        <f>IF(financial_fraud_data[[#This Row],[Risk_Score]]&gt;8,"High",IF(financial_fraud_data[[#This Row],[Risk_Score]]&gt;5,"Med","Low"))</f>
        <v>Low</v>
      </c>
      <c r="P1897" t="str">
        <f>TEXT(financial_fraud_data[[#This Row],[Transaction_Date]],"MMM")</f>
        <v>Mar</v>
      </c>
      <c r="Q1897" t="str">
        <f>IF(financial_fraud_data[[#This Row],[Is_Fraud]]=1,"Yes","No")</f>
        <v>No</v>
      </c>
    </row>
    <row r="1898" spans="1:17" x14ac:dyDescent="0.2">
      <c r="A1898" t="s">
        <v>2420</v>
      </c>
      <c r="B1898" t="s">
        <v>671</v>
      </c>
      <c r="C1898" s="1">
        <v>45371</v>
      </c>
      <c r="D1898">
        <v>30818.47</v>
      </c>
      <c r="E1898" t="s">
        <v>42</v>
      </c>
      <c r="F1898" t="s">
        <v>50</v>
      </c>
      <c r="G1898" t="s">
        <v>28</v>
      </c>
      <c r="H1898" t="s">
        <v>24</v>
      </c>
      <c r="I1898" t="s">
        <v>29</v>
      </c>
      <c r="J1898" t="s">
        <v>37</v>
      </c>
      <c r="K1898">
        <v>1</v>
      </c>
      <c r="L1898">
        <v>3</v>
      </c>
      <c r="M1898">
        <v>10.58</v>
      </c>
      <c r="N1898">
        <v>1</v>
      </c>
      <c r="O1898" t="str">
        <f>IF(financial_fraud_data[[#This Row],[Risk_Score]]&gt;8,"High",IF(financial_fraud_data[[#This Row],[Risk_Score]]&gt;5,"Med","Low"))</f>
        <v>High</v>
      </c>
      <c r="P1898" t="str">
        <f>TEXT(financial_fraud_data[[#This Row],[Transaction_Date]],"MMM")</f>
        <v>Mar</v>
      </c>
      <c r="Q1898" t="str">
        <f>IF(financial_fraud_data[[#This Row],[Is_Fraud]]=1,"Yes","No")</f>
        <v>Yes</v>
      </c>
    </row>
    <row r="1899" spans="1:17" x14ac:dyDescent="0.2">
      <c r="A1899" t="s">
        <v>2421</v>
      </c>
      <c r="B1899" t="s">
        <v>2422</v>
      </c>
      <c r="C1899" s="1">
        <v>45371.041666666664</v>
      </c>
      <c r="D1899">
        <v>9441.84</v>
      </c>
      <c r="E1899" t="s">
        <v>80</v>
      </c>
      <c r="F1899" t="s">
        <v>50</v>
      </c>
      <c r="G1899" t="s">
        <v>28</v>
      </c>
      <c r="H1899" t="s">
        <v>29</v>
      </c>
      <c r="I1899" t="s">
        <v>19</v>
      </c>
      <c r="J1899" t="s">
        <v>20</v>
      </c>
      <c r="K1899">
        <v>0</v>
      </c>
      <c r="L1899">
        <v>3</v>
      </c>
      <c r="M1899">
        <v>6.44</v>
      </c>
      <c r="N1899">
        <v>1</v>
      </c>
      <c r="O1899" t="str">
        <f>IF(financial_fraud_data[[#This Row],[Risk_Score]]&gt;8,"High",IF(financial_fraud_data[[#This Row],[Risk_Score]]&gt;5,"Med","Low"))</f>
        <v>Med</v>
      </c>
      <c r="P1899" t="str">
        <f>TEXT(financial_fraud_data[[#This Row],[Transaction_Date]],"MMM")</f>
        <v>Mar</v>
      </c>
      <c r="Q1899" t="str">
        <f>IF(financial_fraud_data[[#This Row],[Is_Fraud]]=1,"Yes","No")</f>
        <v>Yes</v>
      </c>
    </row>
    <row r="1900" spans="1:17" x14ac:dyDescent="0.2">
      <c r="A1900" t="s">
        <v>2423</v>
      </c>
      <c r="B1900" t="s">
        <v>205</v>
      </c>
      <c r="C1900" s="1">
        <v>45371.083333333336</v>
      </c>
      <c r="D1900">
        <v>17801.46</v>
      </c>
      <c r="E1900" t="s">
        <v>16</v>
      </c>
      <c r="F1900" t="s">
        <v>17</v>
      </c>
      <c r="G1900" t="s">
        <v>65</v>
      </c>
      <c r="H1900" t="s">
        <v>29</v>
      </c>
      <c r="I1900" t="s">
        <v>36</v>
      </c>
      <c r="J1900" t="s">
        <v>37</v>
      </c>
      <c r="K1900">
        <v>0</v>
      </c>
      <c r="L1900">
        <v>3</v>
      </c>
      <c r="M1900">
        <v>7.28</v>
      </c>
      <c r="N1900">
        <v>1</v>
      </c>
      <c r="O1900" t="str">
        <f>IF(financial_fraud_data[[#This Row],[Risk_Score]]&gt;8,"High",IF(financial_fraud_data[[#This Row],[Risk_Score]]&gt;5,"Med","Low"))</f>
        <v>Med</v>
      </c>
      <c r="P1900" t="str">
        <f>TEXT(financial_fraud_data[[#This Row],[Transaction_Date]],"MMM")</f>
        <v>Mar</v>
      </c>
      <c r="Q1900" t="str">
        <f>IF(financial_fraud_data[[#This Row],[Is_Fraud]]=1,"Yes","No")</f>
        <v>Yes</v>
      </c>
    </row>
    <row r="1901" spans="1:17" x14ac:dyDescent="0.2">
      <c r="A1901" t="s">
        <v>2424</v>
      </c>
      <c r="B1901" t="s">
        <v>1237</v>
      </c>
      <c r="C1901" s="1">
        <v>45371.125</v>
      </c>
      <c r="D1901">
        <v>39200.400000000001</v>
      </c>
      <c r="E1901" t="s">
        <v>34</v>
      </c>
      <c r="F1901" t="s">
        <v>27</v>
      </c>
      <c r="G1901" t="s">
        <v>35</v>
      </c>
      <c r="H1901" t="s">
        <v>19</v>
      </c>
      <c r="I1901" t="s">
        <v>36</v>
      </c>
      <c r="J1901" t="s">
        <v>37</v>
      </c>
      <c r="K1901">
        <v>0</v>
      </c>
      <c r="L1901">
        <v>4</v>
      </c>
      <c r="M1901">
        <v>10.92</v>
      </c>
      <c r="N1901">
        <v>1</v>
      </c>
      <c r="O1901" t="str">
        <f>IF(financial_fraud_data[[#This Row],[Risk_Score]]&gt;8,"High",IF(financial_fraud_data[[#This Row],[Risk_Score]]&gt;5,"Med","Low"))</f>
        <v>High</v>
      </c>
      <c r="P1901" t="str">
        <f>TEXT(financial_fraud_data[[#This Row],[Transaction_Date]],"MMM")</f>
        <v>Mar</v>
      </c>
      <c r="Q1901" t="str">
        <f>IF(financial_fraud_data[[#This Row],[Is_Fraud]]=1,"Yes","No")</f>
        <v>Yes</v>
      </c>
    </row>
    <row r="1902" spans="1:17" x14ac:dyDescent="0.2">
      <c r="A1902" t="s">
        <v>2425</v>
      </c>
      <c r="B1902" t="s">
        <v>280</v>
      </c>
      <c r="C1902" s="1">
        <v>45371.166666666664</v>
      </c>
      <c r="D1902">
        <v>27733.61</v>
      </c>
      <c r="E1902" t="s">
        <v>16</v>
      </c>
      <c r="F1902" t="s">
        <v>50</v>
      </c>
      <c r="G1902" t="s">
        <v>18</v>
      </c>
      <c r="H1902" t="s">
        <v>36</v>
      </c>
      <c r="I1902" t="s">
        <v>24</v>
      </c>
      <c r="J1902" t="s">
        <v>37</v>
      </c>
      <c r="K1902">
        <v>0</v>
      </c>
      <c r="L1902">
        <v>4</v>
      </c>
      <c r="M1902">
        <v>9.77</v>
      </c>
      <c r="N1902">
        <v>1</v>
      </c>
      <c r="O1902" t="str">
        <f>IF(financial_fraud_data[[#This Row],[Risk_Score]]&gt;8,"High",IF(financial_fraud_data[[#This Row],[Risk_Score]]&gt;5,"Med","Low"))</f>
        <v>High</v>
      </c>
      <c r="P1902" t="str">
        <f>TEXT(financial_fraud_data[[#This Row],[Transaction_Date]],"MMM")</f>
        <v>Mar</v>
      </c>
      <c r="Q1902" t="str">
        <f>IF(financial_fraud_data[[#This Row],[Is_Fraud]]=1,"Yes","No")</f>
        <v>Yes</v>
      </c>
    </row>
    <row r="1903" spans="1:17" x14ac:dyDescent="0.2">
      <c r="A1903" t="s">
        <v>2426</v>
      </c>
      <c r="B1903" t="s">
        <v>1473</v>
      </c>
      <c r="C1903" s="1">
        <v>45371.208333333336</v>
      </c>
      <c r="D1903">
        <v>311.22000000000003</v>
      </c>
      <c r="E1903" t="s">
        <v>42</v>
      </c>
      <c r="F1903" t="s">
        <v>50</v>
      </c>
      <c r="G1903" t="s">
        <v>56</v>
      </c>
      <c r="H1903" t="s">
        <v>19</v>
      </c>
      <c r="I1903" t="s">
        <v>24</v>
      </c>
      <c r="J1903" t="s">
        <v>51</v>
      </c>
      <c r="K1903">
        <v>0</v>
      </c>
      <c r="L1903">
        <v>0</v>
      </c>
      <c r="M1903">
        <v>1.03</v>
      </c>
      <c r="N1903">
        <v>0</v>
      </c>
      <c r="O1903" t="str">
        <f>IF(financial_fraud_data[[#This Row],[Risk_Score]]&gt;8,"High",IF(financial_fraud_data[[#This Row],[Risk_Score]]&gt;5,"Med","Low"))</f>
        <v>Low</v>
      </c>
      <c r="P1903" t="str">
        <f>TEXT(financial_fraud_data[[#This Row],[Transaction_Date]],"MMM")</f>
        <v>Mar</v>
      </c>
      <c r="Q1903" t="str">
        <f>IF(financial_fraud_data[[#This Row],[Is_Fraud]]=1,"Yes","No")</f>
        <v>No</v>
      </c>
    </row>
    <row r="1904" spans="1:17" x14ac:dyDescent="0.2">
      <c r="A1904" t="s">
        <v>2427</v>
      </c>
      <c r="B1904" t="s">
        <v>669</v>
      </c>
      <c r="C1904" s="1">
        <v>45371.25</v>
      </c>
      <c r="D1904">
        <v>38061.49</v>
      </c>
      <c r="E1904" t="s">
        <v>80</v>
      </c>
      <c r="F1904" t="s">
        <v>47</v>
      </c>
      <c r="G1904" t="s">
        <v>35</v>
      </c>
      <c r="H1904" t="s">
        <v>24</v>
      </c>
      <c r="I1904" t="s">
        <v>19</v>
      </c>
      <c r="J1904" t="s">
        <v>37</v>
      </c>
      <c r="K1904">
        <v>0</v>
      </c>
      <c r="L1904">
        <v>4</v>
      </c>
      <c r="M1904">
        <v>10.81</v>
      </c>
      <c r="N1904">
        <v>1</v>
      </c>
      <c r="O1904" t="str">
        <f>IF(financial_fraud_data[[#This Row],[Risk_Score]]&gt;8,"High",IF(financial_fraud_data[[#This Row],[Risk_Score]]&gt;5,"Med","Low"))</f>
        <v>High</v>
      </c>
      <c r="P1904" t="str">
        <f>TEXT(financial_fraud_data[[#This Row],[Transaction_Date]],"MMM")</f>
        <v>Mar</v>
      </c>
      <c r="Q1904" t="str">
        <f>IF(financial_fraud_data[[#This Row],[Is_Fraud]]=1,"Yes","No")</f>
        <v>Yes</v>
      </c>
    </row>
    <row r="1905" spans="1:17" x14ac:dyDescent="0.2">
      <c r="A1905" t="s">
        <v>2428</v>
      </c>
      <c r="B1905" t="s">
        <v>383</v>
      </c>
      <c r="C1905" s="1">
        <v>45371.291666666664</v>
      </c>
      <c r="D1905">
        <v>1813.8</v>
      </c>
      <c r="E1905" t="s">
        <v>16</v>
      </c>
      <c r="F1905" t="s">
        <v>47</v>
      </c>
      <c r="G1905" t="s">
        <v>65</v>
      </c>
      <c r="H1905" t="s">
        <v>23</v>
      </c>
      <c r="I1905" t="s">
        <v>36</v>
      </c>
      <c r="J1905" t="s">
        <v>20</v>
      </c>
      <c r="K1905">
        <v>1</v>
      </c>
      <c r="L1905">
        <v>4</v>
      </c>
      <c r="M1905">
        <v>9.18</v>
      </c>
      <c r="N1905">
        <v>1</v>
      </c>
      <c r="O1905" t="str">
        <f>IF(financial_fraud_data[[#This Row],[Risk_Score]]&gt;8,"High",IF(financial_fraud_data[[#This Row],[Risk_Score]]&gt;5,"Med","Low"))</f>
        <v>High</v>
      </c>
      <c r="P1905" t="str">
        <f>TEXT(financial_fraud_data[[#This Row],[Transaction_Date]],"MMM")</f>
        <v>Mar</v>
      </c>
      <c r="Q1905" t="str">
        <f>IF(financial_fraud_data[[#This Row],[Is_Fraud]]=1,"Yes","No")</f>
        <v>Yes</v>
      </c>
    </row>
    <row r="1906" spans="1:17" x14ac:dyDescent="0.2">
      <c r="A1906" t="s">
        <v>2429</v>
      </c>
      <c r="B1906" t="s">
        <v>606</v>
      </c>
      <c r="C1906" s="1">
        <v>45371.333333333336</v>
      </c>
      <c r="D1906">
        <v>37299.4</v>
      </c>
      <c r="E1906" t="s">
        <v>16</v>
      </c>
      <c r="F1906" t="s">
        <v>50</v>
      </c>
      <c r="G1906" t="s">
        <v>28</v>
      </c>
      <c r="H1906" t="s">
        <v>24</v>
      </c>
      <c r="I1906" t="s">
        <v>23</v>
      </c>
      <c r="J1906" t="s">
        <v>37</v>
      </c>
      <c r="K1906">
        <v>0</v>
      </c>
      <c r="L1906">
        <v>2</v>
      </c>
      <c r="M1906">
        <v>7.73</v>
      </c>
      <c r="N1906">
        <v>1</v>
      </c>
      <c r="O1906" t="str">
        <f>IF(financial_fraud_data[[#This Row],[Risk_Score]]&gt;8,"High",IF(financial_fraud_data[[#This Row],[Risk_Score]]&gt;5,"Med","Low"))</f>
        <v>Med</v>
      </c>
      <c r="P1906" t="str">
        <f>TEXT(financial_fraud_data[[#This Row],[Transaction_Date]],"MMM")</f>
        <v>Mar</v>
      </c>
      <c r="Q1906" t="str">
        <f>IF(financial_fraud_data[[#This Row],[Is_Fraud]]=1,"Yes","No")</f>
        <v>Yes</v>
      </c>
    </row>
    <row r="1907" spans="1:17" x14ac:dyDescent="0.2">
      <c r="A1907" t="s">
        <v>2430</v>
      </c>
      <c r="B1907" t="s">
        <v>599</v>
      </c>
      <c r="C1907" s="1">
        <v>45371.375</v>
      </c>
      <c r="D1907">
        <v>10163.9</v>
      </c>
      <c r="E1907" t="s">
        <v>80</v>
      </c>
      <c r="F1907" t="s">
        <v>47</v>
      </c>
      <c r="G1907" t="s">
        <v>56</v>
      </c>
      <c r="H1907" t="s">
        <v>19</v>
      </c>
      <c r="I1907" t="s">
        <v>29</v>
      </c>
      <c r="J1907" t="s">
        <v>37</v>
      </c>
      <c r="K1907">
        <v>0</v>
      </c>
      <c r="L1907">
        <v>4</v>
      </c>
      <c r="M1907">
        <v>8.02</v>
      </c>
      <c r="N1907">
        <v>1</v>
      </c>
      <c r="O1907" t="str">
        <f>IF(financial_fraud_data[[#This Row],[Risk_Score]]&gt;8,"High",IF(financial_fraud_data[[#This Row],[Risk_Score]]&gt;5,"Med","Low"))</f>
        <v>High</v>
      </c>
      <c r="P1907" t="str">
        <f>TEXT(financial_fraud_data[[#This Row],[Transaction_Date]],"MMM")</f>
        <v>Mar</v>
      </c>
      <c r="Q1907" t="str">
        <f>IF(financial_fraud_data[[#This Row],[Is_Fraud]]=1,"Yes","No")</f>
        <v>Yes</v>
      </c>
    </row>
    <row r="1908" spans="1:17" x14ac:dyDescent="0.2">
      <c r="A1908" t="s">
        <v>2431</v>
      </c>
      <c r="B1908" t="s">
        <v>891</v>
      </c>
      <c r="C1908" s="1">
        <v>45371.416666666664</v>
      </c>
      <c r="D1908">
        <v>47905.77</v>
      </c>
      <c r="E1908" t="s">
        <v>80</v>
      </c>
      <c r="F1908" t="s">
        <v>17</v>
      </c>
      <c r="G1908" t="s">
        <v>18</v>
      </c>
      <c r="H1908" t="s">
        <v>19</v>
      </c>
      <c r="I1908" t="s">
        <v>36</v>
      </c>
      <c r="J1908" t="s">
        <v>51</v>
      </c>
      <c r="K1908">
        <v>0</v>
      </c>
      <c r="L1908">
        <v>1</v>
      </c>
      <c r="M1908">
        <v>7.29</v>
      </c>
      <c r="N1908">
        <v>1</v>
      </c>
      <c r="O1908" t="str">
        <f>IF(financial_fraud_data[[#This Row],[Risk_Score]]&gt;8,"High",IF(financial_fraud_data[[#This Row],[Risk_Score]]&gt;5,"Med","Low"))</f>
        <v>Med</v>
      </c>
      <c r="P1908" t="str">
        <f>TEXT(financial_fraud_data[[#This Row],[Transaction_Date]],"MMM")</f>
        <v>Mar</v>
      </c>
      <c r="Q1908" t="str">
        <f>IF(financial_fraud_data[[#This Row],[Is_Fraud]]=1,"Yes","No")</f>
        <v>Yes</v>
      </c>
    </row>
    <row r="1909" spans="1:17" x14ac:dyDescent="0.2">
      <c r="A1909" t="s">
        <v>2432</v>
      </c>
      <c r="B1909" t="s">
        <v>1389</v>
      </c>
      <c r="C1909" s="1">
        <v>45371.458333333336</v>
      </c>
      <c r="D1909">
        <v>18428.64</v>
      </c>
      <c r="E1909" t="s">
        <v>34</v>
      </c>
      <c r="F1909" t="s">
        <v>50</v>
      </c>
      <c r="G1909" t="s">
        <v>35</v>
      </c>
      <c r="H1909" t="s">
        <v>19</v>
      </c>
      <c r="I1909" t="s">
        <v>23</v>
      </c>
      <c r="J1909" t="s">
        <v>20</v>
      </c>
      <c r="K1909">
        <v>0</v>
      </c>
      <c r="L1909">
        <v>1</v>
      </c>
      <c r="M1909">
        <v>4.34</v>
      </c>
      <c r="N1909">
        <v>0</v>
      </c>
      <c r="O1909" t="str">
        <f>IF(financial_fraud_data[[#This Row],[Risk_Score]]&gt;8,"High",IF(financial_fraud_data[[#This Row],[Risk_Score]]&gt;5,"Med","Low"))</f>
        <v>Low</v>
      </c>
      <c r="P1909" t="str">
        <f>TEXT(financial_fraud_data[[#This Row],[Transaction_Date]],"MMM")</f>
        <v>Mar</v>
      </c>
      <c r="Q1909" t="str">
        <f>IF(financial_fraud_data[[#This Row],[Is_Fraud]]=1,"Yes","No")</f>
        <v>No</v>
      </c>
    </row>
    <row r="1910" spans="1:17" x14ac:dyDescent="0.2">
      <c r="A1910" t="s">
        <v>2433</v>
      </c>
      <c r="B1910" t="s">
        <v>2434</v>
      </c>
      <c r="C1910" s="1">
        <v>45371.5</v>
      </c>
      <c r="D1910">
        <v>16380.23</v>
      </c>
      <c r="E1910" t="s">
        <v>16</v>
      </c>
      <c r="F1910" t="s">
        <v>47</v>
      </c>
      <c r="G1910" t="s">
        <v>35</v>
      </c>
      <c r="H1910" t="s">
        <v>19</v>
      </c>
      <c r="I1910" t="s">
        <v>23</v>
      </c>
      <c r="J1910" t="s">
        <v>20</v>
      </c>
      <c r="K1910">
        <v>0</v>
      </c>
      <c r="L1910">
        <v>1</v>
      </c>
      <c r="M1910">
        <v>4.1399999999999997</v>
      </c>
      <c r="N1910">
        <v>0</v>
      </c>
      <c r="O1910" t="str">
        <f>IF(financial_fraud_data[[#This Row],[Risk_Score]]&gt;8,"High",IF(financial_fraud_data[[#This Row],[Risk_Score]]&gt;5,"Med","Low"))</f>
        <v>Low</v>
      </c>
      <c r="P1910" t="str">
        <f>TEXT(financial_fraud_data[[#This Row],[Transaction_Date]],"MMM")</f>
        <v>Mar</v>
      </c>
      <c r="Q1910" t="str">
        <f>IF(financial_fraud_data[[#This Row],[Is_Fraud]]=1,"Yes","No")</f>
        <v>No</v>
      </c>
    </row>
    <row r="1911" spans="1:17" x14ac:dyDescent="0.2">
      <c r="A1911" t="s">
        <v>2435</v>
      </c>
      <c r="B1911" t="s">
        <v>119</v>
      </c>
      <c r="C1911" s="1">
        <v>45371.541666666664</v>
      </c>
      <c r="D1911">
        <v>7486.96</v>
      </c>
      <c r="E1911" t="s">
        <v>16</v>
      </c>
      <c r="F1911" t="s">
        <v>17</v>
      </c>
      <c r="G1911" t="s">
        <v>56</v>
      </c>
      <c r="H1911" t="s">
        <v>29</v>
      </c>
      <c r="I1911" t="s">
        <v>29</v>
      </c>
      <c r="J1911" t="s">
        <v>20</v>
      </c>
      <c r="K1911">
        <v>0</v>
      </c>
      <c r="L1911">
        <v>0</v>
      </c>
      <c r="M1911">
        <v>0.75</v>
      </c>
      <c r="N1911">
        <v>0</v>
      </c>
      <c r="O1911" t="str">
        <f>IF(financial_fraud_data[[#This Row],[Risk_Score]]&gt;8,"High",IF(financial_fraud_data[[#This Row],[Risk_Score]]&gt;5,"Med","Low"))</f>
        <v>Low</v>
      </c>
      <c r="P1911" t="str">
        <f>TEXT(financial_fraud_data[[#This Row],[Transaction_Date]],"MMM")</f>
        <v>Mar</v>
      </c>
      <c r="Q1911" t="str">
        <f>IF(financial_fraud_data[[#This Row],[Is_Fraud]]=1,"Yes","No")</f>
        <v>No</v>
      </c>
    </row>
    <row r="1912" spans="1:17" x14ac:dyDescent="0.2">
      <c r="A1912" t="s">
        <v>2436</v>
      </c>
      <c r="B1912" t="s">
        <v>586</v>
      </c>
      <c r="C1912" s="1">
        <v>45371.583333333336</v>
      </c>
      <c r="D1912">
        <v>15314.93</v>
      </c>
      <c r="E1912" t="s">
        <v>42</v>
      </c>
      <c r="F1912" t="s">
        <v>47</v>
      </c>
      <c r="G1912" t="s">
        <v>65</v>
      </c>
      <c r="H1912" t="s">
        <v>23</v>
      </c>
      <c r="I1912" t="s">
        <v>23</v>
      </c>
      <c r="J1912" t="s">
        <v>37</v>
      </c>
      <c r="K1912">
        <v>0</v>
      </c>
      <c r="L1912">
        <v>3</v>
      </c>
      <c r="M1912">
        <v>6.03</v>
      </c>
      <c r="N1912">
        <v>1</v>
      </c>
      <c r="O1912" t="str">
        <f>IF(financial_fraud_data[[#This Row],[Risk_Score]]&gt;8,"High",IF(financial_fraud_data[[#This Row],[Risk_Score]]&gt;5,"Med","Low"))</f>
        <v>Med</v>
      </c>
      <c r="P1912" t="str">
        <f>TEXT(financial_fraud_data[[#This Row],[Transaction_Date]],"MMM")</f>
        <v>Mar</v>
      </c>
      <c r="Q1912" t="str">
        <f>IF(financial_fraud_data[[#This Row],[Is_Fraud]]=1,"Yes","No")</f>
        <v>Yes</v>
      </c>
    </row>
    <row r="1913" spans="1:17" x14ac:dyDescent="0.2">
      <c r="A1913" t="s">
        <v>2437</v>
      </c>
      <c r="B1913" t="s">
        <v>433</v>
      </c>
      <c r="C1913" s="1">
        <v>45371.625</v>
      </c>
      <c r="D1913">
        <v>43838.71</v>
      </c>
      <c r="E1913" t="s">
        <v>34</v>
      </c>
      <c r="F1913" t="s">
        <v>47</v>
      </c>
      <c r="G1913" t="s">
        <v>18</v>
      </c>
      <c r="H1913" t="s">
        <v>29</v>
      </c>
      <c r="I1913" t="s">
        <v>19</v>
      </c>
      <c r="J1913" t="s">
        <v>37</v>
      </c>
      <c r="K1913">
        <v>0</v>
      </c>
      <c r="L1913">
        <v>2</v>
      </c>
      <c r="M1913">
        <v>8.3800000000000008</v>
      </c>
      <c r="N1913">
        <v>1</v>
      </c>
      <c r="O1913" t="str">
        <f>IF(financial_fraud_data[[#This Row],[Risk_Score]]&gt;8,"High",IF(financial_fraud_data[[#This Row],[Risk_Score]]&gt;5,"Med","Low"))</f>
        <v>High</v>
      </c>
      <c r="P1913" t="str">
        <f>TEXT(financial_fraud_data[[#This Row],[Transaction_Date]],"MMM")</f>
        <v>Mar</v>
      </c>
      <c r="Q1913" t="str">
        <f>IF(financial_fraud_data[[#This Row],[Is_Fraud]]=1,"Yes","No")</f>
        <v>Yes</v>
      </c>
    </row>
    <row r="1914" spans="1:17" x14ac:dyDescent="0.2">
      <c r="A1914" t="s">
        <v>2438</v>
      </c>
      <c r="B1914" t="s">
        <v>265</v>
      </c>
      <c r="C1914" s="1">
        <v>45371.666666666664</v>
      </c>
      <c r="D1914">
        <v>49816.9</v>
      </c>
      <c r="E1914" t="s">
        <v>42</v>
      </c>
      <c r="F1914" t="s">
        <v>47</v>
      </c>
      <c r="G1914" t="s">
        <v>56</v>
      </c>
      <c r="H1914" t="s">
        <v>19</v>
      </c>
      <c r="I1914" t="s">
        <v>23</v>
      </c>
      <c r="J1914" t="s">
        <v>20</v>
      </c>
      <c r="K1914">
        <v>0</v>
      </c>
      <c r="L1914">
        <v>0</v>
      </c>
      <c r="M1914">
        <v>5.98</v>
      </c>
      <c r="N1914">
        <v>1</v>
      </c>
      <c r="O1914" t="str">
        <f>IF(financial_fraud_data[[#This Row],[Risk_Score]]&gt;8,"High",IF(financial_fraud_data[[#This Row],[Risk_Score]]&gt;5,"Med","Low"))</f>
        <v>Med</v>
      </c>
      <c r="P1914" t="str">
        <f>TEXT(financial_fraud_data[[#This Row],[Transaction_Date]],"MMM")</f>
        <v>Mar</v>
      </c>
      <c r="Q1914" t="str">
        <f>IF(financial_fraud_data[[#This Row],[Is_Fraud]]=1,"Yes","No")</f>
        <v>Yes</v>
      </c>
    </row>
    <row r="1915" spans="1:17" x14ac:dyDescent="0.2">
      <c r="A1915" t="s">
        <v>2439</v>
      </c>
      <c r="B1915" t="s">
        <v>1910</v>
      </c>
      <c r="C1915" s="1">
        <v>45371.708333333336</v>
      </c>
      <c r="D1915">
        <v>18447.060000000001</v>
      </c>
      <c r="E1915" t="s">
        <v>16</v>
      </c>
      <c r="F1915" t="s">
        <v>50</v>
      </c>
      <c r="G1915" t="s">
        <v>28</v>
      </c>
      <c r="H1915" t="s">
        <v>36</v>
      </c>
      <c r="I1915" t="s">
        <v>19</v>
      </c>
      <c r="J1915" t="s">
        <v>20</v>
      </c>
      <c r="K1915">
        <v>0</v>
      </c>
      <c r="L1915">
        <v>3</v>
      </c>
      <c r="M1915">
        <v>7.34</v>
      </c>
      <c r="N1915">
        <v>1</v>
      </c>
      <c r="O1915" t="str">
        <f>IF(financial_fraud_data[[#This Row],[Risk_Score]]&gt;8,"High",IF(financial_fraud_data[[#This Row],[Risk_Score]]&gt;5,"Med","Low"))</f>
        <v>Med</v>
      </c>
      <c r="P1915" t="str">
        <f>TEXT(financial_fraud_data[[#This Row],[Transaction_Date]],"MMM")</f>
        <v>Mar</v>
      </c>
      <c r="Q1915" t="str">
        <f>IF(financial_fraud_data[[#This Row],[Is_Fraud]]=1,"Yes","No")</f>
        <v>Yes</v>
      </c>
    </row>
    <row r="1916" spans="1:17" x14ac:dyDescent="0.2">
      <c r="A1916" t="s">
        <v>2440</v>
      </c>
      <c r="B1916" t="s">
        <v>136</v>
      </c>
      <c r="C1916" s="1">
        <v>45371.75</v>
      </c>
      <c r="D1916">
        <v>22458.1</v>
      </c>
      <c r="E1916" t="s">
        <v>42</v>
      </c>
      <c r="F1916" t="s">
        <v>27</v>
      </c>
      <c r="G1916" t="s">
        <v>18</v>
      </c>
      <c r="H1916" t="s">
        <v>29</v>
      </c>
      <c r="I1916" t="s">
        <v>23</v>
      </c>
      <c r="J1916" t="s">
        <v>51</v>
      </c>
      <c r="K1916">
        <v>0</v>
      </c>
      <c r="L1916">
        <v>2</v>
      </c>
      <c r="M1916">
        <v>6.25</v>
      </c>
      <c r="N1916">
        <v>1</v>
      </c>
      <c r="O1916" t="str">
        <f>IF(financial_fraud_data[[#This Row],[Risk_Score]]&gt;8,"High",IF(financial_fraud_data[[#This Row],[Risk_Score]]&gt;5,"Med","Low"))</f>
        <v>Med</v>
      </c>
      <c r="P1916" t="str">
        <f>TEXT(financial_fraud_data[[#This Row],[Transaction_Date]],"MMM")</f>
        <v>Mar</v>
      </c>
      <c r="Q1916" t="str">
        <f>IF(financial_fraud_data[[#This Row],[Is_Fraud]]=1,"Yes","No")</f>
        <v>Yes</v>
      </c>
    </row>
    <row r="1917" spans="1:17" x14ac:dyDescent="0.2">
      <c r="A1917" t="s">
        <v>2441</v>
      </c>
      <c r="B1917" t="s">
        <v>481</v>
      </c>
      <c r="C1917" s="1">
        <v>45371.791666666664</v>
      </c>
      <c r="D1917">
        <v>36117.440000000002</v>
      </c>
      <c r="E1917" t="s">
        <v>16</v>
      </c>
      <c r="F1917" t="s">
        <v>47</v>
      </c>
      <c r="G1917" t="s">
        <v>35</v>
      </c>
      <c r="H1917" t="s">
        <v>19</v>
      </c>
      <c r="I1917" t="s">
        <v>24</v>
      </c>
      <c r="J1917" t="s">
        <v>20</v>
      </c>
      <c r="K1917">
        <v>0</v>
      </c>
      <c r="L1917">
        <v>2</v>
      </c>
      <c r="M1917">
        <v>7.61</v>
      </c>
      <c r="N1917">
        <v>1</v>
      </c>
      <c r="O1917" t="str">
        <f>IF(financial_fraud_data[[#This Row],[Risk_Score]]&gt;8,"High",IF(financial_fraud_data[[#This Row],[Risk_Score]]&gt;5,"Med","Low"))</f>
        <v>Med</v>
      </c>
      <c r="P1917" t="str">
        <f>TEXT(financial_fraud_data[[#This Row],[Transaction_Date]],"MMM")</f>
        <v>Mar</v>
      </c>
      <c r="Q1917" t="str">
        <f>IF(financial_fraud_data[[#This Row],[Is_Fraud]]=1,"Yes","No")</f>
        <v>Yes</v>
      </c>
    </row>
    <row r="1918" spans="1:17" x14ac:dyDescent="0.2">
      <c r="A1918" t="s">
        <v>2442</v>
      </c>
      <c r="B1918" t="s">
        <v>468</v>
      </c>
      <c r="C1918" s="1">
        <v>45371.833333333336</v>
      </c>
      <c r="D1918">
        <v>44315.48</v>
      </c>
      <c r="E1918" t="s">
        <v>16</v>
      </c>
      <c r="F1918" t="s">
        <v>17</v>
      </c>
      <c r="G1918" t="s">
        <v>56</v>
      </c>
      <c r="H1918" t="s">
        <v>19</v>
      </c>
      <c r="I1918" t="s">
        <v>23</v>
      </c>
      <c r="J1918" t="s">
        <v>37</v>
      </c>
      <c r="K1918">
        <v>0</v>
      </c>
      <c r="L1918">
        <v>2</v>
      </c>
      <c r="M1918">
        <v>8.43</v>
      </c>
      <c r="N1918">
        <v>1</v>
      </c>
      <c r="O1918" t="str">
        <f>IF(financial_fraud_data[[#This Row],[Risk_Score]]&gt;8,"High",IF(financial_fraud_data[[#This Row],[Risk_Score]]&gt;5,"Med","Low"))</f>
        <v>High</v>
      </c>
      <c r="P1918" t="str">
        <f>TEXT(financial_fraud_data[[#This Row],[Transaction_Date]],"MMM")</f>
        <v>Mar</v>
      </c>
      <c r="Q1918" t="str">
        <f>IF(financial_fraud_data[[#This Row],[Is_Fraud]]=1,"Yes","No")</f>
        <v>Yes</v>
      </c>
    </row>
    <row r="1919" spans="1:17" x14ac:dyDescent="0.2">
      <c r="A1919" t="s">
        <v>2443</v>
      </c>
      <c r="B1919" t="s">
        <v>77</v>
      </c>
      <c r="C1919" s="1">
        <v>45371.875</v>
      </c>
      <c r="D1919">
        <v>29672.560000000001</v>
      </c>
      <c r="E1919" t="s">
        <v>42</v>
      </c>
      <c r="F1919" t="s">
        <v>50</v>
      </c>
      <c r="G1919" t="s">
        <v>35</v>
      </c>
      <c r="H1919" t="s">
        <v>23</v>
      </c>
      <c r="I1919" t="s">
        <v>19</v>
      </c>
      <c r="J1919" t="s">
        <v>37</v>
      </c>
      <c r="K1919">
        <v>0</v>
      </c>
      <c r="L1919">
        <v>1</v>
      </c>
      <c r="M1919">
        <v>5.47</v>
      </c>
      <c r="N1919">
        <v>1</v>
      </c>
      <c r="O1919" t="str">
        <f>IF(financial_fraud_data[[#This Row],[Risk_Score]]&gt;8,"High",IF(financial_fraud_data[[#This Row],[Risk_Score]]&gt;5,"Med","Low"))</f>
        <v>Med</v>
      </c>
      <c r="P1919" t="str">
        <f>TEXT(financial_fraud_data[[#This Row],[Transaction_Date]],"MMM")</f>
        <v>Mar</v>
      </c>
      <c r="Q1919" t="str">
        <f>IF(financial_fraud_data[[#This Row],[Is_Fraud]]=1,"Yes","No")</f>
        <v>Yes</v>
      </c>
    </row>
    <row r="1920" spans="1:17" x14ac:dyDescent="0.2">
      <c r="A1920" t="s">
        <v>2444</v>
      </c>
      <c r="B1920" t="s">
        <v>380</v>
      </c>
      <c r="C1920" s="1">
        <v>45371.916666666664</v>
      </c>
      <c r="D1920">
        <v>19606.71</v>
      </c>
      <c r="E1920" t="s">
        <v>42</v>
      </c>
      <c r="F1920" t="s">
        <v>50</v>
      </c>
      <c r="G1920" t="s">
        <v>35</v>
      </c>
      <c r="H1920" t="s">
        <v>24</v>
      </c>
      <c r="I1920" t="s">
        <v>23</v>
      </c>
      <c r="J1920" t="s">
        <v>37</v>
      </c>
      <c r="K1920">
        <v>1</v>
      </c>
      <c r="L1920">
        <v>1</v>
      </c>
      <c r="M1920">
        <v>6.46</v>
      </c>
      <c r="N1920">
        <v>1</v>
      </c>
      <c r="O1920" t="str">
        <f>IF(financial_fraud_data[[#This Row],[Risk_Score]]&gt;8,"High",IF(financial_fraud_data[[#This Row],[Risk_Score]]&gt;5,"Med","Low"))</f>
        <v>Med</v>
      </c>
      <c r="P1920" t="str">
        <f>TEXT(financial_fraud_data[[#This Row],[Transaction_Date]],"MMM")</f>
        <v>Mar</v>
      </c>
      <c r="Q1920" t="str">
        <f>IF(financial_fraud_data[[#This Row],[Is_Fraud]]=1,"Yes","No")</f>
        <v>Yes</v>
      </c>
    </row>
    <row r="1921" spans="1:17" x14ac:dyDescent="0.2">
      <c r="A1921" t="s">
        <v>2445</v>
      </c>
      <c r="B1921" t="s">
        <v>276</v>
      </c>
      <c r="C1921" s="1">
        <v>45371.958333333336</v>
      </c>
      <c r="D1921">
        <v>20660.46</v>
      </c>
      <c r="E1921" t="s">
        <v>80</v>
      </c>
      <c r="F1921" t="s">
        <v>17</v>
      </c>
      <c r="G1921" t="s">
        <v>35</v>
      </c>
      <c r="H1921" t="s">
        <v>29</v>
      </c>
      <c r="I1921" t="s">
        <v>23</v>
      </c>
      <c r="J1921" t="s">
        <v>51</v>
      </c>
      <c r="K1921">
        <v>0</v>
      </c>
      <c r="L1921">
        <v>1</v>
      </c>
      <c r="M1921">
        <v>4.57</v>
      </c>
      <c r="N1921">
        <v>0</v>
      </c>
      <c r="O1921" t="str">
        <f>IF(financial_fraud_data[[#This Row],[Risk_Score]]&gt;8,"High",IF(financial_fraud_data[[#This Row],[Risk_Score]]&gt;5,"Med","Low"))</f>
        <v>Low</v>
      </c>
      <c r="P1921" t="str">
        <f>TEXT(financial_fraud_data[[#This Row],[Transaction_Date]],"MMM")</f>
        <v>Mar</v>
      </c>
      <c r="Q1921" t="str">
        <f>IF(financial_fraud_data[[#This Row],[Is_Fraud]]=1,"Yes","No")</f>
        <v>No</v>
      </c>
    </row>
    <row r="1922" spans="1:17" x14ac:dyDescent="0.2">
      <c r="A1922" t="s">
        <v>2446</v>
      </c>
      <c r="B1922" t="s">
        <v>2447</v>
      </c>
      <c r="C1922" s="1">
        <v>45372</v>
      </c>
      <c r="D1922">
        <v>34796.129999999997</v>
      </c>
      <c r="E1922" t="s">
        <v>80</v>
      </c>
      <c r="F1922" t="s">
        <v>47</v>
      </c>
      <c r="G1922" t="s">
        <v>65</v>
      </c>
      <c r="H1922" t="s">
        <v>29</v>
      </c>
      <c r="I1922" t="s">
        <v>23</v>
      </c>
      <c r="J1922" t="s">
        <v>20</v>
      </c>
      <c r="K1922">
        <v>0</v>
      </c>
      <c r="L1922">
        <v>2</v>
      </c>
      <c r="M1922">
        <v>7.48</v>
      </c>
      <c r="N1922">
        <v>1</v>
      </c>
      <c r="O1922" t="str">
        <f>IF(financial_fraud_data[[#This Row],[Risk_Score]]&gt;8,"High",IF(financial_fraud_data[[#This Row],[Risk_Score]]&gt;5,"Med","Low"))</f>
        <v>Med</v>
      </c>
      <c r="P1922" t="str">
        <f>TEXT(financial_fraud_data[[#This Row],[Transaction_Date]],"MMM")</f>
        <v>Mar</v>
      </c>
      <c r="Q1922" t="str">
        <f>IF(financial_fraud_data[[#This Row],[Is_Fraud]]=1,"Yes","No")</f>
        <v>Yes</v>
      </c>
    </row>
    <row r="1923" spans="1:17" x14ac:dyDescent="0.2">
      <c r="A1923" t="s">
        <v>2448</v>
      </c>
      <c r="B1923" t="s">
        <v>1544</v>
      </c>
      <c r="C1923" s="1">
        <v>45372.041666666664</v>
      </c>
      <c r="D1923">
        <v>210.75</v>
      </c>
      <c r="E1923" t="s">
        <v>80</v>
      </c>
      <c r="F1923" t="s">
        <v>27</v>
      </c>
      <c r="G1923" t="s">
        <v>35</v>
      </c>
      <c r="H1923" t="s">
        <v>29</v>
      </c>
      <c r="I1923" t="s">
        <v>19</v>
      </c>
      <c r="J1923" t="s">
        <v>37</v>
      </c>
      <c r="K1923">
        <v>0</v>
      </c>
      <c r="L1923">
        <v>2</v>
      </c>
      <c r="M1923">
        <v>4.0199999999999996</v>
      </c>
      <c r="N1923">
        <v>0</v>
      </c>
      <c r="O1923" t="str">
        <f>IF(financial_fraud_data[[#This Row],[Risk_Score]]&gt;8,"High",IF(financial_fraud_data[[#This Row],[Risk_Score]]&gt;5,"Med","Low"))</f>
        <v>Low</v>
      </c>
      <c r="P1923" t="str">
        <f>TEXT(financial_fraud_data[[#This Row],[Transaction_Date]],"MMM")</f>
        <v>Mar</v>
      </c>
      <c r="Q1923" t="str">
        <f>IF(financial_fraud_data[[#This Row],[Is_Fraud]]=1,"Yes","No")</f>
        <v>No</v>
      </c>
    </row>
    <row r="1924" spans="1:17" x14ac:dyDescent="0.2">
      <c r="A1924" t="s">
        <v>2449</v>
      </c>
      <c r="B1924" t="s">
        <v>245</v>
      </c>
      <c r="C1924" s="1">
        <v>45372.083333333336</v>
      </c>
      <c r="D1924">
        <v>30998.49</v>
      </c>
      <c r="E1924" t="s">
        <v>16</v>
      </c>
      <c r="F1924" t="s">
        <v>47</v>
      </c>
      <c r="G1924" t="s">
        <v>28</v>
      </c>
      <c r="H1924" t="s">
        <v>19</v>
      </c>
      <c r="I1924" t="s">
        <v>23</v>
      </c>
      <c r="J1924" t="s">
        <v>51</v>
      </c>
      <c r="K1924">
        <v>0</v>
      </c>
      <c r="L1924">
        <v>1</v>
      </c>
      <c r="M1924">
        <v>5.6</v>
      </c>
      <c r="N1924">
        <v>1</v>
      </c>
      <c r="O1924" t="str">
        <f>IF(financial_fraud_data[[#This Row],[Risk_Score]]&gt;8,"High",IF(financial_fraud_data[[#This Row],[Risk_Score]]&gt;5,"Med","Low"))</f>
        <v>Med</v>
      </c>
      <c r="P1924" t="str">
        <f>TEXT(financial_fraud_data[[#This Row],[Transaction_Date]],"MMM")</f>
        <v>Mar</v>
      </c>
      <c r="Q1924" t="str">
        <f>IF(financial_fraud_data[[#This Row],[Is_Fraud]]=1,"Yes","No")</f>
        <v>Yes</v>
      </c>
    </row>
    <row r="1925" spans="1:17" x14ac:dyDescent="0.2">
      <c r="A1925" t="s">
        <v>2450</v>
      </c>
      <c r="B1925" t="s">
        <v>625</v>
      </c>
      <c r="C1925" s="1">
        <v>45372.125</v>
      </c>
      <c r="D1925">
        <v>17806.88</v>
      </c>
      <c r="E1925" t="s">
        <v>42</v>
      </c>
      <c r="F1925" t="s">
        <v>17</v>
      </c>
      <c r="G1925" t="s">
        <v>28</v>
      </c>
      <c r="H1925" t="s">
        <v>23</v>
      </c>
      <c r="I1925" t="s">
        <v>29</v>
      </c>
      <c r="J1925" t="s">
        <v>51</v>
      </c>
      <c r="K1925">
        <v>0</v>
      </c>
      <c r="L1925">
        <v>2</v>
      </c>
      <c r="M1925">
        <v>5.78</v>
      </c>
      <c r="N1925">
        <v>1</v>
      </c>
      <c r="O1925" t="str">
        <f>IF(financial_fraud_data[[#This Row],[Risk_Score]]&gt;8,"High",IF(financial_fraud_data[[#This Row],[Risk_Score]]&gt;5,"Med","Low"))</f>
        <v>Med</v>
      </c>
      <c r="P1925" t="str">
        <f>TEXT(financial_fraud_data[[#This Row],[Transaction_Date]],"MMM")</f>
        <v>Mar</v>
      </c>
      <c r="Q1925" t="str">
        <f>IF(financial_fraud_data[[#This Row],[Is_Fraud]]=1,"Yes","No")</f>
        <v>Yes</v>
      </c>
    </row>
    <row r="1926" spans="1:17" x14ac:dyDescent="0.2">
      <c r="A1926" t="s">
        <v>2451</v>
      </c>
      <c r="B1926" t="s">
        <v>385</v>
      </c>
      <c r="C1926" s="1">
        <v>45372.166666666664</v>
      </c>
      <c r="D1926">
        <v>39720.160000000003</v>
      </c>
      <c r="E1926" t="s">
        <v>34</v>
      </c>
      <c r="F1926" t="s">
        <v>50</v>
      </c>
      <c r="G1926" t="s">
        <v>18</v>
      </c>
      <c r="H1926" t="s">
        <v>19</v>
      </c>
      <c r="I1926" t="s">
        <v>29</v>
      </c>
      <c r="J1926" t="s">
        <v>37</v>
      </c>
      <c r="K1926">
        <v>0</v>
      </c>
      <c r="L1926">
        <v>1</v>
      </c>
      <c r="M1926">
        <v>6.47</v>
      </c>
      <c r="N1926">
        <v>1</v>
      </c>
      <c r="O1926" t="str">
        <f>IF(financial_fraud_data[[#This Row],[Risk_Score]]&gt;8,"High",IF(financial_fraud_data[[#This Row],[Risk_Score]]&gt;5,"Med","Low"))</f>
        <v>Med</v>
      </c>
      <c r="P1926" t="str">
        <f>TEXT(financial_fraud_data[[#This Row],[Transaction_Date]],"MMM")</f>
        <v>Mar</v>
      </c>
      <c r="Q1926" t="str">
        <f>IF(financial_fraud_data[[#This Row],[Is_Fraud]]=1,"Yes","No")</f>
        <v>Yes</v>
      </c>
    </row>
    <row r="1927" spans="1:17" x14ac:dyDescent="0.2">
      <c r="A1927" t="s">
        <v>2452</v>
      </c>
      <c r="B1927" t="s">
        <v>1590</v>
      </c>
      <c r="C1927" s="1">
        <v>45372.208333333336</v>
      </c>
      <c r="D1927">
        <v>4694.88</v>
      </c>
      <c r="E1927" t="s">
        <v>16</v>
      </c>
      <c r="F1927" t="s">
        <v>27</v>
      </c>
      <c r="G1927" t="s">
        <v>35</v>
      </c>
      <c r="H1927" t="s">
        <v>19</v>
      </c>
      <c r="I1927" t="s">
        <v>19</v>
      </c>
      <c r="J1927" t="s">
        <v>51</v>
      </c>
      <c r="K1927">
        <v>0</v>
      </c>
      <c r="L1927">
        <v>1</v>
      </c>
      <c r="M1927">
        <v>1.97</v>
      </c>
      <c r="N1927">
        <v>0</v>
      </c>
      <c r="O1927" t="str">
        <f>IF(financial_fraud_data[[#This Row],[Risk_Score]]&gt;8,"High",IF(financial_fraud_data[[#This Row],[Risk_Score]]&gt;5,"Med","Low"))</f>
        <v>Low</v>
      </c>
      <c r="P1927" t="str">
        <f>TEXT(financial_fraud_data[[#This Row],[Transaction_Date]],"MMM")</f>
        <v>Mar</v>
      </c>
      <c r="Q1927" t="str">
        <f>IF(financial_fraud_data[[#This Row],[Is_Fraud]]=1,"Yes","No")</f>
        <v>No</v>
      </c>
    </row>
    <row r="1928" spans="1:17" x14ac:dyDescent="0.2">
      <c r="A1928" t="s">
        <v>2453</v>
      </c>
      <c r="B1928" t="s">
        <v>751</v>
      </c>
      <c r="C1928" s="1">
        <v>45372.25</v>
      </c>
      <c r="D1928">
        <v>29430.7</v>
      </c>
      <c r="E1928" t="s">
        <v>34</v>
      </c>
      <c r="F1928" t="s">
        <v>50</v>
      </c>
      <c r="G1928" t="s">
        <v>35</v>
      </c>
      <c r="H1928" t="s">
        <v>36</v>
      </c>
      <c r="I1928" t="s">
        <v>24</v>
      </c>
      <c r="J1928" t="s">
        <v>51</v>
      </c>
      <c r="K1928">
        <v>0</v>
      </c>
      <c r="L1928">
        <v>1</v>
      </c>
      <c r="M1928">
        <v>5.44</v>
      </c>
      <c r="N1928">
        <v>1</v>
      </c>
      <c r="O1928" t="str">
        <f>IF(financial_fraud_data[[#This Row],[Risk_Score]]&gt;8,"High",IF(financial_fraud_data[[#This Row],[Risk_Score]]&gt;5,"Med","Low"))</f>
        <v>Med</v>
      </c>
      <c r="P1928" t="str">
        <f>TEXT(financial_fraud_data[[#This Row],[Transaction_Date]],"MMM")</f>
        <v>Mar</v>
      </c>
      <c r="Q1928" t="str">
        <f>IF(financial_fraud_data[[#This Row],[Is_Fraud]]=1,"Yes","No")</f>
        <v>Yes</v>
      </c>
    </row>
    <row r="1929" spans="1:17" x14ac:dyDescent="0.2">
      <c r="A1929" t="s">
        <v>2454</v>
      </c>
      <c r="B1929" t="s">
        <v>835</v>
      </c>
      <c r="C1929" s="1">
        <v>45372.291666666664</v>
      </c>
      <c r="D1929">
        <v>24074.6</v>
      </c>
      <c r="E1929" t="s">
        <v>42</v>
      </c>
      <c r="F1929" t="s">
        <v>17</v>
      </c>
      <c r="G1929" t="s">
        <v>56</v>
      </c>
      <c r="H1929" t="s">
        <v>23</v>
      </c>
      <c r="I1929" t="s">
        <v>29</v>
      </c>
      <c r="J1929" t="s">
        <v>37</v>
      </c>
      <c r="K1929">
        <v>0</v>
      </c>
      <c r="L1929">
        <v>3</v>
      </c>
      <c r="M1929">
        <v>7.91</v>
      </c>
      <c r="N1929">
        <v>1</v>
      </c>
      <c r="O1929" t="str">
        <f>IF(financial_fraud_data[[#This Row],[Risk_Score]]&gt;8,"High",IF(financial_fraud_data[[#This Row],[Risk_Score]]&gt;5,"Med","Low"))</f>
        <v>Med</v>
      </c>
      <c r="P1929" t="str">
        <f>TEXT(financial_fraud_data[[#This Row],[Transaction_Date]],"MMM")</f>
        <v>Mar</v>
      </c>
      <c r="Q1929" t="str">
        <f>IF(financial_fraud_data[[#This Row],[Is_Fraud]]=1,"Yes","No")</f>
        <v>Yes</v>
      </c>
    </row>
    <row r="1930" spans="1:17" x14ac:dyDescent="0.2">
      <c r="A1930" t="s">
        <v>2455</v>
      </c>
      <c r="B1930" t="s">
        <v>908</v>
      </c>
      <c r="C1930" s="1">
        <v>45372.333333333336</v>
      </c>
      <c r="D1930">
        <v>32134.16</v>
      </c>
      <c r="E1930" t="s">
        <v>16</v>
      </c>
      <c r="F1930" t="s">
        <v>47</v>
      </c>
      <c r="G1930" t="s">
        <v>65</v>
      </c>
      <c r="H1930" t="s">
        <v>29</v>
      </c>
      <c r="I1930" t="s">
        <v>36</v>
      </c>
      <c r="J1930" t="s">
        <v>51</v>
      </c>
      <c r="K1930">
        <v>0</v>
      </c>
      <c r="L1930">
        <v>2</v>
      </c>
      <c r="M1930">
        <v>7.21</v>
      </c>
      <c r="N1930">
        <v>1</v>
      </c>
      <c r="O1930" t="str">
        <f>IF(financial_fraud_data[[#This Row],[Risk_Score]]&gt;8,"High",IF(financial_fraud_data[[#This Row],[Risk_Score]]&gt;5,"Med","Low"))</f>
        <v>Med</v>
      </c>
      <c r="P1930" t="str">
        <f>TEXT(financial_fraud_data[[#This Row],[Transaction_Date]],"MMM")</f>
        <v>Mar</v>
      </c>
      <c r="Q1930" t="str">
        <f>IF(financial_fraud_data[[#This Row],[Is_Fraud]]=1,"Yes","No")</f>
        <v>Yes</v>
      </c>
    </row>
    <row r="1931" spans="1:17" x14ac:dyDescent="0.2">
      <c r="A1931" t="s">
        <v>2456</v>
      </c>
      <c r="B1931" t="s">
        <v>156</v>
      </c>
      <c r="C1931" s="1">
        <v>45372.375</v>
      </c>
      <c r="D1931">
        <v>3289.44</v>
      </c>
      <c r="E1931" t="s">
        <v>34</v>
      </c>
      <c r="F1931" t="s">
        <v>27</v>
      </c>
      <c r="G1931" t="s">
        <v>18</v>
      </c>
      <c r="H1931" t="s">
        <v>24</v>
      </c>
      <c r="I1931" t="s">
        <v>29</v>
      </c>
      <c r="J1931" t="s">
        <v>37</v>
      </c>
      <c r="K1931">
        <v>0</v>
      </c>
      <c r="L1931">
        <v>0</v>
      </c>
      <c r="M1931">
        <v>1.33</v>
      </c>
      <c r="N1931">
        <v>0</v>
      </c>
      <c r="O1931" t="str">
        <f>IF(financial_fraud_data[[#This Row],[Risk_Score]]&gt;8,"High",IF(financial_fraud_data[[#This Row],[Risk_Score]]&gt;5,"Med","Low"))</f>
        <v>Low</v>
      </c>
      <c r="P1931" t="str">
        <f>TEXT(financial_fraud_data[[#This Row],[Transaction_Date]],"MMM")</f>
        <v>Mar</v>
      </c>
      <c r="Q1931" t="str">
        <f>IF(financial_fraud_data[[#This Row],[Is_Fraud]]=1,"Yes","No")</f>
        <v>No</v>
      </c>
    </row>
    <row r="1932" spans="1:17" x14ac:dyDescent="0.2">
      <c r="A1932" t="s">
        <v>2457</v>
      </c>
      <c r="B1932" t="s">
        <v>1107</v>
      </c>
      <c r="C1932" s="1">
        <v>45372.416666666664</v>
      </c>
      <c r="D1932">
        <v>29020.19</v>
      </c>
      <c r="E1932" t="s">
        <v>34</v>
      </c>
      <c r="F1932" t="s">
        <v>50</v>
      </c>
      <c r="G1932" t="s">
        <v>35</v>
      </c>
      <c r="H1932" t="s">
        <v>29</v>
      </c>
      <c r="I1932" t="s">
        <v>36</v>
      </c>
      <c r="J1932" t="s">
        <v>37</v>
      </c>
      <c r="K1932">
        <v>0</v>
      </c>
      <c r="L1932">
        <v>1</v>
      </c>
      <c r="M1932">
        <v>5.4</v>
      </c>
      <c r="N1932">
        <v>1</v>
      </c>
      <c r="O1932" t="str">
        <f>IF(financial_fraud_data[[#This Row],[Risk_Score]]&gt;8,"High",IF(financial_fraud_data[[#This Row],[Risk_Score]]&gt;5,"Med","Low"))</f>
        <v>Med</v>
      </c>
      <c r="P1932" t="str">
        <f>TEXT(financial_fraud_data[[#This Row],[Transaction_Date]],"MMM")</f>
        <v>Mar</v>
      </c>
      <c r="Q1932" t="str">
        <f>IF(financial_fraud_data[[#This Row],[Is_Fraud]]=1,"Yes","No")</f>
        <v>Yes</v>
      </c>
    </row>
    <row r="1933" spans="1:17" x14ac:dyDescent="0.2">
      <c r="A1933" t="s">
        <v>2458</v>
      </c>
      <c r="B1933" t="s">
        <v>842</v>
      </c>
      <c r="C1933" s="1">
        <v>45372.458333333336</v>
      </c>
      <c r="D1933">
        <v>28096.16</v>
      </c>
      <c r="E1933" t="s">
        <v>80</v>
      </c>
      <c r="F1933" t="s">
        <v>50</v>
      </c>
      <c r="G1933" t="s">
        <v>56</v>
      </c>
      <c r="H1933" t="s">
        <v>19</v>
      </c>
      <c r="I1933" t="s">
        <v>19</v>
      </c>
      <c r="J1933" t="s">
        <v>51</v>
      </c>
      <c r="K1933">
        <v>1</v>
      </c>
      <c r="L1933">
        <v>0</v>
      </c>
      <c r="M1933">
        <v>4.8099999999999996</v>
      </c>
      <c r="N1933">
        <v>0</v>
      </c>
      <c r="O1933" t="str">
        <f>IF(financial_fraud_data[[#This Row],[Risk_Score]]&gt;8,"High",IF(financial_fraud_data[[#This Row],[Risk_Score]]&gt;5,"Med","Low"))</f>
        <v>Low</v>
      </c>
      <c r="P1933" t="str">
        <f>TEXT(financial_fraud_data[[#This Row],[Transaction_Date]],"MMM")</f>
        <v>Mar</v>
      </c>
      <c r="Q1933" t="str">
        <f>IF(financial_fraud_data[[#This Row],[Is_Fraud]]=1,"Yes","No")</f>
        <v>No</v>
      </c>
    </row>
    <row r="1934" spans="1:17" x14ac:dyDescent="0.2">
      <c r="A1934" t="s">
        <v>2459</v>
      </c>
      <c r="B1934" t="s">
        <v>724</v>
      </c>
      <c r="C1934" s="1">
        <v>45372.5</v>
      </c>
      <c r="D1934">
        <v>28054.97</v>
      </c>
      <c r="E1934" t="s">
        <v>80</v>
      </c>
      <c r="F1934" t="s">
        <v>50</v>
      </c>
      <c r="G1934" t="s">
        <v>65</v>
      </c>
      <c r="H1934" t="s">
        <v>23</v>
      </c>
      <c r="I1934" t="s">
        <v>24</v>
      </c>
      <c r="J1934" t="s">
        <v>37</v>
      </c>
      <c r="K1934">
        <v>1</v>
      </c>
      <c r="L1934">
        <v>3</v>
      </c>
      <c r="M1934">
        <v>10.31</v>
      </c>
      <c r="N1934">
        <v>1</v>
      </c>
      <c r="O1934" t="str">
        <f>IF(financial_fraud_data[[#This Row],[Risk_Score]]&gt;8,"High",IF(financial_fraud_data[[#This Row],[Risk_Score]]&gt;5,"Med","Low"))</f>
        <v>High</v>
      </c>
      <c r="P1934" t="str">
        <f>TEXT(financial_fraud_data[[#This Row],[Transaction_Date]],"MMM")</f>
        <v>Mar</v>
      </c>
      <c r="Q1934" t="str">
        <f>IF(financial_fraud_data[[#This Row],[Is_Fraud]]=1,"Yes","No")</f>
        <v>Yes</v>
      </c>
    </row>
    <row r="1935" spans="1:17" x14ac:dyDescent="0.2">
      <c r="A1935" t="s">
        <v>2460</v>
      </c>
      <c r="B1935" t="s">
        <v>1423</v>
      </c>
      <c r="C1935" s="1">
        <v>45372.541666666664</v>
      </c>
      <c r="D1935">
        <v>30194.21</v>
      </c>
      <c r="E1935" t="s">
        <v>80</v>
      </c>
      <c r="F1935" t="s">
        <v>47</v>
      </c>
      <c r="G1935" t="s">
        <v>18</v>
      </c>
      <c r="H1935" t="s">
        <v>23</v>
      </c>
      <c r="I1935" t="s">
        <v>36</v>
      </c>
      <c r="J1935" t="s">
        <v>37</v>
      </c>
      <c r="K1935">
        <v>0</v>
      </c>
      <c r="L1935">
        <v>2</v>
      </c>
      <c r="M1935">
        <v>7.02</v>
      </c>
      <c r="N1935">
        <v>1</v>
      </c>
      <c r="O1935" t="str">
        <f>IF(financial_fraud_data[[#This Row],[Risk_Score]]&gt;8,"High",IF(financial_fraud_data[[#This Row],[Risk_Score]]&gt;5,"Med","Low"))</f>
        <v>Med</v>
      </c>
      <c r="P1935" t="str">
        <f>TEXT(financial_fraud_data[[#This Row],[Transaction_Date]],"MMM")</f>
        <v>Mar</v>
      </c>
      <c r="Q1935" t="str">
        <f>IF(financial_fraud_data[[#This Row],[Is_Fraud]]=1,"Yes","No")</f>
        <v>Yes</v>
      </c>
    </row>
    <row r="1936" spans="1:17" x14ac:dyDescent="0.2">
      <c r="A1936" t="s">
        <v>2461</v>
      </c>
      <c r="B1936" t="s">
        <v>1024</v>
      </c>
      <c r="C1936" s="1">
        <v>45372.583333333336</v>
      </c>
      <c r="D1936">
        <v>33839.57</v>
      </c>
      <c r="E1936" t="s">
        <v>16</v>
      </c>
      <c r="F1936" t="s">
        <v>27</v>
      </c>
      <c r="G1936" t="s">
        <v>18</v>
      </c>
      <c r="H1936" t="s">
        <v>23</v>
      </c>
      <c r="I1936" t="s">
        <v>36</v>
      </c>
      <c r="J1936" t="s">
        <v>20</v>
      </c>
      <c r="K1936">
        <v>0</v>
      </c>
      <c r="L1936">
        <v>1</v>
      </c>
      <c r="M1936">
        <v>5.88</v>
      </c>
      <c r="N1936">
        <v>1</v>
      </c>
      <c r="O1936" t="str">
        <f>IF(financial_fraud_data[[#This Row],[Risk_Score]]&gt;8,"High",IF(financial_fraud_data[[#This Row],[Risk_Score]]&gt;5,"Med","Low"))</f>
        <v>Med</v>
      </c>
      <c r="P1936" t="str">
        <f>TEXT(financial_fraud_data[[#This Row],[Transaction_Date]],"MMM")</f>
        <v>Mar</v>
      </c>
      <c r="Q1936" t="str">
        <f>IF(financial_fraud_data[[#This Row],[Is_Fraud]]=1,"Yes","No")</f>
        <v>Yes</v>
      </c>
    </row>
    <row r="1937" spans="1:17" x14ac:dyDescent="0.2">
      <c r="A1937" t="s">
        <v>2462</v>
      </c>
      <c r="B1937" t="s">
        <v>896</v>
      </c>
      <c r="C1937" s="1">
        <v>45372.625</v>
      </c>
      <c r="D1937">
        <v>40259.199999999997</v>
      </c>
      <c r="E1937" t="s">
        <v>42</v>
      </c>
      <c r="F1937" t="s">
        <v>47</v>
      </c>
      <c r="G1937" t="s">
        <v>35</v>
      </c>
      <c r="H1937" t="s">
        <v>36</v>
      </c>
      <c r="I1937" t="s">
        <v>29</v>
      </c>
      <c r="J1937" t="s">
        <v>37</v>
      </c>
      <c r="K1937">
        <v>0</v>
      </c>
      <c r="L1937">
        <v>1</v>
      </c>
      <c r="M1937">
        <v>6.53</v>
      </c>
      <c r="N1937">
        <v>1</v>
      </c>
      <c r="O1937" t="str">
        <f>IF(financial_fraud_data[[#This Row],[Risk_Score]]&gt;8,"High",IF(financial_fraud_data[[#This Row],[Risk_Score]]&gt;5,"Med","Low"))</f>
        <v>Med</v>
      </c>
      <c r="P1937" t="str">
        <f>TEXT(financial_fraud_data[[#This Row],[Transaction_Date]],"MMM")</f>
        <v>Mar</v>
      </c>
      <c r="Q1937" t="str">
        <f>IF(financial_fraud_data[[#This Row],[Is_Fraud]]=1,"Yes","No")</f>
        <v>Yes</v>
      </c>
    </row>
    <row r="1938" spans="1:17" x14ac:dyDescent="0.2">
      <c r="A1938" t="s">
        <v>2463</v>
      </c>
      <c r="B1938" t="s">
        <v>257</v>
      </c>
      <c r="C1938" s="1">
        <v>45372.666666666664</v>
      </c>
      <c r="D1938">
        <v>13527.54</v>
      </c>
      <c r="E1938" t="s">
        <v>42</v>
      </c>
      <c r="F1938" t="s">
        <v>47</v>
      </c>
      <c r="G1938" t="s">
        <v>18</v>
      </c>
      <c r="H1938" t="s">
        <v>29</v>
      </c>
      <c r="I1938" t="s">
        <v>36</v>
      </c>
      <c r="J1938" t="s">
        <v>20</v>
      </c>
      <c r="K1938">
        <v>1</v>
      </c>
      <c r="L1938">
        <v>1</v>
      </c>
      <c r="M1938">
        <v>5.85</v>
      </c>
      <c r="N1938">
        <v>1</v>
      </c>
      <c r="O1938" t="str">
        <f>IF(financial_fraud_data[[#This Row],[Risk_Score]]&gt;8,"High",IF(financial_fraud_data[[#This Row],[Risk_Score]]&gt;5,"Med","Low"))</f>
        <v>Med</v>
      </c>
      <c r="P1938" t="str">
        <f>TEXT(financial_fraud_data[[#This Row],[Transaction_Date]],"MMM")</f>
        <v>Mar</v>
      </c>
      <c r="Q1938" t="str">
        <f>IF(financial_fraud_data[[#This Row],[Is_Fraud]]=1,"Yes","No")</f>
        <v>Yes</v>
      </c>
    </row>
    <row r="1939" spans="1:17" x14ac:dyDescent="0.2">
      <c r="A1939" t="s">
        <v>2464</v>
      </c>
      <c r="B1939" t="s">
        <v>41</v>
      </c>
      <c r="C1939" s="1">
        <v>45372.708333333336</v>
      </c>
      <c r="D1939">
        <v>41261.22</v>
      </c>
      <c r="E1939" t="s">
        <v>80</v>
      </c>
      <c r="F1939" t="s">
        <v>47</v>
      </c>
      <c r="G1939" t="s">
        <v>56</v>
      </c>
      <c r="H1939" t="s">
        <v>36</v>
      </c>
      <c r="I1939" t="s">
        <v>19</v>
      </c>
      <c r="J1939" t="s">
        <v>20</v>
      </c>
      <c r="K1939">
        <v>0</v>
      </c>
      <c r="L1939">
        <v>0</v>
      </c>
      <c r="M1939">
        <v>5.13</v>
      </c>
      <c r="N1939">
        <v>1</v>
      </c>
      <c r="O1939" t="str">
        <f>IF(financial_fraud_data[[#This Row],[Risk_Score]]&gt;8,"High",IF(financial_fraud_data[[#This Row],[Risk_Score]]&gt;5,"Med","Low"))</f>
        <v>Med</v>
      </c>
      <c r="P1939" t="str">
        <f>TEXT(financial_fraud_data[[#This Row],[Transaction_Date]],"MMM")</f>
        <v>Mar</v>
      </c>
      <c r="Q1939" t="str">
        <f>IF(financial_fraud_data[[#This Row],[Is_Fraud]]=1,"Yes","No")</f>
        <v>Yes</v>
      </c>
    </row>
    <row r="1940" spans="1:17" x14ac:dyDescent="0.2">
      <c r="A1940" t="s">
        <v>2465</v>
      </c>
      <c r="B1940" t="s">
        <v>974</v>
      </c>
      <c r="C1940" s="1">
        <v>45372.75</v>
      </c>
      <c r="D1940">
        <v>24937.87</v>
      </c>
      <c r="E1940" t="s">
        <v>80</v>
      </c>
      <c r="F1940" t="s">
        <v>17</v>
      </c>
      <c r="G1940" t="s">
        <v>18</v>
      </c>
      <c r="H1940" t="s">
        <v>24</v>
      </c>
      <c r="I1940" t="s">
        <v>19</v>
      </c>
      <c r="J1940" t="s">
        <v>20</v>
      </c>
      <c r="K1940">
        <v>1</v>
      </c>
      <c r="L1940">
        <v>3</v>
      </c>
      <c r="M1940">
        <v>9.99</v>
      </c>
      <c r="N1940">
        <v>1</v>
      </c>
      <c r="O1940" t="str">
        <f>IF(financial_fraud_data[[#This Row],[Risk_Score]]&gt;8,"High",IF(financial_fraud_data[[#This Row],[Risk_Score]]&gt;5,"Med","Low"))</f>
        <v>High</v>
      </c>
      <c r="P1940" t="str">
        <f>TEXT(financial_fraud_data[[#This Row],[Transaction_Date]],"MMM")</f>
        <v>Mar</v>
      </c>
      <c r="Q1940" t="str">
        <f>IF(financial_fraud_data[[#This Row],[Is_Fraud]]=1,"Yes","No")</f>
        <v>Yes</v>
      </c>
    </row>
    <row r="1941" spans="1:17" x14ac:dyDescent="0.2">
      <c r="A1941" t="s">
        <v>2466</v>
      </c>
      <c r="B1941" t="s">
        <v>1867</v>
      </c>
      <c r="C1941" s="1">
        <v>45372.791666666664</v>
      </c>
      <c r="D1941">
        <v>3899.06</v>
      </c>
      <c r="E1941" t="s">
        <v>80</v>
      </c>
      <c r="F1941" t="s">
        <v>17</v>
      </c>
      <c r="G1941" t="s">
        <v>28</v>
      </c>
      <c r="H1941" t="s">
        <v>19</v>
      </c>
      <c r="I1941" t="s">
        <v>19</v>
      </c>
      <c r="J1941" t="s">
        <v>20</v>
      </c>
      <c r="K1941">
        <v>0</v>
      </c>
      <c r="L1941">
        <v>2</v>
      </c>
      <c r="M1941">
        <v>3.39</v>
      </c>
      <c r="N1941">
        <v>0</v>
      </c>
      <c r="O1941" t="str">
        <f>IF(financial_fraud_data[[#This Row],[Risk_Score]]&gt;8,"High",IF(financial_fraud_data[[#This Row],[Risk_Score]]&gt;5,"Med","Low"))</f>
        <v>Low</v>
      </c>
      <c r="P1941" t="str">
        <f>TEXT(financial_fraud_data[[#This Row],[Transaction_Date]],"MMM")</f>
        <v>Mar</v>
      </c>
      <c r="Q1941" t="str">
        <f>IF(financial_fraud_data[[#This Row],[Is_Fraud]]=1,"Yes","No")</f>
        <v>No</v>
      </c>
    </row>
    <row r="1942" spans="1:17" x14ac:dyDescent="0.2">
      <c r="A1942" t="s">
        <v>2467</v>
      </c>
      <c r="B1942" t="s">
        <v>138</v>
      </c>
      <c r="C1942" s="1">
        <v>45372.833333333336</v>
      </c>
      <c r="D1942">
        <v>2974.62</v>
      </c>
      <c r="E1942" t="s">
        <v>34</v>
      </c>
      <c r="F1942" t="s">
        <v>17</v>
      </c>
      <c r="G1942" t="s">
        <v>56</v>
      </c>
      <c r="H1942" t="s">
        <v>36</v>
      </c>
      <c r="I1942" t="s">
        <v>29</v>
      </c>
      <c r="J1942" t="s">
        <v>51</v>
      </c>
      <c r="K1942">
        <v>0</v>
      </c>
      <c r="L1942">
        <v>3</v>
      </c>
      <c r="M1942">
        <v>5.8</v>
      </c>
      <c r="N1942">
        <v>1</v>
      </c>
      <c r="O1942" t="str">
        <f>IF(financial_fraud_data[[#This Row],[Risk_Score]]&gt;8,"High",IF(financial_fraud_data[[#This Row],[Risk_Score]]&gt;5,"Med","Low"))</f>
        <v>Med</v>
      </c>
      <c r="P1942" t="str">
        <f>TEXT(financial_fraud_data[[#This Row],[Transaction_Date]],"MMM")</f>
        <v>Mar</v>
      </c>
      <c r="Q1942" t="str">
        <f>IF(financial_fraud_data[[#This Row],[Is_Fraud]]=1,"Yes","No")</f>
        <v>Yes</v>
      </c>
    </row>
    <row r="1943" spans="1:17" x14ac:dyDescent="0.2">
      <c r="A1943" t="s">
        <v>2468</v>
      </c>
      <c r="B1943" t="s">
        <v>237</v>
      </c>
      <c r="C1943" s="1">
        <v>45372.875</v>
      </c>
      <c r="D1943">
        <v>16745.2</v>
      </c>
      <c r="E1943" t="s">
        <v>80</v>
      </c>
      <c r="F1943" t="s">
        <v>27</v>
      </c>
      <c r="G1943" t="s">
        <v>65</v>
      </c>
      <c r="H1943" t="s">
        <v>36</v>
      </c>
      <c r="I1943" t="s">
        <v>24</v>
      </c>
      <c r="J1943" t="s">
        <v>51</v>
      </c>
      <c r="K1943">
        <v>1</v>
      </c>
      <c r="L1943">
        <v>1</v>
      </c>
      <c r="M1943">
        <v>6.17</v>
      </c>
      <c r="N1943">
        <v>1</v>
      </c>
      <c r="O1943" t="str">
        <f>IF(financial_fraud_data[[#This Row],[Risk_Score]]&gt;8,"High",IF(financial_fraud_data[[#This Row],[Risk_Score]]&gt;5,"Med","Low"))</f>
        <v>Med</v>
      </c>
      <c r="P1943" t="str">
        <f>TEXT(financial_fraud_data[[#This Row],[Transaction_Date]],"MMM")</f>
        <v>Mar</v>
      </c>
      <c r="Q1943" t="str">
        <f>IF(financial_fraud_data[[#This Row],[Is_Fraud]]=1,"Yes","No")</f>
        <v>Yes</v>
      </c>
    </row>
    <row r="1944" spans="1:17" x14ac:dyDescent="0.2">
      <c r="A1944" t="s">
        <v>2469</v>
      </c>
      <c r="B1944" t="s">
        <v>908</v>
      </c>
      <c r="C1944" s="1">
        <v>45372.916666666664</v>
      </c>
      <c r="D1944">
        <v>39255.599999999999</v>
      </c>
      <c r="E1944" t="s">
        <v>34</v>
      </c>
      <c r="F1944" t="s">
        <v>47</v>
      </c>
      <c r="G1944" t="s">
        <v>65</v>
      </c>
      <c r="H1944" t="s">
        <v>19</v>
      </c>
      <c r="I1944" t="s">
        <v>29</v>
      </c>
      <c r="J1944" t="s">
        <v>37</v>
      </c>
      <c r="K1944">
        <v>0</v>
      </c>
      <c r="L1944">
        <v>3</v>
      </c>
      <c r="M1944">
        <v>9.43</v>
      </c>
      <c r="N1944">
        <v>1</v>
      </c>
      <c r="O1944" t="str">
        <f>IF(financial_fraud_data[[#This Row],[Risk_Score]]&gt;8,"High",IF(financial_fraud_data[[#This Row],[Risk_Score]]&gt;5,"Med","Low"))</f>
        <v>High</v>
      </c>
      <c r="P1944" t="str">
        <f>TEXT(financial_fraud_data[[#This Row],[Transaction_Date]],"MMM")</f>
        <v>Mar</v>
      </c>
      <c r="Q1944" t="str">
        <f>IF(financial_fraud_data[[#This Row],[Is_Fraud]]=1,"Yes","No")</f>
        <v>Yes</v>
      </c>
    </row>
    <row r="1945" spans="1:17" x14ac:dyDescent="0.2">
      <c r="A1945" t="s">
        <v>2470</v>
      </c>
      <c r="B1945" t="s">
        <v>2422</v>
      </c>
      <c r="C1945" s="1">
        <v>45372.958333333336</v>
      </c>
      <c r="D1945">
        <v>35398.660000000003</v>
      </c>
      <c r="E1945" t="s">
        <v>42</v>
      </c>
      <c r="F1945" t="s">
        <v>47</v>
      </c>
      <c r="G1945" t="s">
        <v>35</v>
      </c>
      <c r="H1945" t="s">
        <v>23</v>
      </c>
      <c r="I1945" t="s">
        <v>19</v>
      </c>
      <c r="J1945" t="s">
        <v>37</v>
      </c>
      <c r="K1945">
        <v>0</v>
      </c>
      <c r="L1945">
        <v>0</v>
      </c>
      <c r="M1945">
        <v>4.54</v>
      </c>
      <c r="N1945">
        <v>0</v>
      </c>
      <c r="O1945" t="str">
        <f>IF(financial_fraud_data[[#This Row],[Risk_Score]]&gt;8,"High",IF(financial_fraud_data[[#This Row],[Risk_Score]]&gt;5,"Med","Low"))</f>
        <v>Low</v>
      </c>
      <c r="P1945" t="str">
        <f>TEXT(financial_fraud_data[[#This Row],[Transaction_Date]],"MMM")</f>
        <v>Mar</v>
      </c>
      <c r="Q1945" t="str">
        <f>IF(financial_fraud_data[[#This Row],[Is_Fraud]]=1,"Yes","No")</f>
        <v>No</v>
      </c>
    </row>
    <row r="1946" spans="1:17" x14ac:dyDescent="0.2">
      <c r="A1946" t="s">
        <v>2471</v>
      </c>
      <c r="B1946" t="s">
        <v>1649</v>
      </c>
      <c r="C1946" s="1">
        <v>45373</v>
      </c>
      <c r="D1946">
        <v>39441.32</v>
      </c>
      <c r="E1946" t="s">
        <v>16</v>
      </c>
      <c r="F1946" t="s">
        <v>17</v>
      </c>
      <c r="G1946" t="s">
        <v>35</v>
      </c>
      <c r="H1946" t="s">
        <v>19</v>
      </c>
      <c r="I1946" t="s">
        <v>29</v>
      </c>
      <c r="J1946" t="s">
        <v>37</v>
      </c>
      <c r="K1946">
        <v>0</v>
      </c>
      <c r="L1946">
        <v>4</v>
      </c>
      <c r="M1946">
        <v>10.94</v>
      </c>
      <c r="N1946">
        <v>1</v>
      </c>
      <c r="O1946" t="str">
        <f>IF(financial_fraud_data[[#This Row],[Risk_Score]]&gt;8,"High",IF(financial_fraud_data[[#This Row],[Risk_Score]]&gt;5,"Med","Low"))</f>
        <v>High</v>
      </c>
      <c r="P1946" t="str">
        <f>TEXT(financial_fraud_data[[#This Row],[Transaction_Date]],"MMM")</f>
        <v>Mar</v>
      </c>
      <c r="Q1946" t="str">
        <f>IF(financial_fraud_data[[#This Row],[Is_Fraud]]=1,"Yes","No")</f>
        <v>Yes</v>
      </c>
    </row>
    <row r="1947" spans="1:17" x14ac:dyDescent="0.2">
      <c r="A1947" t="s">
        <v>2472</v>
      </c>
      <c r="B1947" t="s">
        <v>136</v>
      </c>
      <c r="C1947" s="1">
        <v>45373.041666666664</v>
      </c>
      <c r="D1947">
        <v>25887.59</v>
      </c>
      <c r="E1947" t="s">
        <v>16</v>
      </c>
      <c r="F1947" t="s">
        <v>47</v>
      </c>
      <c r="G1947" t="s">
        <v>28</v>
      </c>
      <c r="H1947" t="s">
        <v>29</v>
      </c>
      <c r="I1947" t="s">
        <v>19</v>
      </c>
      <c r="J1947" t="s">
        <v>51</v>
      </c>
      <c r="K1947">
        <v>0</v>
      </c>
      <c r="L1947">
        <v>4</v>
      </c>
      <c r="M1947">
        <v>9.59</v>
      </c>
      <c r="N1947">
        <v>1</v>
      </c>
      <c r="O1947" t="str">
        <f>IF(financial_fraud_data[[#This Row],[Risk_Score]]&gt;8,"High",IF(financial_fraud_data[[#This Row],[Risk_Score]]&gt;5,"Med","Low"))</f>
        <v>High</v>
      </c>
      <c r="P1947" t="str">
        <f>TEXT(financial_fraud_data[[#This Row],[Transaction_Date]],"MMM")</f>
        <v>Mar</v>
      </c>
      <c r="Q1947" t="str">
        <f>IF(financial_fraud_data[[#This Row],[Is_Fraud]]=1,"Yes","No")</f>
        <v>Yes</v>
      </c>
    </row>
    <row r="1948" spans="1:17" x14ac:dyDescent="0.2">
      <c r="A1948" t="s">
        <v>2473</v>
      </c>
      <c r="B1948" t="s">
        <v>1757</v>
      </c>
      <c r="C1948" s="1">
        <v>45373.083333333336</v>
      </c>
      <c r="D1948">
        <v>22037.94</v>
      </c>
      <c r="E1948" t="s">
        <v>16</v>
      </c>
      <c r="F1948" t="s">
        <v>47</v>
      </c>
      <c r="G1948" t="s">
        <v>65</v>
      </c>
      <c r="H1948" t="s">
        <v>19</v>
      </c>
      <c r="I1948" t="s">
        <v>23</v>
      </c>
      <c r="J1948" t="s">
        <v>20</v>
      </c>
      <c r="K1948">
        <v>0</v>
      </c>
      <c r="L1948">
        <v>2</v>
      </c>
      <c r="M1948">
        <v>6.2</v>
      </c>
      <c r="N1948">
        <v>1</v>
      </c>
      <c r="O1948" t="str">
        <f>IF(financial_fraud_data[[#This Row],[Risk_Score]]&gt;8,"High",IF(financial_fraud_data[[#This Row],[Risk_Score]]&gt;5,"Med","Low"))</f>
        <v>Med</v>
      </c>
      <c r="P1948" t="str">
        <f>TEXT(financial_fraud_data[[#This Row],[Transaction_Date]],"MMM")</f>
        <v>Mar</v>
      </c>
      <c r="Q1948" t="str">
        <f>IF(financial_fraud_data[[#This Row],[Is_Fraud]]=1,"Yes","No")</f>
        <v>Yes</v>
      </c>
    </row>
    <row r="1949" spans="1:17" x14ac:dyDescent="0.2">
      <c r="A1949" t="s">
        <v>2474</v>
      </c>
      <c r="B1949" t="s">
        <v>312</v>
      </c>
      <c r="C1949" s="1">
        <v>45373.125</v>
      </c>
      <c r="D1949">
        <v>7415.25</v>
      </c>
      <c r="E1949" t="s">
        <v>16</v>
      </c>
      <c r="F1949" t="s">
        <v>50</v>
      </c>
      <c r="G1949" t="s">
        <v>65</v>
      </c>
      <c r="H1949" t="s">
        <v>23</v>
      </c>
      <c r="I1949" t="s">
        <v>23</v>
      </c>
      <c r="J1949" t="s">
        <v>51</v>
      </c>
      <c r="K1949">
        <v>0</v>
      </c>
      <c r="L1949">
        <v>2</v>
      </c>
      <c r="M1949">
        <v>3.74</v>
      </c>
      <c r="N1949">
        <v>0</v>
      </c>
      <c r="O1949" t="str">
        <f>IF(financial_fraud_data[[#This Row],[Risk_Score]]&gt;8,"High",IF(financial_fraud_data[[#This Row],[Risk_Score]]&gt;5,"Med","Low"))</f>
        <v>Low</v>
      </c>
      <c r="P1949" t="str">
        <f>TEXT(financial_fraud_data[[#This Row],[Transaction_Date]],"MMM")</f>
        <v>Mar</v>
      </c>
      <c r="Q1949" t="str">
        <f>IF(financial_fraud_data[[#This Row],[Is_Fraud]]=1,"Yes","No")</f>
        <v>No</v>
      </c>
    </row>
    <row r="1950" spans="1:17" x14ac:dyDescent="0.2">
      <c r="A1950" t="s">
        <v>2475</v>
      </c>
      <c r="B1950" t="s">
        <v>1649</v>
      </c>
      <c r="C1950" s="1">
        <v>45373.166666666664</v>
      </c>
      <c r="D1950">
        <v>16443.23</v>
      </c>
      <c r="E1950" t="s">
        <v>34</v>
      </c>
      <c r="F1950" t="s">
        <v>47</v>
      </c>
      <c r="G1950" t="s">
        <v>65</v>
      </c>
      <c r="H1950" t="s">
        <v>19</v>
      </c>
      <c r="I1950" t="s">
        <v>36</v>
      </c>
      <c r="J1950" t="s">
        <v>51</v>
      </c>
      <c r="K1950">
        <v>0</v>
      </c>
      <c r="L1950">
        <v>3</v>
      </c>
      <c r="M1950">
        <v>7.14</v>
      </c>
      <c r="N1950">
        <v>1</v>
      </c>
      <c r="O1950" t="str">
        <f>IF(financial_fraud_data[[#This Row],[Risk_Score]]&gt;8,"High",IF(financial_fraud_data[[#This Row],[Risk_Score]]&gt;5,"Med","Low"))</f>
        <v>Med</v>
      </c>
      <c r="P1950" t="str">
        <f>TEXT(financial_fraud_data[[#This Row],[Transaction_Date]],"MMM")</f>
        <v>Mar</v>
      </c>
      <c r="Q1950" t="str">
        <f>IF(financial_fraud_data[[#This Row],[Is_Fraud]]=1,"Yes","No")</f>
        <v>Yes</v>
      </c>
    </row>
    <row r="1951" spans="1:17" x14ac:dyDescent="0.2">
      <c r="A1951" t="s">
        <v>2476</v>
      </c>
      <c r="B1951" t="s">
        <v>1867</v>
      </c>
      <c r="C1951" s="1">
        <v>45373.208333333336</v>
      </c>
      <c r="D1951">
        <v>21729.27</v>
      </c>
      <c r="E1951" t="s">
        <v>34</v>
      </c>
      <c r="F1951" t="s">
        <v>50</v>
      </c>
      <c r="G1951" t="s">
        <v>65</v>
      </c>
      <c r="H1951" t="s">
        <v>36</v>
      </c>
      <c r="I1951" t="s">
        <v>24</v>
      </c>
      <c r="J1951" t="s">
        <v>37</v>
      </c>
      <c r="K1951">
        <v>0</v>
      </c>
      <c r="L1951">
        <v>2</v>
      </c>
      <c r="M1951">
        <v>6.17</v>
      </c>
      <c r="N1951">
        <v>1</v>
      </c>
      <c r="O1951" t="str">
        <f>IF(financial_fraud_data[[#This Row],[Risk_Score]]&gt;8,"High",IF(financial_fraud_data[[#This Row],[Risk_Score]]&gt;5,"Med","Low"))</f>
        <v>Med</v>
      </c>
      <c r="P1951" t="str">
        <f>TEXT(financial_fraud_data[[#This Row],[Transaction_Date]],"MMM")</f>
        <v>Mar</v>
      </c>
      <c r="Q1951" t="str">
        <f>IF(financial_fraud_data[[#This Row],[Is_Fraud]]=1,"Yes","No")</f>
        <v>Yes</v>
      </c>
    </row>
    <row r="1952" spans="1:17" x14ac:dyDescent="0.2">
      <c r="A1952" t="s">
        <v>2477</v>
      </c>
      <c r="B1952" t="s">
        <v>239</v>
      </c>
      <c r="C1952" s="1">
        <v>45373.25</v>
      </c>
      <c r="D1952">
        <v>4475.59</v>
      </c>
      <c r="E1952" t="s">
        <v>80</v>
      </c>
      <c r="F1952" t="s">
        <v>47</v>
      </c>
      <c r="G1952" t="s">
        <v>18</v>
      </c>
      <c r="H1952" t="s">
        <v>24</v>
      </c>
      <c r="I1952" t="s">
        <v>23</v>
      </c>
      <c r="J1952" t="s">
        <v>37</v>
      </c>
      <c r="K1952">
        <v>0</v>
      </c>
      <c r="L1952">
        <v>0</v>
      </c>
      <c r="M1952">
        <v>1.45</v>
      </c>
      <c r="N1952">
        <v>0</v>
      </c>
      <c r="O1952" t="str">
        <f>IF(financial_fraud_data[[#This Row],[Risk_Score]]&gt;8,"High",IF(financial_fraud_data[[#This Row],[Risk_Score]]&gt;5,"Med","Low"))</f>
        <v>Low</v>
      </c>
      <c r="P1952" t="str">
        <f>TEXT(financial_fraud_data[[#This Row],[Transaction_Date]],"MMM")</f>
        <v>Mar</v>
      </c>
      <c r="Q1952" t="str">
        <f>IF(financial_fraud_data[[#This Row],[Is_Fraud]]=1,"Yes","No")</f>
        <v>No</v>
      </c>
    </row>
    <row r="1953" spans="1:17" x14ac:dyDescent="0.2">
      <c r="A1953" t="s">
        <v>2478</v>
      </c>
      <c r="B1953" t="s">
        <v>189</v>
      </c>
      <c r="C1953" s="1">
        <v>45373.291666666664</v>
      </c>
      <c r="D1953">
        <v>11069.57</v>
      </c>
      <c r="E1953" t="s">
        <v>34</v>
      </c>
      <c r="F1953" t="s">
        <v>27</v>
      </c>
      <c r="G1953" t="s">
        <v>56</v>
      </c>
      <c r="H1953" t="s">
        <v>36</v>
      </c>
      <c r="I1953" t="s">
        <v>19</v>
      </c>
      <c r="J1953" t="s">
        <v>37</v>
      </c>
      <c r="K1953">
        <v>1</v>
      </c>
      <c r="L1953">
        <v>1</v>
      </c>
      <c r="M1953">
        <v>5.61</v>
      </c>
      <c r="N1953">
        <v>1</v>
      </c>
      <c r="O1953" t="str">
        <f>IF(financial_fraud_data[[#This Row],[Risk_Score]]&gt;8,"High",IF(financial_fraud_data[[#This Row],[Risk_Score]]&gt;5,"Med","Low"))</f>
        <v>Med</v>
      </c>
      <c r="P1953" t="str">
        <f>TEXT(financial_fraud_data[[#This Row],[Transaction_Date]],"MMM")</f>
        <v>Mar</v>
      </c>
      <c r="Q1953" t="str">
        <f>IF(financial_fraud_data[[#This Row],[Is_Fraud]]=1,"Yes","No")</f>
        <v>Yes</v>
      </c>
    </row>
    <row r="1954" spans="1:17" x14ac:dyDescent="0.2">
      <c r="A1954" t="s">
        <v>2479</v>
      </c>
      <c r="B1954" t="s">
        <v>913</v>
      </c>
      <c r="C1954" s="1">
        <v>45373.333333333336</v>
      </c>
      <c r="D1954">
        <v>29931.35</v>
      </c>
      <c r="E1954" t="s">
        <v>80</v>
      </c>
      <c r="F1954" t="s">
        <v>17</v>
      </c>
      <c r="G1954" t="s">
        <v>56</v>
      </c>
      <c r="H1954" t="s">
        <v>24</v>
      </c>
      <c r="I1954" t="s">
        <v>29</v>
      </c>
      <c r="J1954" t="s">
        <v>20</v>
      </c>
      <c r="K1954">
        <v>0</v>
      </c>
      <c r="L1954">
        <v>1</v>
      </c>
      <c r="M1954">
        <v>5.49</v>
      </c>
      <c r="N1954">
        <v>1</v>
      </c>
      <c r="O1954" t="str">
        <f>IF(financial_fraud_data[[#This Row],[Risk_Score]]&gt;8,"High",IF(financial_fraud_data[[#This Row],[Risk_Score]]&gt;5,"Med","Low"))</f>
        <v>Med</v>
      </c>
      <c r="P1954" t="str">
        <f>TEXT(financial_fraud_data[[#This Row],[Transaction_Date]],"MMM")</f>
        <v>Mar</v>
      </c>
      <c r="Q1954" t="str">
        <f>IF(financial_fraud_data[[#This Row],[Is_Fraud]]=1,"Yes","No")</f>
        <v>Yes</v>
      </c>
    </row>
    <row r="1955" spans="1:17" x14ac:dyDescent="0.2">
      <c r="A1955" t="s">
        <v>2480</v>
      </c>
      <c r="B1955" t="s">
        <v>606</v>
      </c>
      <c r="C1955" s="1">
        <v>45373.375</v>
      </c>
      <c r="D1955">
        <v>36796.370000000003</v>
      </c>
      <c r="E1955" t="s">
        <v>80</v>
      </c>
      <c r="F1955" t="s">
        <v>50</v>
      </c>
      <c r="G1955" t="s">
        <v>28</v>
      </c>
      <c r="H1955" t="s">
        <v>19</v>
      </c>
      <c r="I1955" t="s">
        <v>29</v>
      </c>
      <c r="J1955" t="s">
        <v>20</v>
      </c>
      <c r="K1955">
        <v>0</v>
      </c>
      <c r="L1955">
        <v>3</v>
      </c>
      <c r="M1955">
        <v>9.18</v>
      </c>
      <c r="N1955">
        <v>1</v>
      </c>
      <c r="O1955" t="str">
        <f>IF(financial_fraud_data[[#This Row],[Risk_Score]]&gt;8,"High",IF(financial_fraud_data[[#This Row],[Risk_Score]]&gt;5,"Med","Low"))</f>
        <v>High</v>
      </c>
      <c r="P1955" t="str">
        <f>TEXT(financial_fraud_data[[#This Row],[Transaction_Date]],"MMM")</f>
        <v>Mar</v>
      </c>
      <c r="Q1955" t="str">
        <f>IF(financial_fraud_data[[#This Row],[Is_Fraud]]=1,"Yes","No")</f>
        <v>Yes</v>
      </c>
    </row>
    <row r="1956" spans="1:17" x14ac:dyDescent="0.2">
      <c r="A1956" t="s">
        <v>2481</v>
      </c>
      <c r="B1956" t="s">
        <v>39</v>
      </c>
      <c r="C1956" s="1">
        <v>45373.416666666664</v>
      </c>
      <c r="D1956">
        <v>49917.46</v>
      </c>
      <c r="E1956" t="s">
        <v>16</v>
      </c>
      <c r="F1956" t="s">
        <v>17</v>
      </c>
      <c r="G1956" t="s">
        <v>18</v>
      </c>
      <c r="H1956" t="s">
        <v>29</v>
      </c>
      <c r="I1956" t="s">
        <v>36</v>
      </c>
      <c r="J1956" t="s">
        <v>51</v>
      </c>
      <c r="K1956">
        <v>0</v>
      </c>
      <c r="L1956">
        <v>1</v>
      </c>
      <c r="M1956">
        <v>7.49</v>
      </c>
      <c r="N1956">
        <v>1</v>
      </c>
      <c r="O1956" t="str">
        <f>IF(financial_fraud_data[[#This Row],[Risk_Score]]&gt;8,"High",IF(financial_fraud_data[[#This Row],[Risk_Score]]&gt;5,"Med","Low"))</f>
        <v>Med</v>
      </c>
      <c r="P1956" t="str">
        <f>TEXT(financial_fraud_data[[#This Row],[Transaction_Date]],"MMM")</f>
        <v>Mar</v>
      </c>
      <c r="Q1956" t="str">
        <f>IF(financial_fraud_data[[#This Row],[Is_Fraud]]=1,"Yes","No")</f>
        <v>Yes</v>
      </c>
    </row>
    <row r="1957" spans="1:17" x14ac:dyDescent="0.2">
      <c r="A1957" t="s">
        <v>2482</v>
      </c>
      <c r="B1957" t="s">
        <v>300</v>
      </c>
      <c r="C1957" s="1">
        <v>45373.458333333336</v>
      </c>
      <c r="D1957">
        <v>46659.01</v>
      </c>
      <c r="E1957" t="s">
        <v>34</v>
      </c>
      <c r="F1957" t="s">
        <v>50</v>
      </c>
      <c r="G1957" t="s">
        <v>65</v>
      </c>
      <c r="H1957" t="s">
        <v>19</v>
      </c>
      <c r="I1957" t="s">
        <v>29</v>
      </c>
      <c r="J1957" t="s">
        <v>20</v>
      </c>
      <c r="K1957">
        <v>0</v>
      </c>
      <c r="L1957">
        <v>3</v>
      </c>
      <c r="M1957">
        <v>10.17</v>
      </c>
      <c r="N1957">
        <v>1</v>
      </c>
      <c r="O1957" t="str">
        <f>IF(financial_fraud_data[[#This Row],[Risk_Score]]&gt;8,"High",IF(financial_fraud_data[[#This Row],[Risk_Score]]&gt;5,"Med","Low"))</f>
        <v>High</v>
      </c>
      <c r="P1957" t="str">
        <f>TEXT(financial_fraud_data[[#This Row],[Transaction_Date]],"MMM")</f>
        <v>Mar</v>
      </c>
      <c r="Q1957" t="str">
        <f>IF(financial_fraud_data[[#This Row],[Is_Fraud]]=1,"Yes","No")</f>
        <v>Yes</v>
      </c>
    </row>
    <row r="1958" spans="1:17" x14ac:dyDescent="0.2">
      <c r="A1958" t="s">
        <v>2483</v>
      </c>
      <c r="B1958" t="s">
        <v>385</v>
      </c>
      <c r="C1958" s="1">
        <v>45373.5</v>
      </c>
      <c r="D1958">
        <v>32146.13</v>
      </c>
      <c r="E1958" t="s">
        <v>34</v>
      </c>
      <c r="F1958" t="s">
        <v>50</v>
      </c>
      <c r="G1958" t="s">
        <v>65</v>
      </c>
      <c r="H1958" t="s">
        <v>23</v>
      </c>
      <c r="I1958" t="s">
        <v>23</v>
      </c>
      <c r="J1958" t="s">
        <v>37</v>
      </c>
      <c r="K1958">
        <v>1</v>
      </c>
      <c r="L1958">
        <v>2</v>
      </c>
      <c r="M1958">
        <v>8.2100000000000009</v>
      </c>
      <c r="N1958">
        <v>1</v>
      </c>
      <c r="O1958" t="str">
        <f>IF(financial_fraud_data[[#This Row],[Risk_Score]]&gt;8,"High",IF(financial_fraud_data[[#This Row],[Risk_Score]]&gt;5,"Med","Low"))</f>
        <v>High</v>
      </c>
      <c r="P1958" t="str">
        <f>TEXT(financial_fraud_data[[#This Row],[Transaction_Date]],"MMM")</f>
        <v>Mar</v>
      </c>
      <c r="Q1958" t="str">
        <f>IF(financial_fraud_data[[#This Row],[Is_Fraud]]=1,"Yes","No")</f>
        <v>Yes</v>
      </c>
    </row>
    <row r="1959" spans="1:17" x14ac:dyDescent="0.2">
      <c r="A1959" t="s">
        <v>2484</v>
      </c>
      <c r="B1959" t="s">
        <v>1011</v>
      </c>
      <c r="C1959" s="1">
        <v>45373.541666666664</v>
      </c>
      <c r="D1959">
        <v>21091.34</v>
      </c>
      <c r="E1959" t="s">
        <v>80</v>
      </c>
      <c r="F1959" t="s">
        <v>50</v>
      </c>
      <c r="G1959" t="s">
        <v>35</v>
      </c>
      <c r="H1959" t="s">
        <v>19</v>
      </c>
      <c r="I1959" t="s">
        <v>29</v>
      </c>
      <c r="J1959" t="s">
        <v>20</v>
      </c>
      <c r="K1959">
        <v>0</v>
      </c>
      <c r="L1959">
        <v>2</v>
      </c>
      <c r="M1959">
        <v>6.11</v>
      </c>
      <c r="N1959">
        <v>1</v>
      </c>
      <c r="O1959" t="str">
        <f>IF(financial_fraud_data[[#This Row],[Risk_Score]]&gt;8,"High",IF(financial_fraud_data[[#This Row],[Risk_Score]]&gt;5,"Med","Low"))</f>
        <v>Med</v>
      </c>
      <c r="P1959" t="str">
        <f>TEXT(financial_fraud_data[[#This Row],[Transaction_Date]],"MMM")</f>
        <v>Mar</v>
      </c>
      <c r="Q1959" t="str">
        <f>IF(financial_fraud_data[[#This Row],[Is_Fraud]]=1,"Yes","No")</f>
        <v>Yes</v>
      </c>
    </row>
    <row r="1960" spans="1:17" x14ac:dyDescent="0.2">
      <c r="A1960" t="s">
        <v>2485</v>
      </c>
      <c r="B1960" t="s">
        <v>922</v>
      </c>
      <c r="C1960" s="1">
        <v>45373.583333333336</v>
      </c>
      <c r="D1960">
        <v>31827.06</v>
      </c>
      <c r="E1960" t="s">
        <v>80</v>
      </c>
      <c r="F1960" t="s">
        <v>27</v>
      </c>
      <c r="G1960" t="s">
        <v>35</v>
      </c>
      <c r="H1960" t="s">
        <v>24</v>
      </c>
      <c r="I1960" t="s">
        <v>23</v>
      </c>
      <c r="J1960" t="s">
        <v>20</v>
      </c>
      <c r="K1960">
        <v>0</v>
      </c>
      <c r="L1960">
        <v>0</v>
      </c>
      <c r="M1960">
        <v>4.18</v>
      </c>
      <c r="N1960">
        <v>0</v>
      </c>
      <c r="O1960" t="str">
        <f>IF(financial_fraud_data[[#This Row],[Risk_Score]]&gt;8,"High",IF(financial_fraud_data[[#This Row],[Risk_Score]]&gt;5,"Med","Low"))</f>
        <v>Low</v>
      </c>
      <c r="P1960" t="str">
        <f>TEXT(financial_fraud_data[[#This Row],[Transaction_Date]],"MMM")</f>
        <v>Mar</v>
      </c>
      <c r="Q1960" t="str">
        <f>IF(financial_fraud_data[[#This Row],[Is_Fraud]]=1,"Yes","No")</f>
        <v>No</v>
      </c>
    </row>
    <row r="1961" spans="1:17" x14ac:dyDescent="0.2">
      <c r="A1961" t="s">
        <v>2486</v>
      </c>
      <c r="B1961" t="s">
        <v>688</v>
      </c>
      <c r="C1961" s="1">
        <v>45373.625</v>
      </c>
      <c r="D1961">
        <v>39293.300000000003</v>
      </c>
      <c r="E1961" t="s">
        <v>42</v>
      </c>
      <c r="F1961" t="s">
        <v>47</v>
      </c>
      <c r="G1961" t="s">
        <v>28</v>
      </c>
      <c r="H1961" t="s">
        <v>36</v>
      </c>
      <c r="I1961" t="s">
        <v>23</v>
      </c>
      <c r="J1961" t="s">
        <v>20</v>
      </c>
      <c r="K1961">
        <v>0</v>
      </c>
      <c r="L1961">
        <v>1</v>
      </c>
      <c r="M1961">
        <v>6.43</v>
      </c>
      <c r="N1961">
        <v>1</v>
      </c>
      <c r="O1961" t="str">
        <f>IF(financial_fraud_data[[#This Row],[Risk_Score]]&gt;8,"High",IF(financial_fraud_data[[#This Row],[Risk_Score]]&gt;5,"Med","Low"))</f>
        <v>Med</v>
      </c>
      <c r="P1961" t="str">
        <f>TEXT(financial_fraud_data[[#This Row],[Transaction_Date]],"MMM")</f>
        <v>Mar</v>
      </c>
      <c r="Q1961" t="str">
        <f>IF(financial_fraud_data[[#This Row],[Is_Fraud]]=1,"Yes","No")</f>
        <v>Yes</v>
      </c>
    </row>
    <row r="1962" spans="1:17" x14ac:dyDescent="0.2">
      <c r="A1962" t="s">
        <v>2487</v>
      </c>
      <c r="B1962" t="s">
        <v>341</v>
      </c>
      <c r="C1962" s="1">
        <v>45373.666666666664</v>
      </c>
      <c r="D1962">
        <v>5960.89</v>
      </c>
      <c r="E1962" t="s">
        <v>42</v>
      </c>
      <c r="F1962" t="s">
        <v>50</v>
      </c>
      <c r="G1962" t="s">
        <v>65</v>
      </c>
      <c r="H1962" t="s">
        <v>29</v>
      </c>
      <c r="I1962" t="s">
        <v>24</v>
      </c>
      <c r="J1962" t="s">
        <v>20</v>
      </c>
      <c r="K1962">
        <v>0</v>
      </c>
      <c r="L1962">
        <v>0</v>
      </c>
      <c r="M1962">
        <v>1.6</v>
      </c>
      <c r="N1962">
        <v>0</v>
      </c>
      <c r="O1962" t="str">
        <f>IF(financial_fraud_data[[#This Row],[Risk_Score]]&gt;8,"High",IF(financial_fraud_data[[#This Row],[Risk_Score]]&gt;5,"Med","Low"))</f>
        <v>Low</v>
      </c>
      <c r="P1962" t="str">
        <f>TEXT(financial_fraud_data[[#This Row],[Transaction_Date]],"MMM")</f>
        <v>Mar</v>
      </c>
      <c r="Q1962" t="str">
        <f>IF(financial_fraud_data[[#This Row],[Is_Fraud]]=1,"Yes","No")</f>
        <v>No</v>
      </c>
    </row>
    <row r="1963" spans="1:17" x14ac:dyDescent="0.2">
      <c r="A1963" t="s">
        <v>2488</v>
      </c>
      <c r="B1963" t="s">
        <v>567</v>
      </c>
      <c r="C1963" s="1">
        <v>45373.708333333336</v>
      </c>
      <c r="D1963">
        <v>20524.75</v>
      </c>
      <c r="E1963" t="s">
        <v>80</v>
      </c>
      <c r="F1963" t="s">
        <v>27</v>
      </c>
      <c r="G1963" t="s">
        <v>28</v>
      </c>
      <c r="H1963" t="s">
        <v>19</v>
      </c>
      <c r="I1963" t="s">
        <v>36</v>
      </c>
      <c r="J1963" t="s">
        <v>37</v>
      </c>
      <c r="K1963">
        <v>1</v>
      </c>
      <c r="L1963">
        <v>4</v>
      </c>
      <c r="M1963">
        <v>11.05</v>
      </c>
      <c r="N1963">
        <v>1</v>
      </c>
      <c r="O1963" t="str">
        <f>IF(financial_fraud_data[[#This Row],[Risk_Score]]&gt;8,"High",IF(financial_fraud_data[[#This Row],[Risk_Score]]&gt;5,"Med","Low"))</f>
        <v>High</v>
      </c>
      <c r="P1963" t="str">
        <f>TEXT(financial_fraud_data[[#This Row],[Transaction_Date]],"MMM")</f>
        <v>Mar</v>
      </c>
      <c r="Q1963" t="str">
        <f>IF(financial_fraud_data[[#This Row],[Is_Fraud]]=1,"Yes","No")</f>
        <v>Yes</v>
      </c>
    </row>
    <row r="1964" spans="1:17" x14ac:dyDescent="0.2">
      <c r="A1964" t="s">
        <v>2489</v>
      </c>
      <c r="B1964" t="s">
        <v>174</v>
      </c>
      <c r="C1964" s="1">
        <v>45373.75</v>
      </c>
      <c r="D1964">
        <v>41998.12</v>
      </c>
      <c r="E1964" t="s">
        <v>42</v>
      </c>
      <c r="F1964" t="s">
        <v>50</v>
      </c>
      <c r="G1964" t="s">
        <v>18</v>
      </c>
      <c r="H1964" t="s">
        <v>19</v>
      </c>
      <c r="I1964" t="s">
        <v>19</v>
      </c>
      <c r="J1964" t="s">
        <v>37</v>
      </c>
      <c r="K1964">
        <v>1</v>
      </c>
      <c r="L1964">
        <v>0</v>
      </c>
      <c r="M1964">
        <v>6.2</v>
      </c>
      <c r="N1964">
        <v>1</v>
      </c>
      <c r="O1964" t="str">
        <f>IF(financial_fraud_data[[#This Row],[Risk_Score]]&gt;8,"High",IF(financial_fraud_data[[#This Row],[Risk_Score]]&gt;5,"Med","Low"))</f>
        <v>Med</v>
      </c>
      <c r="P1964" t="str">
        <f>TEXT(financial_fraud_data[[#This Row],[Transaction_Date]],"MMM")</f>
        <v>Mar</v>
      </c>
      <c r="Q1964" t="str">
        <f>IF(financial_fraud_data[[#This Row],[Is_Fraud]]=1,"Yes","No")</f>
        <v>Yes</v>
      </c>
    </row>
    <row r="1965" spans="1:17" x14ac:dyDescent="0.2">
      <c r="A1965" t="s">
        <v>2490</v>
      </c>
      <c r="B1965" t="s">
        <v>337</v>
      </c>
      <c r="C1965" s="1">
        <v>45373.791666666664</v>
      </c>
      <c r="D1965">
        <v>19222.46</v>
      </c>
      <c r="E1965" t="s">
        <v>42</v>
      </c>
      <c r="F1965" t="s">
        <v>47</v>
      </c>
      <c r="G1965" t="s">
        <v>56</v>
      </c>
      <c r="H1965" t="s">
        <v>36</v>
      </c>
      <c r="I1965" t="s">
        <v>23</v>
      </c>
      <c r="J1965" t="s">
        <v>51</v>
      </c>
      <c r="K1965">
        <v>0</v>
      </c>
      <c r="L1965">
        <v>3</v>
      </c>
      <c r="M1965">
        <v>7.42</v>
      </c>
      <c r="N1965">
        <v>1</v>
      </c>
      <c r="O1965" t="str">
        <f>IF(financial_fraud_data[[#This Row],[Risk_Score]]&gt;8,"High",IF(financial_fraud_data[[#This Row],[Risk_Score]]&gt;5,"Med","Low"))</f>
        <v>Med</v>
      </c>
      <c r="P1965" t="str">
        <f>TEXT(financial_fraud_data[[#This Row],[Transaction_Date]],"MMM")</f>
        <v>Mar</v>
      </c>
      <c r="Q1965" t="str">
        <f>IF(financial_fraud_data[[#This Row],[Is_Fraud]]=1,"Yes","No")</f>
        <v>Yes</v>
      </c>
    </row>
    <row r="1966" spans="1:17" x14ac:dyDescent="0.2">
      <c r="A1966" t="s">
        <v>2491</v>
      </c>
      <c r="B1966" t="s">
        <v>100</v>
      </c>
      <c r="C1966" s="1">
        <v>45373.833333333336</v>
      </c>
      <c r="D1966">
        <v>28615.02</v>
      </c>
      <c r="E1966" t="s">
        <v>80</v>
      </c>
      <c r="F1966" t="s">
        <v>50</v>
      </c>
      <c r="G1966" t="s">
        <v>65</v>
      </c>
      <c r="H1966" t="s">
        <v>29</v>
      </c>
      <c r="I1966" t="s">
        <v>36</v>
      </c>
      <c r="J1966" t="s">
        <v>51</v>
      </c>
      <c r="K1966">
        <v>1</v>
      </c>
      <c r="L1966">
        <v>3</v>
      </c>
      <c r="M1966">
        <v>10.36</v>
      </c>
      <c r="N1966">
        <v>1</v>
      </c>
      <c r="O1966" t="str">
        <f>IF(financial_fraud_data[[#This Row],[Risk_Score]]&gt;8,"High",IF(financial_fraud_data[[#This Row],[Risk_Score]]&gt;5,"Med","Low"))</f>
        <v>High</v>
      </c>
      <c r="P1966" t="str">
        <f>TEXT(financial_fraud_data[[#This Row],[Transaction_Date]],"MMM")</f>
        <v>Mar</v>
      </c>
      <c r="Q1966" t="str">
        <f>IF(financial_fraud_data[[#This Row],[Is_Fraud]]=1,"Yes","No")</f>
        <v>Yes</v>
      </c>
    </row>
    <row r="1967" spans="1:17" x14ac:dyDescent="0.2">
      <c r="A1967" t="s">
        <v>2492</v>
      </c>
      <c r="B1967" t="s">
        <v>270</v>
      </c>
      <c r="C1967" s="1">
        <v>45373.875</v>
      </c>
      <c r="D1967">
        <v>29409.08</v>
      </c>
      <c r="E1967" t="s">
        <v>80</v>
      </c>
      <c r="F1967" t="s">
        <v>27</v>
      </c>
      <c r="G1967" t="s">
        <v>18</v>
      </c>
      <c r="H1967" t="s">
        <v>19</v>
      </c>
      <c r="I1967" t="s">
        <v>19</v>
      </c>
      <c r="J1967" t="s">
        <v>51</v>
      </c>
      <c r="K1967">
        <v>0</v>
      </c>
      <c r="L1967">
        <v>0</v>
      </c>
      <c r="M1967">
        <v>2.94</v>
      </c>
      <c r="N1967">
        <v>0</v>
      </c>
      <c r="O1967" t="str">
        <f>IF(financial_fraud_data[[#This Row],[Risk_Score]]&gt;8,"High",IF(financial_fraud_data[[#This Row],[Risk_Score]]&gt;5,"Med","Low"))</f>
        <v>Low</v>
      </c>
      <c r="P1967" t="str">
        <f>TEXT(financial_fraud_data[[#This Row],[Transaction_Date]],"MMM")</f>
        <v>Mar</v>
      </c>
      <c r="Q1967" t="str">
        <f>IF(financial_fraud_data[[#This Row],[Is_Fraud]]=1,"Yes","No")</f>
        <v>No</v>
      </c>
    </row>
    <row r="1968" spans="1:17" x14ac:dyDescent="0.2">
      <c r="A1968" t="s">
        <v>2493</v>
      </c>
      <c r="B1968" t="s">
        <v>180</v>
      </c>
      <c r="C1968" s="1">
        <v>45373.916666666664</v>
      </c>
      <c r="D1968">
        <v>9264.59</v>
      </c>
      <c r="E1968" t="s">
        <v>34</v>
      </c>
      <c r="F1968" t="s">
        <v>47</v>
      </c>
      <c r="G1968" t="s">
        <v>65</v>
      </c>
      <c r="H1968" t="s">
        <v>19</v>
      </c>
      <c r="I1968" t="s">
        <v>29</v>
      </c>
      <c r="J1968" t="s">
        <v>20</v>
      </c>
      <c r="K1968">
        <v>0</v>
      </c>
      <c r="L1968">
        <v>2</v>
      </c>
      <c r="M1968">
        <v>4.93</v>
      </c>
      <c r="N1968">
        <v>0</v>
      </c>
      <c r="O1968" t="str">
        <f>IF(financial_fraud_data[[#This Row],[Risk_Score]]&gt;8,"High",IF(financial_fraud_data[[#This Row],[Risk_Score]]&gt;5,"Med","Low"))</f>
        <v>Low</v>
      </c>
      <c r="P1968" t="str">
        <f>TEXT(financial_fraud_data[[#This Row],[Transaction_Date]],"MMM")</f>
        <v>Mar</v>
      </c>
      <c r="Q1968" t="str">
        <f>IF(financial_fraud_data[[#This Row],[Is_Fraud]]=1,"Yes","No")</f>
        <v>No</v>
      </c>
    </row>
    <row r="1969" spans="1:17" x14ac:dyDescent="0.2">
      <c r="A1969" t="s">
        <v>2494</v>
      </c>
      <c r="B1969" t="s">
        <v>117</v>
      </c>
      <c r="C1969" s="1">
        <v>45373.958333333336</v>
      </c>
      <c r="D1969">
        <v>18143.66</v>
      </c>
      <c r="E1969" t="s">
        <v>80</v>
      </c>
      <c r="F1969" t="s">
        <v>27</v>
      </c>
      <c r="G1969" t="s">
        <v>35</v>
      </c>
      <c r="H1969" t="s">
        <v>24</v>
      </c>
      <c r="I1969" t="s">
        <v>36</v>
      </c>
      <c r="J1969" t="s">
        <v>20</v>
      </c>
      <c r="K1969">
        <v>0</v>
      </c>
      <c r="L1969">
        <v>4</v>
      </c>
      <c r="M1969">
        <v>8.81</v>
      </c>
      <c r="N1969">
        <v>1</v>
      </c>
      <c r="O1969" t="str">
        <f>IF(financial_fraud_data[[#This Row],[Risk_Score]]&gt;8,"High",IF(financial_fraud_data[[#This Row],[Risk_Score]]&gt;5,"Med","Low"))</f>
        <v>High</v>
      </c>
      <c r="P1969" t="str">
        <f>TEXT(financial_fraud_data[[#This Row],[Transaction_Date]],"MMM")</f>
        <v>Mar</v>
      </c>
      <c r="Q1969" t="str">
        <f>IF(financial_fraud_data[[#This Row],[Is_Fraud]]=1,"Yes","No")</f>
        <v>Yes</v>
      </c>
    </row>
    <row r="1970" spans="1:17" x14ac:dyDescent="0.2">
      <c r="A1970" t="s">
        <v>2495</v>
      </c>
      <c r="B1970" t="s">
        <v>106</v>
      </c>
      <c r="C1970" s="1">
        <v>45374</v>
      </c>
      <c r="D1970">
        <v>16758.84</v>
      </c>
      <c r="E1970" t="s">
        <v>80</v>
      </c>
      <c r="F1970" t="s">
        <v>47</v>
      </c>
      <c r="G1970" t="s">
        <v>28</v>
      </c>
      <c r="H1970" t="s">
        <v>24</v>
      </c>
      <c r="I1970" t="s">
        <v>36</v>
      </c>
      <c r="J1970" t="s">
        <v>37</v>
      </c>
      <c r="K1970">
        <v>0</v>
      </c>
      <c r="L1970">
        <v>0</v>
      </c>
      <c r="M1970">
        <v>2.68</v>
      </c>
      <c r="N1970">
        <v>0</v>
      </c>
      <c r="O1970" t="str">
        <f>IF(financial_fraud_data[[#This Row],[Risk_Score]]&gt;8,"High",IF(financial_fraud_data[[#This Row],[Risk_Score]]&gt;5,"Med","Low"))</f>
        <v>Low</v>
      </c>
      <c r="P1970" t="str">
        <f>TEXT(financial_fraud_data[[#This Row],[Transaction_Date]],"MMM")</f>
        <v>Mar</v>
      </c>
      <c r="Q1970" t="str">
        <f>IF(financial_fraud_data[[#This Row],[Is_Fraud]]=1,"Yes","No")</f>
        <v>No</v>
      </c>
    </row>
    <row r="1971" spans="1:17" x14ac:dyDescent="0.2">
      <c r="A1971" t="s">
        <v>2496</v>
      </c>
      <c r="B1971" t="s">
        <v>425</v>
      </c>
      <c r="C1971" s="1">
        <v>45374.041666666664</v>
      </c>
      <c r="D1971">
        <v>1358.53</v>
      </c>
      <c r="E1971" t="s">
        <v>16</v>
      </c>
      <c r="F1971" t="s">
        <v>47</v>
      </c>
      <c r="G1971" t="s">
        <v>35</v>
      </c>
      <c r="H1971" t="s">
        <v>23</v>
      </c>
      <c r="I1971" t="s">
        <v>36</v>
      </c>
      <c r="J1971" t="s">
        <v>51</v>
      </c>
      <c r="K1971">
        <v>0</v>
      </c>
      <c r="L1971">
        <v>2</v>
      </c>
      <c r="M1971">
        <v>4.1399999999999997</v>
      </c>
      <c r="N1971">
        <v>0</v>
      </c>
      <c r="O1971" t="str">
        <f>IF(financial_fraud_data[[#This Row],[Risk_Score]]&gt;8,"High",IF(financial_fraud_data[[#This Row],[Risk_Score]]&gt;5,"Med","Low"))</f>
        <v>Low</v>
      </c>
      <c r="P1971" t="str">
        <f>TEXT(financial_fraud_data[[#This Row],[Transaction_Date]],"MMM")</f>
        <v>Mar</v>
      </c>
      <c r="Q1971" t="str">
        <f>IF(financial_fraud_data[[#This Row],[Is_Fraud]]=1,"Yes","No")</f>
        <v>No</v>
      </c>
    </row>
    <row r="1972" spans="1:17" x14ac:dyDescent="0.2">
      <c r="A1972" t="s">
        <v>2497</v>
      </c>
      <c r="B1972" t="s">
        <v>398</v>
      </c>
      <c r="C1972" s="1">
        <v>45374.083333333336</v>
      </c>
      <c r="D1972">
        <v>1258.3800000000001</v>
      </c>
      <c r="E1972" t="s">
        <v>34</v>
      </c>
      <c r="F1972" t="s">
        <v>17</v>
      </c>
      <c r="G1972" t="s">
        <v>56</v>
      </c>
      <c r="H1972" t="s">
        <v>36</v>
      </c>
      <c r="I1972" t="s">
        <v>29</v>
      </c>
      <c r="J1972" t="s">
        <v>37</v>
      </c>
      <c r="K1972">
        <v>1</v>
      </c>
      <c r="L1972">
        <v>0</v>
      </c>
      <c r="M1972">
        <v>3.13</v>
      </c>
      <c r="N1972">
        <v>0</v>
      </c>
      <c r="O1972" t="str">
        <f>IF(financial_fraud_data[[#This Row],[Risk_Score]]&gt;8,"High",IF(financial_fraud_data[[#This Row],[Risk_Score]]&gt;5,"Med","Low"))</f>
        <v>Low</v>
      </c>
      <c r="P1972" t="str">
        <f>TEXT(financial_fraud_data[[#This Row],[Transaction_Date]],"MMM")</f>
        <v>Mar</v>
      </c>
      <c r="Q1972" t="str">
        <f>IF(financial_fraud_data[[#This Row],[Is_Fraud]]=1,"Yes","No")</f>
        <v>No</v>
      </c>
    </row>
    <row r="1973" spans="1:17" x14ac:dyDescent="0.2">
      <c r="A1973" t="s">
        <v>2498</v>
      </c>
      <c r="B1973" t="s">
        <v>221</v>
      </c>
      <c r="C1973" s="1">
        <v>45374.125</v>
      </c>
      <c r="D1973">
        <v>41593.269999999997</v>
      </c>
      <c r="E1973" t="s">
        <v>34</v>
      </c>
      <c r="F1973" t="s">
        <v>17</v>
      </c>
      <c r="G1973" t="s">
        <v>35</v>
      </c>
      <c r="H1973" t="s">
        <v>29</v>
      </c>
      <c r="I1973" t="s">
        <v>29</v>
      </c>
      <c r="J1973" t="s">
        <v>51</v>
      </c>
      <c r="K1973">
        <v>0</v>
      </c>
      <c r="L1973">
        <v>1</v>
      </c>
      <c r="M1973">
        <v>5.66</v>
      </c>
      <c r="N1973">
        <v>1</v>
      </c>
      <c r="O1973" t="str">
        <f>IF(financial_fraud_data[[#This Row],[Risk_Score]]&gt;8,"High",IF(financial_fraud_data[[#This Row],[Risk_Score]]&gt;5,"Med","Low"))</f>
        <v>Med</v>
      </c>
      <c r="P1973" t="str">
        <f>TEXT(financial_fraud_data[[#This Row],[Transaction_Date]],"MMM")</f>
        <v>Mar</v>
      </c>
      <c r="Q1973" t="str">
        <f>IF(financial_fraud_data[[#This Row],[Is_Fraud]]=1,"Yes","No")</f>
        <v>Yes</v>
      </c>
    </row>
    <row r="1974" spans="1:17" x14ac:dyDescent="0.2">
      <c r="A1974" t="s">
        <v>2499</v>
      </c>
      <c r="B1974" t="s">
        <v>1243</v>
      </c>
      <c r="C1974" s="1">
        <v>45374.166666666664</v>
      </c>
      <c r="D1974">
        <v>13689.89</v>
      </c>
      <c r="E1974" t="s">
        <v>34</v>
      </c>
      <c r="F1974" t="s">
        <v>17</v>
      </c>
      <c r="G1974" t="s">
        <v>65</v>
      </c>
      <c r="H1974" t="s">
        <v>19</v>
      </c>
      <c r="I1974" t="s">
        <v>36</v>
      </c>
      <c r="J1974" t="s">
        <v>51</v>
      </c>
      <c r="K1974">
        <v>0</v>
      </c>
      <c r="L1974">
        <v>3</v>
      </c>
      <c r="M1974">
        <v>6.87</v>
      </c>
      <c r="N1974">
        <v>1</v>
      </c>
      <c r="O1974" t="str">
        <f>IF(financial_fraud_data[[#This Row],[Risk_Score]]&gt;8,"High",IF(financial_fraud_data[[#This Row],[Risk_Score]]&gt;5,"Med","Low"))</f>
        <v>Med</v>
      </c>
      <c r="P1974" t="str">
        <f>TEXT(financial_fraud_data[[#This Row],[Transaction_Date]],"MMM")</f>
        <v>Mar</v>
      </c>
      <c r="Q1974" t="str">
        <f>IF(financial_fraud_data[[#This Row],[Is_Fraud]]=1,"Yes","No")</f>
        <v>Yes</v>
      </c>
    </row>
    <row r="1975" spans="1:17" x14ac:dyDescent="0.2">
      <c r="A1975" t="s">
        <v>2500</v>
      </c>
      <c r="B1975" t="s">
        <v>814</v>
      </c>
      <c r="C1975" s="1">
        <v>45374.208333333336</v>
      </c>
      <c r="D1975">
        <v>25928.03</v>
      </c>
      <c r="E1975" t="s">
        <v>16</v>
      </c>
      <c r="F1975" t="s">
        <v>47</v>
      </c>
      <c r="G1975" t="s">
        <v>35</v>
      </c>
      <c r="H1975" t="s">
        <v>19</v>
      </c>
      <c r="I1975" t="s">
        <v>24</v>
      </c>
      <c r="J1975" t="s">
        <v>51</v>
      </c>
      <c r="K1975">
        <v>0</v>
      </c>
      <c r="L1975">
        <v>1</v>
      </c>
      <c r="M1975">
        <v>5.09</v>
      </c>
      <c r="N1975">
        <v>1</v>
      </c>
      <c r="O1975" t="str">
        <f>IF(financial_fraud_data[[#This Row],[Risk_Score]]&gt;8,"High",IF(financial_fraud_data[[#This Row],[Risk_Score]]&gt;5,"Med","Low"))</f>
        <v>Med</v>
      </c>
      <c r="P1975" t="str">
        <f>TEXT(financial_fraud_data[[#This Row],[Transaction_Date]],"MMM")</f>
        <v>Mar</v>
      </c>
      <c r="Q1975" t="str">
        <f>IF(financial_fraud_data[[#This Row],[Is_Fraud]]=1,"Yes","No")</f>
        <v>Yes</v>
      </c>
    </row>
    <row r="1976" spans="1:17" x14ac:dyDescent="0.2">
      <c r="A1976" t="s">
        <v>2501</v>
      </c>
      <c r="B1976" t="s">
        <v>770</v>
      </c>
      <c r="C1976" s="1">
        <v>45374.25</v>
      </c>
      <c r="D1976">
        <v>14971.34</v>
      </c>
      <c r="E1976" t="s">
        <v>80</v>
      </c>
      <c r="F1976" t="s">
        <v>50</v>
      </c>
      <c r="G1976" t="s">
        <v>65</v>
      </c>
      <c r="H1976" t="s">
        <v>23</v>
      </c>
      <c r="I1976" t="s">
        <v>23</v>
      </c>
      <c r="J1976" t="s">
        <v>20</v>
      </c>
      <c r="K1976">
        <v>0</v>
      </c>
      <c r="L1976">
        <v>1</v>
      </c>
      <c r="M1976">
        <v>3</v>
      </c>
      <c r="N1976">
        <v>0</v>
      </c>
      <c r="O1976" t="str">
        <f>IF(financial_fraud_data[[#This Row],[Risk_Score]]&gt;8,"High",IF(financial_fraud_data[[#This Row],[Risk_Score]]&gt;5,"Med","Low"))</f>
        <v>Low</v>
      </c>
      <c r="P1976" t="str">
        <f>TEXT(financial_fraud_data[[#This Row],[Transaction_Date]],"MMM")</f>
        <v>Mar</v>
      </c>
      <c r="Q1976" t="str">
        <f>IF(financial_fraud_data[[#This Row],[Is_Fraud]]=1,"Yes","No")</f>
        <v>No</v>
      </c>
    </row>
    <row r="1977" spans="1:17" x14ac:dyDescent="0.2">
      <c r="A1977" t="s">
        <v>2502</v>
      </c>
      <c r="B1977" t="s">
        <v>255</v>
      </c>
      <c r="C1977" s="1">
        <v>45374.291666666664</v>
      </c>
      <c r="D1977">
        <v>47036.93</v>
      </c>
      <c r="E1977" t="s">
        <v>34</v>
      </c>
      <c r="F1977" t="s">
        <v>27</v>
      </c>
      <c r="G1977" t="s">
        <v>56</v>
      </c>
      <c r="H1977" t="s">
        <v>19</v>
      </c>
      <c r="I1977" t="s">
        <v>29</v>
      </c>
      <c r="J1977" t="s">
        <v>51</v>
      </c>
      <c r="K1977">
        <v>0</v>
      </c>
      <c r="L1977">
        <v>4</v>
      </c>
      <c r="M1977">
        <v>11.7</v>
      </c>
      <c r="N1977">
        <v>1</v>
      </c>
      <c r="O1977" t="str">
        <f>IF(financial_fraud_data[[#This Row],[Risk_Score]]&gt;8,"High",IF(financial_fraud_data[[#This Row],[Risk_Score]]&gt;5,"Med","Low"))</f>
        <v>High</v>
      </c>
      <c r="P1977" t="str">
        <f>TEXT(financial_fraud_data[[#This Row],[Transaction_Date]],"MMM")</f>
        <v>Mar</v>
      </c>
      <c r="Q1977" t="str">
        <f>IF(financial_fraud_data[[#This Row],[Is_Fraud]]=1,"Yes","No")</f>
        <v>Yes</v>
      </c>
    </row>
    <row r="1978" spans="1:17" x14ac:dyDescent="0.2">
      <c r="A1978" t="s">
        <v>2503</v>
      </c>
      <c r="B1978" t="s">
        <v>1088</v>
      </c>
      <c r="C1978" s="1">
        <v>45374.333333333336</v>
      </c>
      <c r="D1978">
        <v>13001.87</v>
      </c>
      <c r="E1978" t="s">
        <v>34</v>
      </c>
      <c r="F1978" t="s">
        <v>27</v>
      </c>
      <c r="G1978" t="s">
        <v>35</v>
      </c>
      <c r="H1978" t="s">
        <v>36</v>
      </c>
      <c r="I1978" t="s">
        <v>24</v>
      </c>
      <c r="J1978" t="s">
        <v>51</v>
      </c>
      <c r="K1978">
        <v>0</v>
      </c>
      <c r="L1978">
        <v>2</v>
      </c>
      <c r="M1978">
        <v>5.3</v>
      </c>
      <c r="N1978">
        <v>1</v>
      </c>
      <c r="O1978" t="str">
        <f>IF(financial_fraud_data[[#This Row],[Risk_Score]]&gt;8,"High",IF(financial_fraud_data[[#This Row],[Risk_Score]]&gt;5,"Med","Low"))</f>
        <v>Med</v>
      </c>
      <c r="P1978" t="str">
        <f>TEXT(financial_fraud_data[[#This Row],[Transaction_Date]],"MMM")</f>
        <v>Mar</v>
      </c>
      <c r="Q1978" t="str">
        <f>IF(financial_fraud_data[[#This Row],[Is_Fraud]]=1,"Yes","No")</f>
        <v>Yes</v>
      </c>
    </row>
    <row r="1979" spans="1:17" x14ac:dyDescent="0.2">
      <c r="A1979" t="s">
        <v>2504</v>
      </c>
      <c r="B1979" t="s">
        <v>125</v>
      </c>
      <c r="C1979" s="1">
        <v>45374.375</v>
      </c>
      <c r="D1979">
        <v>21511.360000000001</v>
      </c>
      <c r="E1979" t="s">
        <v>42</v>
      </c>
      <c r="F1979" t="s">
        <v>27</v>
      </c>
      <c r="G1979" t="s">
        <v>28</v>
      </c>
      <c r="H1979" t="s">
        <v>23</v>
      </c>
      <c r="I1979" t="s">
        <v>29</v>
      </c>
      <c r="J1979" t="s">
        <v>20</v>
      </c>
      <c r="K1979">
        <v>0</v>
      </c>
      <c r="L1979">
        <v>3</v>
      </c>
      <c r="M1979">
        <v>7.65</v>
      </c>
      <c r="N1979">
        <v>1</v>
      </c>
      <c r="O1979" t="str">
        <f>IF(financial_fraud_data[[#This Row],[Risk_Score]]&gt;8,"High",IF(financial_fraud_data[[#This Row],[Risk_Score]]&gt;5,"Med","Low"))</f>
        <v>Med</v>
      </c>
      <c r="P1979" t="str">
        <f>TEXT(financial_fraud_data[[#This Row],[Transaction_Date]],"MMM")</f>
        <v>Mar</v>
      </c>
      <c r="Q1979" t="str">
        <f>IF(financial_fraud_data[[#This Row],[Is_Fraud]]=1,"Yes","No")</f>
        <v>Yes</v>
      </c>
    </row>
    <row r="1980" spans="1:17" x14ac:dyDescent="0.2">
      <c r="A1980" t="s">
        <v>2505</v>
      </c>
      <c r="B1980" t="s">
        <v>1636</v>
      </c>
      <c r="C1980" s="1">
        <v>45374.416666666664</v>
      </c>
      <c r="D1980">
        <v>43642.879999999997</v>
      </c>
      <c r="E1980" t="s">
        <v>34</v>
      </c>
      <c r="F1980" t="s">
        <v>17</v>
      </c>
      <c r="G1980" t="s">
        <v>28</v>
      </c>
      <c r="H1980" t="s">
        <v>36</v>
      </c>
      <c r="I1980" t="s">
        <v>36</v>
      </c>
      <c r="J1980" t="s">
        <v>51</v>
      </c>
      <c r="K1980">
        <v>0</v>
      </c>
      <c r="L1980">
        <v>1</v>
      </c>
      <c r="M1980">
        <v>5.86</v>
      </c>
      <c r="N1980">
        <v>1</v>
      </c>
      <c r="O1980" t="str">
        <f>IF(financial_fraud_data[[#This Row],[Risk_Score]]&gt;8,"High",IF(financial_fraud_data[[#This Row],[Risk_Score]]&gt;5,"Med","Low"))</f>
        <v>Med</v>
      </c>
      <c r="P1980" t="str">
        <f>TEXT(financial_fraud_data[[#This Row],[Transaction_Date]],"MMM")</f>
        <v>Mar</v>
      </c>
      <c r="Q1980" t="str">
        <f>IF(financial_fraud_data[[#This Row],[Is_Fraud]]=1,"Yes","No")</f>
        <v>Yes</v>
      </c>
    </row>
    <row r="1981" spans="1:17" x14ac:dyDescent="0.2">
      <c r="A1981" t="s">
        <v>2506</v>
      </c>
      <c r="B1981" t="s">
        <v>705</v>
      </c>
      <c r="C1981" s="1">
        <v>45374.458333333336</v>
      </c>
      <c r="D1981">
        <v>42104.58</v>
      </c>
      <c r="E1981" t="s">
        <v>80</v>
      </c>
      <c r="F1981" t="s">
        <v>47</v>
      </c>
      <c r="G1981" t="s">
        <v>28</v>
      </c>
      <c r="H1981" t="s">
        <v>23</v>
      </c>
      <c r="I1981" t="s">
        <v>24</v>
      </c>
      <c r="J1981" t="s">
        <v>20</v>
      </c>
      <c r="K1981">
        <v>0</v>
      </c>
      <c r="L1981">
        <v>3</v>
      </c>
      <c r="M1981">
        <v>9.7100000000000009</v>
      </c>
      <c r="N1981">
        <v>1</v>
      </c>
      <c r="O1981" t="str">
        <f>IF(financial_fraud_data[[#This Row],[Risk_Score]]&gt;8,"High",IF(financial_fraud_data[[#This Row],[Risk_Score]]&gt;5,"Med","Low"))</f>
        <v>High</v>
      </c>
      <c r="P1981" t="str">
        <f>TEXT(financial_fraud_data[[#This Row],[Transaction_Date]],"MMM")</f>
        <v>Mar</v>
      </c>
      <c r="Q1981" t="str">
        <f>IF(financial_fraud_data[[#This Row],[Is_Fraud]]=1,"Yes","No")</f>
        <v>Yes</v>
      </c>
    </row>
    <row r="1982" spans="1:17" x14ac:dyDescent="0.2">
      <c r="A1982" t="s">
        <v>2507</v>
      </c>
      <c r="B1982" t="s">
        <v>2094</v>
      </c>
      <c r="C1982" s="1">
        <v>45374.5</v>
      </c>
      <c r="D1982">
        <v>9345.77</v>
      </c>
      <c r="E1982" t="s">
        <v>80</v>
      </c>
      <c r="F1982" t="s">
        <v>17</v>
      </c>
      <c r="G1982" t="s">
        <v>35</v>
      </c>
      <c r="H1982" t="s">
        <v>19</v>
      </c>
      <c r="I1982" t="s">
        <v>19</v>
      </c>
      <c r="J1982" t="s">
        <v>20</v>
      </c>
      <c r="K1982">
        <v>1</v>
      </c>
      <c r="L1982">
        <v>2</v>
      </c>
      <c r="M1982">
        <v>5.93</v>
      </c>
      <c r="N1982">
        <v>1</v>
      </c>
      <c r="O1982" t="str">
        <f>IF(financial_fraud_data[[#This Row],[Risk_Score]]&gt;8,"High",IF(financial_fraud_data[[#This Row],[Risk_Score]]&gt;5,"Med","Low"))</f>
        <v>Med</v>
      </c>
      <c r="P1982" t="str">
        <f>TEXT(financial_fraud_data[[#This Row],[Transaction_Date]],"MMM")</f>
        <v>Mar</v>
      </c>
      <c r="Q1982" t="str">
        <f>IF(financial_fraud_data[[#This Row],[Is_Fraud]]=1,"Yes","No")</f>
        <v>Yes</v>
      </c>
    </row>
    <row r="1983" spans="1:17" x14ac:dyDescent="0.2">
      <c r="A1983" t="s">
        <v>2508</v>
      </c>
      <c r="B1983" t="s">
        <v>227</v>
      </c>
      <c r="C1983" s="1">
        <v>45374.541666666664</v>
      </c>
      <c r="D1983">
        <v>40142.03</v>
      </c>
      <c r="E1983" t="s">
        <v>42</v>
      </c>
      <c r="F1983" t="s">
        <v>50</v>
      </c>
      <c r="G1983" t="s">
        <v>35</v>
      </c>
      <c r="H1983" t="s">
        <v>23</v>
      </c>
      <c r="I1983" t="s">
        <v>23</v>
      </c>
      <c r="J1983" t="s">
        <v>37</v>
      </c>
      <c r="K1983">
        <v>0</v>
      </c>
      <c r="L1983">
        <v>0</v>
      </c>
      <c r="M1983">
        <v>4.01</v>
      </c>
      <c r="N1983">
        <v>0</v>
      </c>
      <c r="O1983" t="str">
        <f>IF(financial_fraud_data[[#This Row],[Risk_Score]]&gt;8,"High",IF(financial_fraud_data[[#This Row],[Risk_Score]]&gt;5,"Med","Low"))</f>
        <v>Low</v>
      </c>
      <c r="P1983" t="str">
        <f>TEXT(financial_fraud_data[[#This Row],[Transaction_Date]],"MMM")</f>
        <v>Mar</v>
      </c>
      <c r="Q1983" t="str">
        <f>IF(financial_fraud_data[[#This Row],[Is_Fraud]]=1,"Yes","No")</f>
        <v>No</v>
      </c>
    </row>
    <row r="1984" spans="1:17" x14ac:dyDescent="0.2">
      <c r="A1984" t="s">
        <v>2509</v>
      </c>
      <c r="B1984" t="s">
        <v>1772</v>
      </c>
      <c r="C1984" s="1">
        <v>45374.583333333336</v>
      </c>
      <c r="D1984">
        <v>22936.43</v>
      </c>
      <c r="E1984" t="s">
        <v>34</v>
      </c>
      <c r="F1984" t="s">
        <v>47</v>
      </c>
      <c r="G1984" t="s">
        <v>35</v>
      </c>
      <c r="H1984" t="s">
        <v>24</v>
      </c>
      <c r="I1984" t="s">
        <v>23</v>
      </c>
      <c r="J1984" t="s">
        <v>20</v>
      </c>
      <c r="K1984">
        <v>0</v>
      </c>
      <c r="L1984">
        <v>1</v>
      </c>
      <c r="M1984">
        <v>4.79</v>
      </c>
      <c r="N1984">
        <v>0</v>
      </c>
      <c r="O1984" t="str">
        <f>IF(financial_fraud_data[[#This Row],[Risk_Score]]&gt;8,"High",IF(financial_fraud_data[[#This Row],[Risk_Score]]&gt;5,"Med","Low"))</f>
        <v>Low</v>
      </c>
      <c r="P1984" t="str">
        <f>TEXT(financial_fraud_data[[#This Row],[Transaction_Date]],"MMM")</f>
        <v>Mar</v>
      </c>
      <c r="Q1984" t="str">
        <f>IF(financial_fraud_data[[#This Row],[Is_Fraud]]=1,"Yes","No")</f>
        <v>No</v>
      </c>
    </row>
    <row r="1985" spans="1:17" x14ac:dyDescent="0.2">
      <c r="A1985" t="s">
        <v>2510</v>
      </c>
      <c r="B1985" t="s">
        <v>1017</v>
      </c>
      <c r="C1985" s="1">
        <v>45374.625</v>
      </c>
      <c r="D1985">
        <v>24174.3</v>
      </c>
      <c r="E1985" t="s">
        <v>34</v>
      </c>
      <c r="F1985" t="s">
        <v>27</v>
      </c>
      <c r="G1985" t="s">
        <v>65</v>
      </c>
      <c r="H1985" t="s">
        <v>29</v>
      </c>
      <c r="I1985" t="s">
        <v>29</v>
      </c>
      <c r="J1985" t="s">
        <v>20</v>
      </c>
      <c r="K1985">
        <v>0</v>
      </c>
      <c r="L1985">
        <v>2</v>
      </c>
      <c r="M1985">
        <v>5.42</v>
      </c>
      <c r="N1985">
        <v>1</v>
      </c>
      <c r="O1985" t="str">
        <f>IF(financial_fraud_data[[#This Row],[Risk_Score]]&gt;8,"High",IF(financial_fraud_data[[#This Row],[Risk_Score]]&gt;5,"Med","Low"))</f>
        <v>Med</v>
      </c>
      <c r="P1985" t="str">
        <f>TEXT(financial_fraud_data[[#This Row],[Transaction_Date]],"MMM")</f>
        <v>Mar</v>
      </c>
      <c r="Q1985" t="str">
        <f>IF(financial_fraud_data[[#This Row],[Is_Fraud]]=1,"Yes","No")</f>
        <v>Yes</v>
      </c>
    </row>
    <row r="1986" spans="1:17" x14ac:dyDescent="0.2">
      <c r="A1986" t="s">
        <v>2511</v>
      </c>
      <c r="B1986" t="s">
        <v>1625</v>
      </c>
      <c r="C1986" s="1">
        <v>45374.666666666664</v>
      </c>
      <c r="D1986">
        <v>6717.32</v>
      </c>
      <c r="E1986" t="s">
        <v>34</v>
      </c>
      <c r="F1986" t="s">
        <v>17</v>
      </c>
      <c r="G1986" t="s">
        <v>56</v>
      </c>
      <c r="H1986" t="s">
        <v>19</v>
      </c>
      <c r="I1986" t="s">
        <v>23</v>
      </c>
      <c r="J1986" t="s">
        <v>20</v>
      </c>
      <c r="K1986">
        <v>0</v>
      </c>
      <c r="L1986">
        <v>3</v>
      </c>
      <c r="M1986">
        <v>6.17</v>
      </c>
      <c r="N1986">
        <v>1</v>
      </c>
      <c r="O1986" t="str">
        <f>IF(financial_fraud_data[[#This Row],[Risk_Score]]&gt;8,"High",IF(financial_fraud_data[[#This Row],[Risk_Score]]&gt;5,"Med","Low"))</f>
        <v>Med</v>
      </c>
      <c r="P1986" t="str">
        <f>TEXT(financial_fraud_data[[#This Row],[Transaction_Date]],"MMM")</f>
        <v>Mar</v>
      </c>
      <c r="Q1986" t="str">
        <f>IF(financial_fraud_data[[#This Row],[Is_Fraud]]=1,"Yes","No")</f>
        <v>Yes</v>
      </c>
    </row>
    <row r="1987" spans="1:17" x14ac:dyDescent="0.2">
      <c r="A1987" t="s">
        <v>2512</v>
      </c>
      <c r="B1987" t="s">
        <v>421</v>
      </c>
      <c r="C1987" s="1">
        <v>45374.708333333336</v>
      </c>
      <c r="D1987">
        <v>4076.05</v>
      </c>
      <c r="E1987" t="s">
        <v>16</v>
      </c>
      <c r="F1987" t="s">
        <v>17</v>
      </c>
      <c r="G1987" t="s">
        <v>28</v>
      </c>
      <c r="H1987" t="s">
        <v>29</v>
      </c>
      <c r="I1987" t="s">
        <v>19</v>
      </c>
      <c r="J1987" t="s">
        <v>51</v>
      </c>
      <c r="K1987">
        <v>1</v>
      </c>
      <c r="L1987">
        <v>2</v>
      </c>
      <c r="M1987">
        <v>6.41</v>
      </c>
      <c r="N1987">
        <v>1</v>
      </c>
      <c r="O1987" t="str">
        <f>IF(financial_fraud_data[[#This Row],[Risk_Score]]&gt;8,"High",IF(financial_fraud_data[[#This Row],[Risk_Score]]&gt;5,"Med","Low"))</f>
        <v>Med</v>
      </c>
      <c r="P1987" t="str">
        <f>TEXT(financial_fraud_data[[#This Row],[Transaction_Date]],"MMM")</f>
        <v>Mar</v>
      </c>
      <c r="Q1987" t="str">
        <f>IF(financial_fraud_data[[#This Row],[Is_Fraud]]=1,"Yes","No")</f>
        <v>Yes</v>
      </c>
    </row>
    <row r="1988" spans="1:17" x14ac:dyDescent="0.2">
      <c r="A1988" t="s">
        <v>2513</v>
      </c>
      <c r="B1988" t="s">
        <v>284</v>
      </c>
      <c r="C1988" s="1">
        <v>45374.75</v>
      </c>
      <c r="D1988">
        <v>36410.57</v>
      </c>
      <c r="E1988" t="s">
        <v>34</v>
      </c>
      <c r="F1988" t="s">
        <v>50</v>
      </c>
      <c r="G1988" t="s">
        <v>65</v>
      </c>
      <c r="H1988" t="s">
        <v>19</v>
      </c>
      <c r="I1988" t="s">
        <v>24</v>
      </c>
      <c r="J1988" t="s">
        <v>37</v>
      </c>
      <c r="K1988">
        <v>0</v>
      </c>
      <c r="L1988">
        <v>0</v>
      </c>
      <c r="M1988">
        <v>4.6399999999999997</v>
      </c>
      <c r="N1988">
        <v>0</v>
      </c>
      <c r="O1988" t="str">
        <f>IF(financial_fraud_data[[#This Row],[Risk_Score]]&gt;8,"High",IF(financial_fraud_data[[#This Row],[Risk_Score]]&gt;5,"Med","Low"))</f>
        <v>Low</v>
      </c>
      <c r="P1988" t="str">
        <f>TEXT(financial_fraud_data[[#This Row],[Transaction_Date]],"MMM")</f>
        <v>Mar</v>
      </c>
      <c r="Q1988" t="str">
        <f>IF(financial_fraud_data[[#This Row],[Is_Fraud]]=1,"Yes","No")</f>
        <v>No</v>
      </c>
    </row>
    <row r="1989" spans="1:17" x14ac:dyDescent="0.2">
      <c r="A1989" t="s">
        <v>2514</v>
      </c>
      <c r="B1989" t="s">
        <v>352</v>
      </c>
      <c r="C1989" s="1">
        <v>45374.791666666664</v>
      </c>
      <c r="D1989">
        <v>24848.23</v>
      </c>
      <c r="E1989" t="s">
        <v>80</v>
      </c>
      <c r="F1989" t="s">
        <v>50</v>
      </c>
      <c r="G1989" t="s">
        <v>28</v>
      </c>
      <c r="H1989" t="s">
        <v>29</v>
      </c>
      <c r="I1989" t="s">
        <v>24</v>
      </c>
      <c r="J1989" t="s">
        <v>51</v>
      </c>
      <c r="K1989">
        <v>0</v>
      </c>
      <c r="L1989">
        <v>2</v>
      </c>
      <c r="M1989">
        <v>6.48</v>
      </c>
      <c r="N1989">
        <v>1</v>
      </c>
      <c r="O1989" t="str">
        <f>IF(financial_fraud_data[[#This Row],[Risk_Score]]&gt;8,"High",IF(financial_fraud_data[[#This Row],[Risk_Score]]&gt;5,"Med","Low"))</f>
        <v>Med</v>
      </c>
      <c r="P1989" t="str">
        <f>TEXT(financial_fraud_data[[#This Row],[Transaction_Date]],"MMM")</f>
        <v>Mar</v>
      </c>
      <c r="Q1989" t="str">
        <f>IF(financial_fraud_data[[#This Row],[Is_Fraud]]=1,"Yes","No")</f>
        <v>Yes</v>
      </c>
    </row>
    <row r="1990" spans="1:17" x14ac:dyDescent="0.2">
      <c r="A1990" t="s">
        <v>2515</v>
      </c>
      <c r="B1990" t="s">
        <v>508</v>
      </c>
      <c r="C1990" s="1">
        <v>45374.833333333336</v>
      </c>
      <c r="D1990">
        <v>21870.69</v>
      </c>
      <c r="E1990" t="s">
        <v>80</v>
      </c>
      <c r="F1990" t="s">
        <v>17</v>
      </c>
      <c r="G1990" t="s">
        <v>65</v>
      </c>
      <c r="H1990" t="s">
        <v>24</v>
      </c>
      <c r="I1990" t="s">
        <v>36</v>
      </c>
      <c r="J1990" t="s">
        <v>20</v>
      </c>
      <c r="K1990">
        <v>1</v>
      </c>
      <c r="L1990">
        <v>3</v>
      </c>
      <c r="M1990">
        <v>9.69</v>
      </c>
      <c r="N1990">
        <v>1</v>
      </c>
      <c r="O1990" t="str">
        <f>IF(financial_fraud_data[[#This Row],[Risk_Score]]&gt;8,"High",IF(financial_fraud_data[[#This Row],[Risk_Score]]&gt;5,"Med","Low"))</f>
        <v>High</v>
      </c>
      <c r="P1990" t="str">
        <f>TEXT(financial_fraud_data[[#This Row],[Transaction_Date]],"MMM")</f>
        <v>Mar</v>
      </c>
      <c r="Q1990" t="str">
        <f>IF(financial_fraud_data[[#This Row],[Is_Fraud]]=1,"Yes","No")</f>
        <v>Yes</v>
      </c>
    </row>
    <row r="1991" spans="1:17" x14ac:dyDescent="0.2">
      <c r="A1991" t="s">
        <v>2516</v>
      </c>
      <c r="B1991" t="s">
        <v>1157</v>
      </c>
      <c r="C1991" s="1">
        <v>45374.875</v>
      </c>
      <c r="D1991">
        <v>36488.94</v>
      </c>
      <c r="E1991" t="s">
        <v>16</v>
      </c>
      <c r="F1991" t="s">
        <v>50</v>
      </c>
      <c r="G1991" t="s">
        <v>35</v>
      </c>
      <c r="H1991" t="s">
        <v>29</v>
      </c>
      <c r="I1991" t="s">
        <v>24</v>
      </c>
      <c r="J1991" t="s">
        <v>20</v>
      </c>
      <c r="K1991">
        <v>0</v>
      </c>
      <c r="L1991">
        <v>1</v>
      </c>
      <c r="M1991">
        <v>6.15</v>
      </c>
      <c r="N1991">
        <v>1</v>
      </c>
      <c r="O1991" t="str">
        <f>IF(financial_fraud_data[[#This Row],[Risk_Score]]&gt;8,"High",IF(financial_fraud_data[[#This Row],[Risk_Score]]&gt;5,"Med","Low"))</f>
        <v>Med</v>
      </c>
      <c r="P1991" t="str">
        <f>TEXT(financial_fraud_data[[#This Row],[Transaction_Date]],"MMM")</f>
        <v>Mar</v>
      </c>
      <c r="Q1991" t="str">
        <f>IF(financial_fraud_data[[#This Row],[Is_Fraud]]=1,"Yes","No")</f>
        <v>Yes</v>
      </c>
    </row>
    <row r="1992" spans="1:17" x14ac:dyDescent="0.2">
      <c r="A1992" t="s">
        <v>2517</v>
      </c>
      <c r="B1992" t="s">
        <v>186</v>
      </c>
      <c r="C1992" s="1">
        <v>45374.916666666664</v>
      </c>
      <c r="D1992">
        <v>38287.370000000003</v>
      </c>
      <c r="E1992" t="s">
        <v>16</v>
      </c>
      <c r="F1992" t="s">
        <v>27</v>
      </c>
      <c r="G1992" t="s">
        <v>28</v>
      </c>
      <c r="H1992" t="s">
        <v>23</v>
      </c>
      <c r="I1992" t="s">
        <v>29</v>
      </c>
      <c r="J1992" t="s">
        <v>37</v>
      </c>
      <c r="K1992">
        <v>0</v>
      </c>
      <c r="L1992">
        <v>1</v>
      </c>
      <c r="M1992">
        <v>6.33</v>
      </c>
      <c r="N1992">
        <v>1</v>
      </c>
      <c r="O1992" t="str">
        <f>IF(financial_fraud_data[[#This Row],[Risk_Score]]&gt;8,"High",IF(financial_fraud_data[[#This Row],[Risk_Score]]&gt;5,"Med","Low"))</f>
        <v>Med</v>
      </c>
      <c r="P1992" t="str">
        <f>TEXT(financial_fraud_data[[#This Row],[Transaction_Date]],"MMM")</f>
        <v>Mar</v>
      </c>
      <c r="Q1992" t="str">
        <f>IF(financial_fraud_data[[#This Row],[Is_Fraud]]=1,"Yes","No")</f>
        <v>Yes</v>
      </c>
    </row>
    <row r="1993" spans="1:17" x14ac:dyDescent="0.2">
      <c r="A1993" t="s">
        <v>2518</v>
      </c>
      <c r="B1993" t="s">
        <v>247</v>
      </c>
      <c r="C1993" s="1">
        <v>45374.958333333336</v>
      </c>
      <c r="D1993">
        <v>7987.46</v>
      </c>
      <c r="E1993" t="s">
        <v>34</v>
      </c>
      <c r="F1993" t="s">
        <v>50</v>
      </c>
      <c r="G1993" t="s">
        <v>35</v>
      </c>
      <c r="H1993" t="s">
        <v>29</v>
      </c>
      <c r="I1993" t="s">
        <v>19</v>
      </c>
      <c r="J1993" t="s">
        <v>37</v>
      </c>
      <c r="K1993">
        <v>0</v>
      </c>
      <c r="L1993">
        <v>4</v>
      </c>
      <c r="M1993">
        <v>7.8</v>
      </c>
      <c r="N1993">
        <v>1</v>
      </c>
      <c r="O1993" t="str">
        <f>IF(financial_fraud_data[[#This Row],[Risk_Score]]&gt;8,"High",IF(financial_fraud_data[[#This Row],[Risk_Score]]&gt;5,"Med","Low"))</f>
        <v>Med</v>
      </c>
      <c r="P1993" t="str">
        <f>TEXT(financial_fraud_data[[#This Row],[Transaction_Date]],"MMM")</f>
        <v>Mar</v>
      </c>
      <c r="Q1993" t="str">
        <f>IF(financial_fraud_data[[#This Row],[Is_Fraud]]=1,"Yes","No")</f>
        <v>Yes</v>
      </c>
    </row>
    <row r="1994" spans="1:17" x14ac:dyDescent="0.2">
      <c r="A1994" t="s">
        <v>2519</v>
      </c>
      <c r="B1994" t="s">
        <v>731</v>
      </c>
      <c r="C1994" s="1">
        <v>45375</v>
      </c>
      <c r="D1994">
        <v>30530.75</v>
      </c>
      <c r="E1994" t="s">
        <v>42</v>
      </c>
      <c r="F1994" t="s">
        <v>50</v>
      </c>
      <c r="G1994" t="s">
        <v>28</v>
      </c>
      <c r="H1994" t="s">
        <v>19</v>
      </c>
      <c r="I1994" t="s">
        <v>36</v>
      </c>
      <c r="J1994" t="s">
        <v>20</v>
      </c>
      <c r="K1994">
        <v>0</v>
      </c>
      <c r="L1994">
        <v>3</v>
      </c>
      <c r="M1994">
        <v>8.5500000000000007</v>
      </c>
      <c r="N1994">
        <v>1</v>
      </c>
      <c r="O1994" t="str">
        <f>IF(financial_fraud_data[[#This Row],[Risk_Score]]&gt;8,"High",IF(financial_fraud_data[[#This Row],[Risk_Score]]&gt;5,"Med","Low"))</f>
        <v>High</v>
      </c>
      <c r="P1994" t="str">
        <f>TEXT(financial_fraud_data[[#This Row],[Transaction_Date]],"MMM")</f>
        <v>Mar</v>
      </c>
      <c r="Q1994" t="str">
        <f>IF(financial_fraud_data[[#This Row],[Is_Fraud]]=1,"Yes","No")</f>
        <v>Yes</v>
      </c>
    </row>
    <row r="1995" spans="1:17" x14ac:dyDescent="0.2">
      <c r="A1995" t="s">
        <v>2520</v>
      </c>
      <c r="B1995" t="s">
        <v>690</v>
      </c>
      <c r="C1995" s="1">
        <v>45375.041666666664</v>
      </c>
      <c r="D1995">
        <v>6810.94</v>
      </c>
      <c r="E1995" t="s">
        <v>16</v>
      </c>
      <c r="F1995" t="s">
        <v>17</v>
      </c>
      <c r="G1995" t="s">
        <v>18</v>
      </c>
      <c r="H1995" t="s">
        <v>36</v>
      </c>
      <c r="I1995" t="s">
        <v>29</v>
      </c>
      <c r="J1995" t="s">
        <v>20</v>
      </c>
      <c r="K1995">
        <v>0</v>
      </c>
      <c r="L1995">
        <v>4</v>
      </c>
      <c r="M1995">
        <v>7.68</v>
      </c>
      <c r="N1995">
        <v>1</v>
      </c>
      <c r="O1995" t="str">
        <f>IF(financial_fraud_data[[#This Row],[Risk_Score]]&gt;8,"High",IF(financial_fraud_data[[#This Row],[Risk_Score]]&gt;5,"Med","Low"))</f>
        <v>Med</v>
      </c>
      <c r="P1995" t="str">
        <f>TEXT(financial_fraud_data[[#This Row],[Transaction_Date]],"MMM")</f>
        <v>Mar</v>
      </c>
      <c r="Q1995" t="str">
        <f>IF(financial_fraud_data[[#This Row],[Is_Fraud]]=1,"Yes","No")</f>
        <v>Yes</v>
      </c>
    </row>
    <row r="1996" spans="1:17" x14ac:dyDescent="0.2">
      <c r="A1996" t="s">
        <v>2521</v>
      </c>
      <c r="B1996" t="s">
        <v>794</v>
      </c>
      <c r="C1996" s="1">
        <v>45375.083333333336</v>
      </c>
      <c r="D1996">
        <v>37581.19</v>
      </c>
      <c r="E1996" t="s">
        <v>16</v>
      </c>
      <c r="F1996" t="s">
        <v>17</v>
      </c>
      <c r="G1996" t="s">
        <v>65</v>
      </c>
      <c r="H1996" t="s">
        <v>29</v>
      </c>
      <c r="I1996" t="s">
        <v>29</v>
      </c>
      <c r="J1996" t="s">
        <v>51</v>
      </c>
      <c r="K1996">
        <v>0</v>
      </c>
      <c r="L1996">
        <v>4</v>
      </c>
      <c r="M1996">
        <v>9.76</v>
      </c>
      <c r="N1996">
        <v>1</v>
      </c>
      <c r="O1996" t="str">
        <f>IF(financial_fraud_data[[#This Row],[Risk_Score]]&gt;8,"High",IF(financial_fraud_data[[#This Row],[Risk_Score]]&gt;5,"Med","Low"))</f>
        <v>High</v>
      </c>
      <c r="P1996" t="str">
        <f>TEXT(financial_fraud_data[[#This Row],[Transaction_Date]],"MMM")</f>
        <v>Mar</v>
      </c>
      <c r="Q1996" t="str">
        <f>IF(financial_fraud_data[[#This Row],[Is_Fraud]]=1,"Yes","No")</f>
        <v>Yes</v>
      </c>
    </row>
    <row r="1997" spans="1:17" x14ac:dyDescent="0.2">
      <c r="A1997" t="s">
        <v>2522</v>
      </c>
      <c r="B1997" t="s">
        <v>595</v>
      </c>
      <c r="C1997" s="1">
        <v>45375.125</v>
      </c>
      <c r="D1997">
        <v>32864.910000000003</v>
      </c>
      <c r="E1997" t="s">
        <v>34</v>
      </c>
      <c r="F1997" t="s">
        <v>47</v>
      </c>
      <c r="G1997" t="s">
        <v>18</v>
      </c>
      <c r="H1997" t="s">
        <v>29</v>
      </c>
      <c r="I1997" t="s">
        <v>29</v>
      </c>
      <c r="J1997" t="s">
        <v>20</v>
      </c>
      <c r="K1997">
        <v>1</v>
      </c>
      <c r="L1997">
        <v>0</v>
      </c>
      <c r="M1997">
        <v>5.29</v>
      </c>
      <c r="N1997">
        <v>1</v>
      </c>
      <c r="O1997" t="str">
        <f>IF(financial_fraud_data[[#This Row],[Risk_Score]]&gt;8,"High",IF(financial_fraud_data[[#This Row],[Risk_Score]]&gt;5,"Med","Low"))</f>
        <v>Med</v>
      </c>
      <c r="P1997" t="str">
        <f>TEXT(financial_fraud_data[[#This Row],[Transaction_Date]],"MMM")</f>
        <v>Mar</v>
      </c>
      <c r="Q1997" t="str">
        <f>IF(financial_fraud_data[[#This Row],[Is_Fraud]]=1,"Yes","No")</f>
        <v>Yes</v>
      </c>
    </row>
    <row r="1998" spans="1:17" x14ac:dyDescent="0.2">
      <c r="A1998" t="s">
        <v>2523</v>
      </c>
      <c r="B1998" t="s">
        <v>669</v>
      </c>
      <c r="C1998" s="1">
        <v>45375.166666666664</v>
      </c>
      <c r="D1998">
        <v>47832.9</v>
      </c>
      <c r="E1998" t="s">
        <v>34</v>
      </c>
      <c r="F1998" t="s">
        <v>47</v>
      </c>
      <c r="G1998" t="s">
        <v>65</v>
      </c>
      <c r="H1998" t="s">
        <v>29</v>
      </c>
      <c r="I1998" t="s">
        <v>23</v>
      </c>
      <c r="J1998" t="s">
        <v>51</v>
      </c>
      <c r="K1998">
        <v>0</v>
      </c>
      <c r="L1998">
        <v>3</v>
      </c>
      <c r="M1998">
        <v>10.28</v>
      </c>
      <c r="N1998">
        <v>1</v>
      </c>
      <c r="O1998" t="str">
        <f>IF(financial_fraud_data[[#This Row],[Risk_Score]]&gt;8,"High",IF(financial_fraud_data[[#This Row],[Risk_Score]]&gt;5,"Med","Low"))</f>
        <v>High</v>
      </c>
      <c r="P1998" t="str">
        <f>TEXT(financial_fraud_data[[#This Row],[Transaction_Date]],"MMM")</f>
        <v>Mar</v>
      </c>
      <c r="Q1998" t="str">
        <f>IF(financial_fraud_data[[#This Row],[Is_Fraud]]=1,"Yes","No")</f>
        <v>Yes</v>
      </c>
    </row>
    <row r="1999" spans="1:17" x14ac:dyDescent="0.2">
      <c r="A1999" t="s">
        <v>2524</v>
      </c>
      <c r="B1999" t="s">
        <v>441</v>
      </c>
      <c r="C1999" s="1">
        <v>45375.208333333336</v>
      </c>
      <c r="D1999">
        <v>3494.45</v>
      </c>
      <c r="E1999" t="s">
        <v>16</v>
      </c>
      <c r="F1999" t="s">
        <v>17</v>
      </c>
      <c r="G1999" t="s">
        <v>56</v>
      </c>
      <c r="H1999" t="s">
        <v>19</v>
      </c>
      <c r="I1999" t="s">
        <v>29</v>
      </c>
      <c r="J1999" t="s">
        <v>37</v>
      </c>
      <c r="K1999">
        <v>0</v>
      </c>
      <c r="L1999">
        <v>1</v>
      </c>
      <c r="M1999">
        <v>2.85</v>
      </c>
      <c r="N1999">
        <v>0</v>
      </c>
      <c r="O1999" t="str">
        <f>IF(financial_fraud_data[[#This Row],[Risk_Score]]&gt;8,"High",IF(financial_fraud_data[[#This Row],[Risk_Score]]&gt;5,"Med","Low"))</f>
        <v>Low</v>
      </c>
      <c r="P1999" t="str">
        <f>TEXT(financial_fraud_data[[#This Row],[Transaction_Date]],"MMM")</f>
        <v>Mar</v>
      </c>
      <c r="Q1999" t="str">
        <f>IF(financial_fraud_data[[#This Row],[Is_Fraud]]=1,"Yes","No")</f>
        <v>No</v>
      </c>
    </row>
    <row r="2000" spans="1:17" x14ac:dyDescent="0.2">
      <c r="A2000" t="s">
        <v>2525</v>
      </c>
      <c r="B2000" t="s">
        <v>606</v>
      </c>
      <c r="C2000" s="1">
        <v>45375.25</v>
      </c>
      <c r="D2000">
        <v>2899.88</v>
      </c>
      <c r="E2000" t="s">
        <v>42</v>
      </c>
      <c r="F2000" t="s">
        <v>50</v>
      </c>
      <c r="G2000" t="s">
        <v>28</v>
      </c>
      <c r="H2000" t="s">
        <v>29</v>
      </c>
      <c r="I2000" t="s">
        <v>23</v>
      </c>
      <c r="J2000" t="s">
        <v>51</v>
      </c>
      <c r="K2000">
        <v>0</v>
      </c>
      <c r="L2000">
        <v>3</v>
      </c>
      <c r="M2000">
        <v>5.79</v>
      </c>
      <c r="N2000">
        <v>1</v>
      </c>
      <c r="O2000" t="str">
        <f>IF(financial_fraud_data[[#This Row],[Risk_Score]]&gt;8,"High",IF(financial_fraud_data[[#This Row],[Risk_Score]]&gt;5,"Med","Low"))</f>
        <v>Med</v>
      </c>
      <c r="P2000" t="str">
        <f>TEXT(financial_fraud_data[[#This Row],[Transaction_Date]],"MMM")</f>
        <v>Mar</v>
      </c>
      <c r="Q2000" t="str">
        <f>IF(financial_fraud_data[[#This Row],[Is_Fraud]]=1,"Yes","No")</f>
        <v>Yes</v>
      </c>
    </row>
    <row r="2001" spans="1:17" x14ac:dyDescent="0.2">
      <c r="A2001" t="s">
        <v>2526</v>
      </c>
      <c r="B2001" t="s">
        <v>655</v>
      </c>
      <c r="C2001" s="1">
        <v>45375.291666666664</v>
      </c>
      <c r="D2001">
        <v>14145.24</v>
      </c>
      <c r="E2001" t="s">
        <v>16</v>
      </c>
      <c r="F2001" t="s">
        <v>50</v>
      </c>
      <c r="G2001" t="s">
        <v>56</v>
      </c>
      <c r="H2001" t="s">
        <v>19</v>
      </c>
      <c r="I2001" t="s">
        <v>24</v>
      </c>
      <c r="J2001" t="s">
        <v>20</v>
      </c>
      <c r="K2001">
        <v>0</v>
      </c>
      <c r="L2001">
        <v>0</v>
      </c>
      <c r="M2001">
        <v>2.41</v>
      </c>
      <c r="N2001">
        <v>0</v>
      </c>
      <c r="O2001" t="str">
        <f>IF(financial_fraud_data[[#This Row],[Risk_Score]]&gt;8,"High",IF(financial_fraud_data[[#This Row],[Risk_Score]]&gt;5,"Med","Low"))</f>
        <v>Low</v>
      </c>
      <c r="P2001" t="str">
        <f>TEXT(financial_fraud_data[[#This Row],[Transaction_Date]],"MMM")</f>
        <v>Mar</v>
      </c>
      <c r="Q2001" t="str">
        <f>IF(financial_fraud_data[[#This Row],[Is_Fraud]]=1,"Yes","No")</f>
        <v>No</v>
      </c>
    </row>
    <row r="2002" spans="1:17" x14ac:dyDescent="0.2">
      <c r="A2002" t="s">
        <v>2527</v>
      </c>
      <c r="B2002" t="s">
        <v>481</v>
      </c>
      <c r="C2002" s="1">
        <v>45375.333333333336</v>
      </c>
      <c r="D2002">
        <v>13122.2</v>
      </c>
      <c r="E2002" t="s">
        <v>34</v>
      </c>
      <c r="F2002" t="s">
        <v>47</v>
      </c>
      <c r="G2002" t="s">
        <v>56</v>
      </c>
      <c r="H2002" t="s">
        <v>19</v>
      </c>
      <c r="I2002" t="s">
        <v>23</v>
      </c>
      <c r="J2002" t="s">
        <v>51</v>
      </c>
      <c r="K2002">
        <v>0</v>
      </c>
      <c r="L2002">
        <v>3</v>
      </c>
      <c r="M2002">
        <v>6.81</v>
      </c>
      <c r="N2002">
        <v>1</v>
      </c>
      <c r="O2002" t="str">
        <f>IF(financial_fraud_data[[#This Row],[Risk_Score]]&gt;8,"High",IF(financial_fraud_data[[#This Row],[Risk_Score]]&gt;5,"Med","Low"))</f>
        <v>Med</v>
      </c>
      <c r="P2002" t="str">
        <f>TEXT(financial_fraud_data[[#This Row],[Transaction_Date]],"MMM")</f>
        <v>Mar</v>
      </c>
      <c r="Q2002" t="str">
        <f>IF(financial_fraud_data[[#This Row],[Is_Fraud]]=1,"Yes","No")</f>
        <v>Yes</v>
      </c>
    </row>
    <row r="2003" spans="1:17" x14ac:dyDescent="0.2">
      <c r="A2003" t="s">
        <v>2528</v>
      </c>
      <c r="B2003" t="s">
        <v>435</v>
      </c>
      <c r="C2003" s="1">
        <v>45375.375</v>
      </c>
      <c r="D2003">
        <v>12386.59</v>
      </c>
      <c r="E2003" t="s">
        <v>34</v>
      </c>
      <c r="F2003" t="s">
        <v>47</v>
      </c>
      <c r="G2003" t="s">
        <v>65</v>
      </c>
      <c r="H2003" t="s">
        <v>36</v>
      </c>
      <c r="I2003" t="s">
        <v>29</v>
      </c>
      <c r="J2003" t="s">
        <v>51</v>
      </c>
      <c r="K2003">
        <v>0</v>
      </c>
      <c r="L2003">
        <v>3</v>
      </c>
      <c r="M2003">
        <v>6.74</v>
      </c>
      <c r="N2003">
        <v>1</v>
      </c>
      <c r="O2003" t="str">
        <f>IF(financial_fraud_data[[#This Row],[Risk_Score]]&gt;8,"High",IF(financial_fraud_data[[#This Row],[Risk_Score]]&gt;5,"Med","Low"))</f>
        <v>Med</v>
      </c>
      <c r="P2003" t="str">
        <f>TEXT(financial_fraud_data[[#This Row],[Transaction_Date]],"MMM")</f>
        <v>Mar</v>
      </c>
      <c r="Q2003" t="str">
        <f>IF(financial_fraud_data[[#This Row],[Is_Fraud]]=1,"Yes","No")</f>
        <v>Yes</v>
      </c>
    </row>
    <row r="2004" spans="1:17" x14ac:dyDescent="0.2">
      <c r="A2004" t="s">
        <v>2529</v>
      </c>
      <c r="B2004" t="s">
        <v>736</v>
      </c>
      <c r="C2004" s="1">
        <v>45375.416666666664</v>
      </c>
      <c r="D2004">
        <v>45317.42</v>
      </c>
      <c r="E2004" t="s">
        <v>16</v>
      </c>
      <c r="F2004" t="s">
        <v>47</v>
      </c>
      <c r="G2004" t="s">
        <v>18</v>
      </c>
      <c r="H2004" t="s">
        <v>23</v>
      </c>
      <c r="I2004" t="s">
        <v>19</v>
      </c>
      <c r="J2004" t="s">
        <v>37</v>
      </c>
      <c r="K2004">
        <v>0</v>
      </c>
      <c r="L2004">
        <v>4</v>
      </c>
      <c r="M2004">
        <v>11.53</v>
      </c>
      <c r="N2004">
        <v>1</v>
      </c>
      <c r="O2004" t="str">
        <f>IF(financial_fraud_data[[#This Row],[Risk_Score]]&gt;8,"High",IF(financial_fraud_data[[#This Row],[Risk_Score]]&gt;5,"Med","Low"))</f>
        <v>High</v>
      </c>
      <c r="P2004" t="str">
        <f>TEXT(financial_fraud_data[[#This Row],[Transaction_Date]],"MMM")</f>
        <v>Mar</v>
      </c>
      <c r="Q2004" t="str">
        <f>IF(financial_fraud_data[[#This Row],[Is_Fraud]]=1,"Yes","No")</f>
        <v>Yes</v>
      </c>
    </row>
    <row r="2005" spans="1:17" x14ac:dyDescent="0.2">
      <c r="A2005" t="s">
        <v>2530</v>
      </c>
      <c r="B2005" t="s">
        <v>293</v>
      </c>
      <c r="C2005" s="1">
        <v>45375.458333333336</v>
      </c>
      <c r="D2005">
        <v>12514.83</v>
      </c>
      <c r="E2005" t="s">
        <v>42</v>
      </c>
      <c r="F2005" t="s">
        <v>27</v>
      </c>
      <c r="G2005" t="s">
        <v>35</v>
      </c>
      <c r="H2005" t="s">
        <v>19</v>
      </c>
      <c r="I2005" t="s">
        <v>19</v>
      </c>
      <c r="J2005" t="s">
        <v>51</v>
      </c>
      <c r="K2005">
        <v>0</v>
      </c>
      <c r="L2005">
        <v>3</v>
      </c>
      <c r="M2005">
        <v>5.75</v>
      </c>
      <c r="N2005">
        <v>1</v>
      </c>
      <c r="O2005" t="str">
        <f>IF(financial_fraud_data[[#This Row],[Risk_Score]]&gt;8,"High",IF(financial_fraud_data[[#This Row],[Risk_Score]]&gt;5,"Med","Low"))</f>
        <v>Med</v>
      </c>
      <c r="P2005" t="str">
        <f>TEXT(financial_fraud_data[[#This Row],[Transaction_Date]],"MMM")</f>
        <v>Mar</v>
      </c>
      <c r="Q2005" t="str">
        <f>IF(financial_fraud_data[[#This Row],[Is_Fraud]]=1,"Yes","No")</f>
        <v>Yes</v>
      </c>
    </row>
    <row r="2006" spans="1:17" x14ac:dyDescent="0.2">
      <c r="A2006" t="s">
        <v>2531</v>
      </c>
      <c r="B2006" t="s">
        <v>497</v>
      </c>
      <c r="C2006" s="1">
        <v>45375.5</v>
      </c>
      <c r="D2006">
        <v>13633.89</v>
      </c>
      <c r="E2006" t="s">
        <v>16</v>
      </c>
      <c r="F2006" t="s">
        <v>27</v>
      </c>
      <c r="G2006" t="s">
        <v>65</v>
      </c>
      <c r="H2006" t="s">
        <v>24</v>
      </c>
      <c r="I2006" t="s">
        <v>24</v>
      </c>
      <c r="J2006" t="s">
        <v>20</v>
      </c>
      <c r="K2006">
        <v>0</v>
      </c>
      <c r="L2006">
        <v>4</v>
      </c>
      <c r="M2006">
        <v>7.36</v>
      </c>
      <c r="N2006">
        <v>1</v>
      </c>
      <c r="O2006" t="str">
        <f>IF(financial_fraud_data[[#This Row],[Risk_Score]]&gt;8,"High",IF(financial_fraud_data[[#This Row],[Risk_Score]]&gt;5,"Med","Low"))</f>
        <v>Med</v>
      </c>
      <c r="P2006" t="str">
        <f>TEXT(financial_fraud_data[[#This Row],[Transaction_Date]],"MMM")</f>
        <v>Mar</v>
      </c>
      <c r="Q2006" t="str">
        <f>IF(financial_fraud_data[[#This Row],[Is_Fraud]]=1,"Yes","No")</f>
        <v>Yes</v>
      </c>
    </row>
    <row r="2007" spans="1:17" x14ac:dyDescent="0.2">
      <c r="A2007" t="s">
        <v>2532</v>
      </c>
      <c r="B2007" t="s">
        <v>595</v>
      </c>
      <c r="C2007" s="1">
        <v>45375.541666666664</v>
      </c>
      <c r="D2007">
        <v>37981.94</v>
      </c>
      <c r="E2007" t="s">
        <v>16</v>
      </c>
      <c r="F2007" t="s">
        <v>47</v>
      </c>
      <c r="G2007" t="s">
        <v>35</v>
      </c>
      <c r="H2007" t="s">
        <v>29</v>
      </c>
      <c r="I2007" t="s">
        <v>29</v>
      </c>
      <c r="J2007" t="s">
        <v>51</v>
      </c>
      <c r="K2007">
        <v>0</v>
      </c>
      <c r="L2007">
        <v>4</v>
      </c>
      <c r="M2007">
        <v>9.8000000000000007</v>
      </c>
      <c r="N2007">
        <v>1</v>
      </c>
      <c r="O2007" t="str">
        <f>IF(financial_fraud_data[[#This Row],[Risk_Score]]&gt;8,"High",IF(financial_fraud_data[[#This Row],[Risk_Score]]&gt;5,"Med","Low"))</f>
        <v>High</v>
      </c>
      <c r="P2007" t="str">
        <f>TEXT(financial_fraud_data[[#This Row],[Transaction_Date]],"MMM")</f>
        <v>Mar</v>
      </c>
      <c r="Q2007" t="str">
        <f>IF(financial_fraud_data[[#This Row],[Is_Fraud]]=1,"Yes","No")</f>
        <v>Yes</v>
      </c>
    </row>
    <row r="2008" spans="1:17" x14ac:dyDescent="0.2">
      <c r="A2008" t="s">
        <v>2533</v>
      </c>
      <c r="B2008" t="s">
        <v>1653</v>
      </c>
      <c r="C2008" s="1">
        <v>45375.583333333336</v>
      </c>
      <c r="D2008">
        <v>22514.51</v>
      </c>
      <c r="E2008" t="s">
        <v>34</v>
      </c>
      <c r="F2008" t="s">
        <v>50</v>
      </c>
      <c r="G2008" t="s">
        <v>56</v>
      </c>
      <c r="H2008" t="s">
        <v>24</v>
      </c>
      <c r="I2008" t="s">
        <v>23</v>
      </c>
      <c r="J2008" t="s">
        <v>51</v>
      </c>
      <c r="K2008">
        <v>0</v>
      </c>
      <c r="L2008">
        <v>2</v>
      </c>
      <c r="M2008">
        <v>6.25</v>
      </c>
      <c r="N2008">
        <v>1</v>
      </c>
      <c r="O2008" t="str">
        <f>IF(financial_fraud_data[[#This Row],[Risk_Score]]&gt;8,"High",IF(financial_fraud_data[[#This Row],[Risk_Score]]&gt;5,"Med","Low"))</f>
        <v>Med</v>
      </c>
      <c r="P2008" t="str">
        <f>TEXT(financial_fraud_data[[#This Row],[Transaction_Date]],"MMM")</f>
        <v>Mar</v>
      </c>
      <c r="Q2008" t="str">
        <f>IF(financial_fraud_data[[#This Row],[Is_Fraud]]=1,"Yes","No")</f>
        <v>Yes</v>
      </c>
    </row>
    <row r="2009" spans="1:17" x14ac:dyDescent="0.2">
      <c r="A2009" t="s">
        <v>2534</v>
      </c>
      <c r="B2009" t="s">
        <v>284</v>
      </c>
      <c r="C2009" s="1">
        <v>45375.625</v>
      </c>
      <c r="D2009">
        <v>38846.69</v>
      </c>
      <c r="E2009" t="s">
        <v>42</v>
      </c>
      <c r="F2009" t="s">
        <v>47</v>
      </c>
      <c r="G2009" t="s">
        <v>35</v>
      </c>
      <c r="H2009" t="s">
        <v>29</v>
      </c>
      <c r="I2009" t="s">
        <v>19</v>
      </c>
      <c r="J2009" t="s">
        <v>51</v>
      </c>
      <c r="K2009">
        <v>0</v>
      </c>
      <c r="L2009">
        <v>0</v>
      </c>
      <c r="M2009">
        <v>4.88</v>
      </c>
      <c r="N2009">
        <v>0</v>
      </c>
      <c r="O2009" t="str">
        <f>IF(financial_fraud_data[[#This Row],[Risk_Score]]&gt;8,"High",IF(financial_fraud_data[[#This Row],[Risk_Score]]&gt;5,"Med","Low"))</f>
        <v>Low</v>
      </c>
      <c r="P2009" t="str">
        <f>TEXT(financial_fraud_data[[#This Row],[Transaction_Date]],"MMM")</f>
        <v>Mar</v>
      </c>
      <c r="Q2009" t="str">
        <f>IF(financial_fraud_data[[#This Row],[Is_Fraud]]=1,"Yes","No")</f>
        <v>No</v>
      </c>
    </row>
    <row r="2010" spans="1:17" x14ac:dyDescent="0.2">
      <c r="A2010" t="s">
        <v>2535</v>
      </c>
      <c r="B2010" t="s">
        <v>341</v>
      </c>
      <c r="C2010" s="1">
        <v>45375.666666666664</v>
      </c>
      <c r="D2010">
        <v>3315.04</v>
      </c>
      <c r="E2010" t="s">
        <v>80</v>
      </c>
      <c r="F2010" t="s">
        <v>27</v>
      </c>
      <c r="G2010" t="s">
        <v>18</v>
      </c>
      <c r="H2010" t="s">
        <v>36</v>
      </c>
      <c r="I2010" t="s">
        <v>36</v>
      </c>
      <c r="J2010" t="s">
        <v>20</v>
      </c>
      <c r="K2010">
        <v>0</v>
      </c>
      <c r="L2010">
        <v>4</v>
      </c>
      <c r="M2010">
        <v>6.33</v>
      </c>
      <c r="N2010">
        <v>1</v>
      </c>
      <c r="O2010" t="str">
        <f>IF(financial_fraud_data[[#This Row],[Risk_Score]]&gt;8,"High",IF(financial_fraud_data[[#This Row],[Risk_Score]]&gt;5,"Med","Low"))</f>
        <v>Med</v>
      </c>
      <c r="P2010" t="str">
        <f>TEXT(financial_fraud_data[[#This Row],[Transaction_Date]],"MMM")</f>
        <v>Mar</v>
      </c>
      <c r="Q2010" t="str">
        <f>IF(financial_fraud_data[[#This Row],[Is_Fraud]]=1,"Yes","No")</f>
        <v>Yes</v>
      </c>
    </row>
    <row r="2011" spans="1:17" x14ac:dyDescent="0.2">
      <c r="A2011" t="s">
        <v>2536</v>
      </c>
      <c r="B2011" t="s">
        <v>941</v>
      </c>
      <c r="C2011" s="1">
        <v>45375.708333333336</v>
      </c>
      <c r="D2011">
        <v>24404.18</v>
      </c>
      <c r="E2011" t="s">
        <v>42</v>
      </c>
      <c r="F2011" t="s">
        <v>50</v>
      </c>
      <c r="G2011" t="s">
        <v>65</v>
      </c>
      <c r="H2011" t="s">
        <v>19</v>
      </c>
      <c r="I2011" t="s">
        <v>29</v>
      </c>
      <c r="J2011" t="s">
        <v>51</v>
      </c>
      <c r="K2011">
        <v>0</v>
      </c>
      <c r="L2011">
        <v>3</v>
      </c>
      <c r="M2011">
        <v>7.94</v>
      </c>
      <c r="N2011">
        <v>1</v>
      </c>
      <c r="O2011" t="str">
        <f>IF(financial_fraud_data[[#This Row],[Risk_Score]]&gt;8,"High",IF(financial_fraud_data[[#This Row],[Risk_Score]]&gt;5,"Med","Low"))</f>
        <v>Med</v>
      </c>
      <c r="P2011" t="str">
        <f>TEXT(financial_fraud_data[[#This Row],[Transaction_Date]],"MMM")</f>
        <v>Mar</v>
      </c>
      <c r="Q2011" t="str">
        <f>IF(financial_fraud_data[[#This Row],[Is_Fraud]]=1,"Yes","No")</f>
        <v>Yes</v>
      </c>
    </row>
    <row r="2012" spans="1:17" x14ac:dyDescent="0.2">
      <c r="A2012" t="s">
        <v>2537</v>
      </c>
      <c r="B2012" t="s">
        <v>302</v>
      </c>
      <c r="C2012" s="1">
        <v>45375.75</v>
      </c>
      <c r="D2012">
        <v>1729</v>
      </c>
      <c r="E2012" t="s">
        <v>16</v>
      </c>
      <c r="F2012" t="s">
        <v>27</v>
      </c>
      <c r="G2012" t="s">
        <v>18</v>
      </c>
      <c r="H2012" t="s">
        <v>23</v>
      </c>
      <c r="I2012" t="s">
        <v>29</v>
      </c>
      <c r="J2012" t="s">
        <v>20</v>
      </c>
      <c r="K2012">
        <v>0</v>
      </c>
      <c r="L2012">
        <v>4</v>
      </c>
      <c r="M2012">
        <v>7.17</v>
      </c>
      <c r="N2012">
        <v>1</v>
      </c>
      <c r="O2012" t="str">
        <f>IF(financial_fraud_data[[#This Row],[Risk_Score]]&gt;8,"High",IF(financial_fraud_data[[#This Row],[Risk_Score]]&gt;5,"Med","Low"))</f>
        <v>Med</v>
      </c>
      <c r="P2012" t="str">
        <f>TEXT(financial_fraud_data[[#This Row],[Transaction_Date]],"MMM")</f>
        <v>Mar</v>
      </c>
      <c r="Q2012" t="str">
        <f>IF(financial_fraud_data[[#This Row],[Is_Fraud]]=1,"Yes","No")</f>
        <v>Yes</v>
      </c>
    </row>
    <row r="2013" spans="1:17" x14ac:dyDescent="0.2">
      <c r="A2013" t="s">
        <v>2538</v>
      </c>
      <c r="B2013" t="s">
        <v>464</v>
      </c>
      <c r="C2013" s="1">
        <v>45375.791666666664</v>
      </c>
      <c r="D2013">
        <v>3179.53</v>
      </c>
      <c r="E2013" t="s">
        <v>16</v>
      </c>
      <c r="F2013" t="s">
        <v>50</v>
      </c>
      <c r="G2013" t="s">
        <v>18</v>
      </c>
      <c r="H2013" t="s">
        <v>19</v>
      </c>
      <c r="I2013" t="s">
        <v>36</v>
      </c>
      <c r="J2013" t="s">
        <v>51</v>
      </c>
      <c r="K2013">
        <v>1</v>
      </c>
      <c r="L2013">
        <v>4</v>
      </c>
      <c r="M2013">
        <v>9.32</v>
      </c>
      <c r="N2013">
        <v>1</v>
      </c>
      <c r="O2013" t="str">
        <f>IF(financial_fraud_data[[#This Row],[Risk_Score]]&gt;8,"High",IF(financial_fraud_data[[#This Row],[Risk_Score]]&gt;5,"Med","Low"))</f>
        <v>High</v>
      </c>
      <c r="P2013" t="str">
        <f>TEXT(financial_fraud_data[[#This Row],[Transaction_Date]],"MMM")</f>
        <v>Mar</v>
      </c>
      <c r="Q2013" t="str">
        <f>IF(financial_fraud_data[[#This Row],[Is_Fraud]]=1,"Yes","No")</f>
        <v>Yes</v>
      </c>
    </row>
    <row r="2014" spans="1:17" x14ac:dyDescent="0.2">
      <c r="A2014" t="s">
        <v>2539</v>
      </c>
      <c r="B2014" t="s">
        <v>172</v>
      </c>
      <c r="C2014" s="1">
        <v>45375.833333333336</v>
      </c>
      <c r="D2014">
        <v>45326.55</v>
      </c>
      <c r="E2014" t="s">
        <v>16</v>
      </c>
      <c r="F2014" t="s">
        <v>27</v>
      </c>
      <c r="G2014" t="s">
        <v>65</v>
      </c>
      <c r="H2014" t="s">
        <v>29</v>
      </c>
      <c r="I2014" t="s">
        <v>19</v>
      </c>
      <c r="J2014" t="s">
        <v>37</v>
      </c>
      <c r="K2014">
        <v>0</v>
      </c>
      <c r="L2014">
        <v>4</v>
      </c>
      <c r="M2014">
        <v>11.53</v>
      </c>
      <c r="N2014">
        <v>1</v>
      </c>
      <c r="O2014" t="str">
        <f>IF(financial_fraud_data[[#This Row],[Risk_Score]]&gt;8,"High",IF(financial_fraud_data[[#This Row],[Risk_Score]]&gt;5,"Med","Low"))</f>
        <v>High</v>
      </c>
      <c r="P2014" t="str">
        <f>TEXT(financial_fraud_data[[#This Row],[Transaction_Date]],"MMM")</f>
        <v>Mar</v>
      </c>
      <c r="Q2014" t="str">
        <f>IF(financial_fraud_data[[#This Row],[Is_Fraud]]=1,"Yes","No")</f>
        <v>Yes</v>
      </c>
    </row>
    <row r="2015" spans="1:17" x14ac:dyDescent="0.2">
      <c r="A2015" t="s">
        <v>2540</v>
      </c>
      <c r="B2015" t="s">
        <v>247</v>
      </c>
      <c r="C2015" s="1">
        <v>45375.875</v>
      </c>
      <c r="D2015">
        <v>7005.31</v>
      </c>
      <c r="E2015" t="s">
        <v>42</v>
      </c>
      <c r="F2015" t="s">
        <v>50</v>
      </c>
      <c r="G2015" t="s">
        <v>18</v>
      </c>
      <c r="H2015" t="s">
        <v>23</v>
      </c>
      <c r="I2015" t="s">
        <v>36</v>
      </c>
      <c r="J2015" t="s">
        <v>37</v>
      </c>
      <c r="K2015">
        <v>0</v>
      </c>
      <c r="L2015">
        <v>1</v>
      </c>
      <c r="M2015">
        <v>3.2</v>
      </c>
      <c r="N2015">
        <v>0</v>
      </c>
      <c r="O2015" t="str">
        <f>IF(financial_fraud_data[[#This Row],[Risk_Score]]&gt;8,"High",IF(financial_fraud_data[[#This Row],[Risk_Score]]&gt;5,"Med","Low"))</f>
        <v>Low</v>
      </c>
      <c r="P2015" t="str">
        <f>TEXT(financial_fraud_data[[#This Row],[Transaction_Date]],"MMM")</f>
        <v>Mar</v>
      </c>
      <c r="Q2015" t="str">
        <f>IF(financial_fraud_data[[#This Row],[Is_Fraud]]=1,"Yes","No")</f>
        <v>No</v>
      </c>
    </row>
    <row r="2016" spans="1:17" x14ac:dyDescent="0.2">
      <c r="A2016" t="s">
        <v>2541</v>
      </c>
      <c r="B2016" t="s">
        <v>530</v>
      </c>
      <c r="C2016" s="1">
        <v>45375.916666666664</v>
      </c>
      <c r="D2016">
        <v>26644.41</v>
      </c>
      <c r="E2016" t="s">
        <v>34</v>
      </c>
      <c r="F2016" t="s">
        <v>50</v>
      </c>
      <c r="G2016" t="s">
        <v>28</v>
      </c>
      <c r="H2016" t="s">
        <v>19</v>
      </c>
      <c r="I2016" t="s">
        <v>24</v>
      </c>
      <c r="J2016" t="s">
        <v>37</v>
      </c>
      <c r="K2016">
        <v>0</v>
      </c>
      <c r="L2016">
        <v>1</v>
      </c>
      <c r="M2016">
        <v>5.16</v>
      </c>
      <c r="N2016">
        <v>1</v>
      </c>
      <c r="O2016" t="str">
        <f>IF(financial_fraud_data[[#This Row],[Risk_Score]]&gt;8,"High",IF(financial_fraud_data[[#This Row],[Risk_Score]]&gt;5,"Med","Low"))</f>
        <v>Med</v>
      </c>
      <c r="P2016" t="str">
        <f>TEXT(financial_fraud_data[[#This Row],[Transaction_Date]],"MMM")</f>
        <v>Mar</v>
      </c>
      <c r="Q2016" t="str">
        <f>IF(financial_fraud_data[[#This Row],[Is_Fraud]]=1,"Yes","No")</f>
        <v>Yes</v>
      </c>
    </row>
    <row r="2017" spans="1:17" x14ac:dyDescent="0.2">
      <c r="A2017" t="s">
        <v>2542</v>
      </c>
      <c r="B2017" t="s">
        <v>328</v>
      </c>
      <c r="C2017" s="1">
        <v>45375.958333333336</v>
      </c>
      <c r="D2017">
        <v>20584.23</v>
      </c>
      <c r="E2017" t="s">
        <v>16</v>
      </c>
      <c r="F2017" t="s">
        <v>50</v>
      </c>
      <c r="G2017" t="s">
        <v>28</v>
      </c>
      <c r="H2017" t="s">
        <v>23</v>
      </c>
      <c r="I2017" t="s">
        <v>23</v>
      </c>
      <c r="J2017" t="s">
        <v>20</v>
      </c>
      <c r="K2017">
        <v>0</v>
      </c>
      <c r="L2017">
        <v>1</v>
      </c>
      <c r="M2017">
        <v>3.56</v>
      </c>
      <c r="N2017">
        <v>0</v>
      </c>
      <c r="O2017" t="str">
        <f>IF(financial_fraud_data[[#This Row],[Risk_Score]]&gt;8,"High",IF(financial_fraud_data[[#This Row],[Risk_Score]]&gt;5,"Med","Low"))</f>
        <v>Low</v>
      </c>
      <c r="P2017" t="str">
        <f>TEXT(financial_fraud_data[[#This Row],[Transaction_Date]],"MMM")</f>
        <v>Mar</v>
      </c>
      <c r="Q2017" t="str">
        <f>IF(financial_fraud_data[[#This Row],[Is_Fraud]]=1,"Yes","No")</f>
        <v>No</v>
      </c>
    </row>
    <row r="2018" spans="1:17" x14ac:dyDescent="0.2">
      <c r="A2018" t="s">
        <v>2543</v>
      </c>
      <c r="B2018" t="s">
        <v>229</v>
      </c>
      <c r="C2018" s="1">
        <v>45376</v>
      </c>
      <c r="D2018">
        <v>17399.8</v>
      </c>
      <c r="E2018" t="s">
        <v>16</v>
      </c>
      <c r="F2018" t="s">
        <v>50</v>
      </c>
      <c r="G2018" t="s">
        <v>28</v>
      </c>
      <c r="H2018" t="s">
        <v>29</v>
      </c>
      <c r="I2018" t="s">
        <v>23</v>
      </c>
      <c r="J2018" t="s">
        <v>20</v>
      </c>
      <c r="K2018">
        <v>0</v>
      </c>
      <c r="L2018">
        <v>1</v>
      </c>
      <c r="M2018">
        <v>4.24</v>
      </c>
      <c r="N2018">
        <v>0</v>
      </c>
      <c r="O2018" t="str">
        <f>IF(financial_fraud_data[[#This Row],[Risk_Score]]&gt;8,"High",IF(financial_fraud_data[[#This Row],[Risk_Score]]&gt;5,"Med","Low"))</f>
        <v>Low</v>
      </c>
      <c r="P2018" t="str">
        <f>TEXT(financial_fraud_data[[#This Row],[Transaction_Date]],"MMM")</f>
        <v>Mar</v>
      </c>
      <c r="Q2018" t="str">
        <f>IF(financial_fraud_data[[#This Row],[Is_Fraud]]=1,"Yes","No")</f>
        <v>No</v>
      </c>
    </row>
    <row r="2019" spans="1:17" x14ac:dyDescent="0.2">
      <c r="A2019" t="s">
        <v>2544</v>
      </c>
      <c r="B2019" t="s">
        <v>428</v>
      </c>
      <c r="C2019" s="1">
        <v>45376.041666666664</v>
      </c>
      <c r="D2019">
        <v>44996.68</v>
      </c>
      <c r="E2019" t="s">
        <v>42</v>
      </c>
      <c r="F2019" t="s">
        <v>17</v>
      </c>
      <c r="G2019" t="s">
        <v>35</v>
      </c>
      <c r="H2019" t="s">
        <v>36</v>
      </c>
      <c r="I2019" t="s">
        <v>19</v>
      </c>
      <c r="J2019" t="s">
        <v>20</v>
      </c>
      <c r="K2019">
        <v>0</v>
      </c>
      <c r="L2019">
        <v>2</v>
      </c>
      <c r="M2019">
        <v>8.5</v>
      </c>
      <c r="N2019">
        <v>1</v>
      </c>
      <c r="O2019" t="str">
        <f>IF(financial_fraud_data[[#This Row],[Risk_Score]]&gt;8,"High",IF(financial_fraud_data[[#This Row],[Risk_Score]]&gt;5,"Med","Low"))</f>
        <v>High</v>
      </c>
      <c r="P2019" t="str">
        <f>TEXT(financial_fraud_data[[#This Row],[Transaction_Date]],"MMM")</f>
        <v>Mar</v>
      </c>
      <c r="Q2019" t="str">
        <f>IF(financial_fraud_data[[#This Row],[Is_Fraud]]=1,"Yes","No")</f>
        <v>Yes</v>
      </c>
    </row>
    <row r="2020" spans="1:17" x14ac:dyDescent="0.2">
      <c r="A2020" t="s">
        <v>2545</v>
      </c>
      <c r="B2020" t="s">
        <v>1073</v>
      </c>
      <c r="C2020" s="1">
        <v>45376.083333333336</v>
      </c>
      <c r="D2020">
        <v>1140.08</v>
      </c>
      <c r="E2020" t="s">
        <v>80</v>
      </c>
      <c r="F2020" t="s">
        <v>27</v>
      </c>
      <c r="G2020" t="s">
        <v>18</v>
      </c>
      <c r="H2020" t="s">
        <v>36</v>
      </c>
      <c r="I2020" t="s">
        <v>36</v>
      </c>
      <c r="J2020" t="s">
        <v>51</v>
      </c>
      <c r="K2020">
        <v>0</v>
      </c>
      <c r="L2020">
        <v>4</v>
      </c>
      <c r="M2020">
        <v>6.11</v>
      </c>
      <c r="N2020">
        <v>1</v>
      </c>
      <c r="O2020" t="str">
        <f>IF(financial_fraud_data[[#This Row],[Risk_Score]]&gt;8,"High",IF(financial_fraud_data[[#This Row],[Risk_Score]]&gt;5,"Med","Low"))</f>
        <v>Med</v>
      </c>
      <c r="P2020" t="str">
        <f>TEXT(financial_fraud_data[[#This Row],[Transaction_Date]],"MMM")</f>
        <v>Mar</v>
      </c>
      <c r="Q2020" t="str">
        <f>IF(financial_fraud_data[[#This Row],[Is_Fraud]]=1,"Yes","No")</f>
        <v>Yes</v>
      </c>
    </row>
    <row r="2021" spans="1:17" x14ac:dyDescent="0.2">
      <c r="A2021" t="s">
        <v>2546</v>
      </c>
      <c r="B2021" t="s">
        <v>1024</v>
      </c>
      <c r="C2021" s="1">
        <v>45376.125</v>
      </c>
      <c r="D2021">
        <v>33206.29</v>
      </c>
      <c r="E2021" t="s">
        <v>80</v>
      </c>
      <c r="F2021" t="s">
        <v>27</v>
      </c>
      <c r="G2021" t="s">
        <v>65</v>
      </c>
      <c r="H2021" t="s">
        <v>19</v>
      </c>
      <c r="I2021" t="s">
        <v>29</v>
      </c>
      <c r="J2021" t="s">
        <v>20</v>
      </c>
      <c r="K2021">
        <v>0</v>
      </c>
      <c r="L2021">
        <v>2</v>
      </c>
      <c r="M2021">
        <v>7.32</v>
      </c>
      <c r="N2021">
        <v>1</v>
      </c>
      <c r="O2021" t="str">
        <f>IF(financial_fraud_data[[#This Row],[Risk_Score]]&gt;8,"High",IF(financial_fraud_data[[#This Row],[Risk_Score]]&gt;5,"Med","Low"))</f>
        <v>Med</v>
      </c>
      <c r="P2021" t="str">
        <f>TEXT(financial_fraud_data[[#This Row],[Transaction_Date]],"MMM")</f>
        <v>Mar</v>
      </c>
      <c r="Q2021" t="str">
        <f>IF(financial_fraud_data[[#This Row],[Is_Fraud]]=1,"Yes","No")</f>
        <v>Yes</v>
      </c>
    </row>
    <row r="2022" spans="1:17" x14ac:dyDescent="0.2">
      <c r="A2022" t="s">
        <v>2547</v>
      </c>
      <c r="B2022" t="s">
        <v>1446</v>
      </c>
      <c r="C2022" s="1">
        <v>45376.166666666664</v>
      </c>
      <c r="D2022">
        <v>48171.55</v>
      </c>
      <c r="E2022" t="s">
        <v>34</v>
      </c>
      <c r="F2022" t="s">
        <v>17</v>
      </c>
      <c r="G2022" t="s">
        <v>65</v>
      </c>
      <c r="H2022" t="s">
        <v>24</v>
      </c>
      <c r="I2022" t="s">
        <v>29</v>
      </c>
      <c r="J2022" t="s">
        <v>20</v>
      </c>
      <c r="K2022">
        <v>0</v>
      </c>
      <c r="L2022">
        <v>3</v>
      </c>
      <c r="M2022">
        <v>10.32</v>
      </c>
      <c r="N2022">
        <v>1</v>
      </c>
      <c r="O2022" t="str">
        <f>IF(financial_fraud_data[[#This Row],[Risk_Score]]&gt;8,"High",IF(financial_fraud_data[[#This Row],[Risk_Score]]&gt;5,"Med","Low"))</f>
        <v>High</v>
      </c>
      <c r="P2022" t="str">
        <f>TEXT(financial_fraud_data[[#This Row],[Transaction_Date]],"MMM")</f>
        <v>Mar</v>
      </c>
      <c r="Q2022" t="str">
        <f>IF(financial_fraud_data[[#This Row],[Is_Fraud]]=1,"Yes","No")</f>
        <v>Yes</v>
      </c>
    </row>
    <row r="2023" spans="1:17" x14ac:dyDescent="0.2">
      <c r="A2023" t="s">
        <v>2548</v>
      </c>
      <c r="B2023" t="s">
        <v>1309</v>
      </c>
      <c r="C2023" s="1">
        <v>45376.208333333336</v>
      </c>
      <c r="D2023">
        <v>28030.400000000001</v>
      </c>
      <c r="E2023" t="s">
        <v>34</v>
      </c>
      <c r="F2023" t="s">
        <v>50</v>
      </c>
      <c r="G2023" t="s">
        <v>35</v>
      </c>
      <c r="H2023" t="s">
        <v>29</v>
      </c>
      <c r="I2023" t="s">
        <v>29</v>
      </c>
      <c r="J2023" t="s">
        <v>20</v>
      </c>
      <c r="K2023">
        <v>0</v>
      </c>
      <c r="L2023">
        <v>0</v>
      </c>
      <c r="M2023">
        <v>2.8</v>
      </c>
      <c r="N2023">
        <v>0</v>
      </c>
      <c r="O2023" t="str">
        <f>IF(financial_fraud_data[[#This Row],[Risk_Score]]&gt;8,"High",IF(financial_fraud_data[[#This Row],[Risk_Score]]&gt;5,"Med","Low"))</f>
        <v>Low</v>
      </c>
      <c r="P2023" t="str">
        <f>TEXT(financial_fraud_data[[#This Row],[Transaction_Date]],"MMM")</f>
        <v>Mar</v>
      </c>
      <c r="Q2023" t="str">
        <f>IF(financial_fraud_data[[#This Row],[Is_Fraud]]=1,"Yes","No")</f>
        <v>No</v>
      </c>
    </row>
    <row r="2024" spans="1:17" x14ac:dyDescent="0.2">
      <c r="A2024" t="s">
        <v>2549</v>
      </c>
      <c r="B2024" t="s">
        <v>901</v>
      </c>
      <c r="C2024" s="1">
        <v>45376.25</v>
      </c>
      <c r="D2024">
        <v>46844.28</v>
      </c>
      <c r="E2024" t="s">
        <v>16</v>
      </c>
      <c r="F2024" t="s">
        <v>50</v>
      </c>
      <c r="G2024" t="s">
        <v>65</v>
      </c>
      <c r="H2024" t="s">
        <v>19</v>
      </c>
      <c r="I2024" t="s">
        <v>24</v>
      </c>
      <c r="J2024" t="s">
        <v>20</v>
      </c>
      <c r="K2024">
        <v>0</v>
      </c>
      <c r="L2024">
        <v>2</v>
      </c>
      <c r="M2024">
        <v>8.68</v>
      </c>
      <c r="N2024">
        <v>1</v>
      </c>
      <c r="O2024" t="str">
        <f>IF(financial_fraud_data[[#This Row],[Risk_Score]]&gt;8,"High",IF(financial_fraud_data[[#This Row],[Risk_Score]]&gt;5,"Med","Low"))</f>
        <v>High</v>
      </c>
      <c r="P2024" t="str">
        <f>TEXT(financial_fraud_data[[#This Row],[Transaction_Date]],"MMM")</f>
        <v>Mar</v>
      </c>
      <c r="Q2024" t="str">
        <f>IF(financial_fraud_data[[#This Row],[Is_Fraud]]=1,"Yes","No")</f>
        <v>Yes</v>
      </c>
    </row>
    <row r="2025" spans="1:17" x14ac:dyDescent="0.2">
      <c r="A2025" t="s">
        <v>2550</v>
      </c>
      <c r="B2025" t="s">
        <v>1590</v>
      </c>
      <c r="C2025" s="1">
        <v>45376.291666666664</v>
      </c>
      <c r="D2025">
        <v>2660.28</v>
      </c>
      <c r="E2025" t="s">
        <v>42</v>
      </c>
      <c r="F2025" t="s">
        <v>27</v>
      </c>
      <c r="G2025" t="s">
        <v>28</v>
      </c>
      <c r="H2025" t="s">
        <v>19</v>
      </c>
      <c r="I2025" t="s">
        <v>24</v>
      </c>
      <c r="J2025" t="s">
        <v>37</v>
      </c>
      <c r="K2025">
        <v>0</v>
      </c>
      <c r="L2025">
        <v>1</v>
      </c>
      <c r="M2025">
        <v>2.77</v>
      </c>
      <c r="N2025">
        <v>0</v>
      </c>
      <c r="O2025" t="str">
        <f>IF(financial_fraud_data[[#This Row],[Risk_Score]]&gt;8,"High",IF(financial_fraud_data[[#This Row],[Risk_Score]]&gt;5,"Med","Low"))</f>
        <v>Low</v>
      </c>
      <c r="P2025" t="str">
        <f>TEXT(financial_fraud_data[[#This Row],[Transaction_Date]],"MMM")</f>
        <v>Mar</v>
      </c>
      <c r="Q2025" t="str">
        <f>IF(financial_fraud_data[[#This Row],[Is_Fraud]]=1,"Yes","No")</f>
        <v>No</v>
      </c>
    </row>
    <row r="2026" spans="1:17" x14ac:dyDescent="0.2">
      <c r="A2026" t="s">
        <v>2551</v>
      </c>
      <c r="B2026" t="s">
        <v>1088</v>
      </c>
      <c r="C2026" s="1">
        <v>45376.333333333336</v>
      </c>
      <c r="D2026">
        <v>20968.73</v>
      </c>
      <c r="E2026" t="s">
        <v>16</v>
      </c>
      <c r="F2026" t="s">
        <v>17</v>
      </c>
      <c r="G2026" t="s">
        <v>18</v>
      </c>
      <c r="H2026" t="s">
        <v>36</v>
      </c>
      <c r="I2026" t="s">
        <v>29</v>
      </c>
      <c r="J2026" t="s">
        <v>51</v>
      </c>
      <c r="K2026">
        <v>1</v>
      </c>
      <c r="L2026">
        <v>1</v>
      </c>
      <c r="M2026">
        <v>6.6</v>
      </c>
      <c r="N2026">
        <v>1</v>
      </c>
      <c r="O2026" t="str">
        <f>IF(financial_fraud_data[[#This Row],[Risk_Score]]&gt;8,"High",IF(financial_fraud_data[[#This Row],[Risk_Score]]&gt;5,"Med","Low"))</f>
        <v>Med</v>
      </c>
      <c r="P2026" t="str">
        <f>TEXT(financial_fraud_data[[#This Row],[Transaction_Date]],"MMM")</f>
        <v>Mar</v>
      </c>
      <c r="Q2026" t="str">
        <f>IF(financial_fraud_data[[#This Row],[Is_Fraud]]=1,"Yes","No")</f>
        <v>Yes</v>
      </c>
    </row>
    <row r="2027" spans="1:17" x14ac:dyDescent="0.2">
      <c r="A2027" t="s">
        <v>2552</v>
      </c>
      <c r="B2027" t="s">
        <v>331</v>
      </c>
      <c r="C2027" s="1">
        <v>45376.375</v>
      </c>
      <c r="D2027">
        <v>13044.88</v>
      </c>
      <c r="E2027" t="s">
        <v>34</v>
      </c>
      <c r="F2027" t="s">
        <v>50</v>
      </c>
      <c r="G2027" t="s">
        <v>65</v>
      </c>
      <c r="H2027" t="s">
        <v>23</v>
      </c>
      <c r="I2027" t="s">
        <v>19</v>
      </c>
      <c r="J2027" t="s">
        <v>37</v>
      </c>
      <c r="K2027">
        <v>0</v>
      </c>
      <c r="L2027">
        <v>3</v>
      </c>
      <c r="M2027">
        <v>6.8</v>
      </c>
      <c r="N2027">
        <v>1</v>
      </c>
      <c r="O2027" t="str">
        <f>IF(financial_fraud_data[[#This Row],[Risk_Score]]&gt;8,"High",IF(financial_fraud_data[[#This Row],[Risk_Score]]&gt;5,"Med","Low"))</f>
        <v>Med</v>
      </c>
      <c r="P2027" t="str">
        <f>TEXT(financial_fraud_data[[#This Row],[Transaction_Date]],"MMM")</f>
        <v>Mar</v>
      </c>
      <c r="Q2027" t="str">
        <f>IF(financial_fraud_data[[#This Row],[Is_Fraud]]=1,"Yes","No")</f>
        <v>Yes</v>
      </c>
    </row>
    <row r="2028" spans="1:17" x14ac:dyDescent="0.2">
      <c r="A2028" t="s">
        <v>2553</v>
      </c>
      <c r="B2028" t="s">
        <v>686</v>
      </c>
      <c r="C2028" s="1">
        <v>45376.416666666664</v>
      </c>
      <c r="D2028">
        <v>36554.51</v>
      </c>
      <c r="E2028" t="s">
        <v>42</v>
      </c>
      <c r="F2028" t="s">
        <v>50</v>
      </c>
      <c r="G2028" t="s">
        <v>65</v>
      </c>
      <c r="H2028" t="s">
        <v>29</v>
      </c>
      <c r="I2028" t="s">
        <v>24</v>
      </c>
      <c r="J2028" t="s">
        <v>51</v>
      </c>
      <c r="K2028">
        <v>0</v>
      </c>
      <c r="L2028">
        <v>4</v>
      </c>
      <c r="M2028">
        <v>10.66</v>
      </c>
      <c r="N2028">
        <v>1</v>
      </c>
      <c r="O2028" t="str">
        <f>IF(financial_fraud_data[[#This Row],[Risk_Score]]&gt;8,"High",IF(financial_fraud_data[[#This Row],[Risk_Score]]&gt;5,"Med","Low"))</f>
        <v>High</v>
      </c>
      <c r="P2028" t="str">
        <f>TEXT(financial_fraud_data[[#This Row],[Transaction_Date]],"MMM")</f>
        <v>Mar</v>
      </c>
      <c r="Q2028" t="str">
        <f>IF(financial_fraud_data[[#This Row],[Is_Fraud]]=1,"Yes","No")</f>
        <v>Yes</v>
      </c>
    </row>
    <row r="2029" spans="1:17" x14ac:dyDescent="0.2">
      <c r="A2029" t="s">
        <v>2554</v>
      </c>
      <c r="B2029" t="s">
        <v>468</v>
      </c>
      <c r="C2029" s="1">
        <v>45376.458333333336</v>
      </c>
      <c r="D2029">
        <v>49065.79</v>
      </c>
      <c r="E2029" t="s">
        <v>42</v>
      </c>
      <c r="F2029" t="s">
        <v>50</v>
      </c>
      <c r="G2029" t="s">
        <v>56</v>
      </c>
      <c r="H2029" t="s">
        <v>23</v>
      </c>
      <c r="I2029" t="s">
        <v>24</v>
      </c>
      <c r="J2029" t="s">
        <v>51</v>
      </c>
      <c r="K2029">
        <v>0</v>
      </c>
      <c r="L2029">
        <v>0</v>
      </c>
      <c r="M2029">
        <v>5.91</v>
      </c>
      <c r="N2029">
        <v>1</v>
      </c>
      <c r="O2029" t="str">
        <f>IF(financial_fraud_data[[#This Row],[Risk_Score]]&gt;8,"High",IF(financial_fraud_data[[#This Row],[Risk_Score]]&gt;5,"Med","Low"))</f>
        <v>Med</v>
      </c>
      <c r="P2029" t="str">
        <f>TEXT(financial_fraud_data[[#This Row],[Transaction_Date]],"MMM")</f>
        <v>Mar</v>
      </c>
      <c r="Q2029" t="str">
        <f>IF(financial_fraud_data[[#This Row],[Is_Fraud]]=1,"Yes","No")</f>
        <v>Yes</v>
      </c>
    </row>
    <row r="2030" spans="1:17" x14ac:dyDescent="0.2">
      <c r="A2030" t="s">
        <v>2555</v>
      </c>
      <c r="B2030" t="s">
        <v>636</v>
      </c>
      <c r="C2030" s="1">
        <v>45376.5</v>
      </c>
      <c r="D2030">
        <v>12863.68</v>
      </c>
      <c r="E2030" t="s">
        <v>34</v>
      </c>
      <c r="F2030" t="s">
        <v>47</v>
      </c>
      <c r="G2030" t="s">
        <v>56</v>
      </c>
      <c r="H2030" t="s">
        <v>29</v>
      </c>
      <c r="I2030" t="s">
        <v>23</v>
      </c>
      <c r="J2030" t="s">
        <v>37</v>
      </c>
      <c r="K2030">
        <v>0</v>
      </c>
      <c r="L2030">
        <v>2</v>
      </c>
      <c r="M2030">
        <v>5.29</v>
      </c>
      <c r="N2030">
        <v>1</v>
      </c>
      <c r="O2030" t="str">
        <f>IF(financial_fraud_data[[#This Row],[Risk_Score]]&gt;8,"High",IF(financial_fraud_data[[#This Row],[Risk_Score]]&gt;5,"Med","Low"))</f>
        <v>Med</v>
      </c>
      <c r="P2030" t="str">
        <f>TEXT(financial_fraud_data[[#This Row],[Transaction_Date]],"MMM")</f>
        <v>Mar</v>
      </c>
      <c r="Q2030" t="str">
        <f>IF(financial_fraud_data[[#This Row],[Is_Fraud]]=1,"Yes","No")</f>
        <v>Yes</v>
      </c>
    </row>
    <row r="2031" spans="1:17" x14ac:dyDescent="0.2">
      <c r="A2031" t="s">
        <v>2556</v>
      </c>
      <c r="B2031" t="s">
        <v>272</v>
      </c>
      <c r="C2031" s="1">
        <v>45376.541666666664</v>
      </c>
      <c r="D2031">
        <v>32726.02</v>
      </c>
      <c r="E2031" t="s">
        <v>80</v>
      </c>
      <c r="F2031" t="s">
        <v>17</v>
      </c>
      <c r="G2031" t="s">
        <v>56</v>
      </c>
      <c r="H2031" t="s">
        <v>24</v>
      </c>
      <c r="I2031" t="s">
        <v>23</v>
      </c>
      <c r="J2031" t="s">
        <v>20</v>
      </c>
      <c r="K2031">
        <v>0</v>
      </c>
      <c r="L2031">
        <v>4</v>
      </c>
      <c r="M2031">
        <v>10.27</v>
      </c>
      <c r="N2031">
        <v>1</v>
      </c>
      <c r="O2031" t="str">
        <f>IF(financial_fraud_data[[#This Row],[Risk_Score]]&gt;8,"High",IF(financial_fraud_data[[#This Row],[Risk_Score]]&gt;5,"Med","Low"))</f>
        <v>High</v>
      </c>
      <c r="P2031" t="str">
        <f>TEXT(financial_fraud_data[[#This Row],[Transaction_Date]],"MMM")</f>
        <v>Mar</v>
      </c>
      <c r="Q2031" t="str">
        <f>IF(financial_fraud_data[[#This Row],[Is_Fraud]]=1,"Yes","No")</f>
        <v>Yes</v>
      </c>
    </row>
    <row r="2032" spans="1:17" x14ac:dyDescent="0.2">
      <c r="A2032" t="s">
        <v>2557</v>
      </c>
      <c r="B2032" t="s">
        <v>659</v>
      </c>
      <c r="C2032" s="1">
        <v>45376.583333333336</v>
      </c>
      <c r="D2032">
        <v>9944.98</v>
      </c>
      <c r="E2032" t="s">
        <v>80</v>
      </c>
      <c r="F2032" t="s">
        <v>50</v>
      </c>
      <c r="G2032" t="s">
        <v>18</v>
      </c>
      <c r="H2032" t="s">
        <v>36</v>
      </c>
      <c r="I2032" t="s">
        <v>19</v>
      </c>
      <c r="J2032" t="s">
        <v>37</v>
      </c>
      <c r="K2032">
        <v>0</v>
      </c>
      <c r="L2032">
        <v>4</v>
      </c>
      <c r="M2032">
        <v>7.99</v>
      </c>
      <c r="N2032">
        <v>1</v>
      </c>
      <c r="O2032" t="str">
        <f>IF(financial_fraud_data[[#This Row],[Risk_Score]]&gt;8,"High",IF(financial_fraud_data[[#This Row],[Risk_Score]]&gt;5,"Med","Low"))</f>
        <v>Med</v>
      </c>
      <c r="P2032" t="str">
        <f>TEXT(financial_fraud_data[[#This Row],[Transaction_Date]],"MMM")</f>
        <v>Mar</v>
      </c>
      <c r="Q2032" t="str">
        <f>IF(financial_fraud_data[[#This Row],[Is_Fraud]]=1,"Yes","No")</f>
        <v>Yes</v>
      </c>
    </row>
    <row r="2033" spans="1:17" x14ac:dyDescent="0.2">
      <c r="A2033" t="s">
        <v>2558</v>
      </c>
      <c r="B2033" t="s">
        <v>459</v>
      </c>
      <c r="C2033" s="1">
        <v>45376.625</v>
      </c>
      <c r="D2033">
        <v>28288.25</v>
      </c>
      <c r="E2033" t="s">
        <v>42</v>
      </c>
      <c r="F2033" t="s">
        <v>47</v>
      </c>
      <c r="G2033" t="s">
        <v>28</v>
      </c>
      <c r="H2033" t="s">
        <v>24</v>
      </c>
      <c r="I2033" t="s">
        <v>24</v>
      </c>
      <c r="J2033" t="s">
        <v>51</v>
      </c>
      <c r="K2033">
        <v>0</v>
      </c>
      <c r="L2033">
        <v>2</v>
      </c>
      <c r="M2033">
        <v>5.83</v>
      </c>
      <c r="N2033">
        <v>1</v>
      </c>
      <c r="O2033" t="str">
        <f>IF(financial_fraud_data[[#This Row],[Risk_Score]]&gt;8,"High",IF(financial_fraud_data[[#This Row],[Risk_Score]]&gt;5,"Med","Low"))</f>
        <v>Med</v>
      </c>
      <c r="P2033" t="str">
        <f>TEXT(financial_fraud_data[[#This Row],[Transaction_Date]],"MMM")</f>
        <v>Mar</v>
      </c>
      <c r="Q2033" t="str">
        <f>IF(financial_fraud_data[[#This Row],[Is_Fraud]]=1,"Yes","No")</f>
        <v>Yes</v>
      </c>
    </row>
    <row r="2034" spans="1:17" x14ac:dyDescent="0.2">
      <c r="A2034" t="s">
        <v>2559</v>
      </c>
      <c r="B2034" t="s">
        <v>1047</v>
      </c>
      <c r="C2034" s="1">
        <v>45376.666666666664</v>
      </c>
      <c r="D2034">
        <v>23223.43</v>
      </c>
      <c r="E2034" t="s">
        <v>16</v>
      </c>
      <c r="F2034" t="s">
        <v>17</v>
      </c>
      <c r="G2034" t="s">
        <v>28</v>
      </c>
      <c r="H2034" t="s">
        <v>19</v>
      </c>
      <c r="I2034" t="s">
        <v>24</v>
      </c>
      <c r="J2034" t="s">
        <v>51</v>
      </c>
      <c r="K2034">
        <v>0</v>
      </c>
      <c r="L2034">
        <v>2</v>
      </c>
      <c r="M2034">
        <v>6.32</v>
      </c>
      <c r="N2034">
        <v>1</v>
      </c>
      <c r="O2034" t="str">
        <f>IF(financial_fraud_data[[#This Row],[Risk_Score]]&gt;8,"High",IF(financial_fraud_data[[#This Row],[Risk_Score]]&gt;5,"Med","Low"))</f>
        <v>Med</v>
      </c>
      <c r="P2034" t="str">
        <f>TEXT(financial_fraud_data[[#This Row],[Transaction_Date]],"MMM")</f>
        <v>Mar</v>
      </c>
      <c r="Q2034" t="str">
        <f>IF(financial_fraud_data[[#This Row],[Is_Fraud]]=1,"Yes","No")</f>
        <v>Yes</v>
      </c>
    </row>
    <row r="2035" spans="1:17" x14ac:dyDescent="0.2">
      <c r="A2035" t="s">
        <v>2560</v>
      </c>
      <c r="B2035" t="s">
        <v>805</v>
      </c>
      <c r="C2035" s="1">
        <v>45376.708333333336</v>
      </c>
      <c r="D2035">
        <v>48601.67</v>
      </c>
      <c r="E2035" t="s">
        <v>80</v>
      </c>
      <c r="F2035" t="s">
        <v>50</v>
      </c>
      <c r="G2035" t="s">
        <v>28</v>
      </c>
      <c r="H2035" t="s">
        <v>36</v>
      </c>
      <c r="I2035" t="s">
        <v>36</v>
      </c>
      <c r="J2035" t="s">
        <v>20</v>
      </c>
      <c r="K2035">
        <v>0</v>
      </c>
      <c r="L2035">
        <v>2</v>
      </c>
      <c r="M2035">
        <v>7.86</v>
      </c>
      <c r="N2035">
        <v>1</v>
      </c>
      <c r="O2035" t="str">
        <f>IF(financial_fraud_data[[#This Row],[Risk_Score]]&gt;8,"High",IF(financial_fraud_data[[#This Row],[Risk_Score]]&gt;5,"Med","Low"))</f>
        <v>Med</v>
      </c>
      <c r="P2035" t="str">
        <f>TEXT(financial_fraud_data[[#This Row],[Transaction_Date]],"MMM")</f>
        <v>Mar</v>
      </c>
      <c r="Q2035" t="str">
        <f>IF(financial_fraud_data[[#This Row],[Is_Fraud]]=1,"Yes","No")</f>
        <v>Yes</v>
      </c>
    </row>
    <row r="2036" spans="1:17" x14ac:dyDescent="0.2">
      <c r="A2036" t="s">
        <v>2561</v>
      </c>
      <c r="B2036" t="s">
        <v>176</v>
      </c>
      <c r="C2036" s="1">
        <v>45376.75</v>
      </c>
      <c r="D2036">
        <v>30445.94</v>
      </c>
      <c r="E2036" t="s">
        <v>16</v>
      </c>
      <c r="F2036" t="s">
        <v>27</v>
      </c>
      <c r="G2036" t="s">
        <v>18</v>
      </c>
      <c r="H2036" t="s">
        <v>19</v>
      </c>
      <c r="I2036" t="s">
        <v>19</v>
      </c>
      <c r="J2036" t="s">
        <v>37</v>
      </c>
      <c r="K2036">
        <v>0</v>
      </c>
      <c r="L2036">
        <v>2</v>
      </c>
      <c r="M2036">
        <v>6.04</v>
      </c>
      <c r="N2036">
        <v>1</v>
      </c>
      <c r="O2036" t="str">
        <f>IF(financial_fraud_data[[#This Row],[Risk_Score]]&gt;8,"High",IF(financial_fraud_data[[#This Row],[Risk_Score]]&gt;5,"Med","Low"))</f>
        <v>Med</v>
      </c>
      <c r="P2036" t="str">
        <f>TEXT(financial_fraud_data[[#This Row],[Transaction_Date]],"MMM")</f>
        <v>Mar</v>
      </c>
      <c r="Q2036" t="str">
        <f>IF(financial_fraud_data[[#This Row],[Is_Fraud]]=1,"Yes","No")</f>
        <v>Yes</v>
      </c>
    </row>
    <row r="2037" spans="1:17" x14ac:dyDescent="0.2">
      <c r="A2037" t="s">
        <v>2562</v>
      </c>
      <c r="B2037" t="s">
        <v>1504</v>
      </c>
      <c r="C2037" s="1">
        <v>45376.791666666664</v>
      </c>
      <c r="D2037">
        <v>17507.84</v>
      </c>
      <c r="E2037" t="s">
        <v>80</v>
      </c>
      <c r="F2037" t="s">
        <v>47</v>
      </c>
      <c r="G2037" t="s">
        <v>18</v>
      </c>
      <c r="H2037" t="s">
        <v>24</v>
      </c>
      <c r="I2037" t="s">
        <v>19</v>
      </c>
      <c r="J2037" t="s">
        <v>51</v>
      </c>
      <c r="K2037">
        <v>0</v>
      </c>
      <c r="L2037">
        <v>1</v>
      </c>
      <c r="M2037">
        <v>4.25</v>
      </c>
      <c r="N2037">
        <v>0</v>
      </c>
      <c r="O2037" t="str">
        <f>IF(financial_fraud_data[[#This Row],[Risk_Score]]&gt;8,"High",IF(financial_fraud_data[[#This Row],[Risk_Score]]&gt;5,"Med","Low"))</f>
        <v>Low</v>
      </c>
      <c r="P2037" t="str">
        <f>TEXT(financial_fraud_data[[#This Row],[Transaction_Date]],"MMM")</f>
        <v>Mar</v>
      </c>
      <c r="Q2037" t="str">
        <f>IF(financial_fraud_data[[#This Row],[Is_Fraud]]=1,"Yes","No")</f>
        <v>No</v>
      </c>
    </row>
    <row r="2038" spans="1:17" x14ac:dyDescent="0.2">
      <c r="A2038" t="s">
        <v>2563</v>
      </c>
      <c r="B2038" t="s">
        <v>1664</v>
      </c>
      <c r="C2038" s="1">
        <v>45376.833333333336</v>
      </c>
      <c r="D2038">
        <v>5749.08</v>
      </c>
      <c r="E2038" t="s">
        <v>80</v>
      </c>
      <c r="F2038" t="s">
        <v>47</v>
      </c>
      <c r="G2038" t="s">
        <v>56</v>
      </c>
      <c r="H2038" t="s">
        <v>29</v>
      </c>
      <c r="I2038" t="s">
        <v>36</v>
      </c>
      <c r="J2038" t="s">
        <v>37</v>
      </c>
      <c r="K2038">
        <v>1</v>
      </c>
      <c r="L2038">
        <v>4</v>
      </c>
      <c r="M2038">
        <v>9.57</v>
      </c>
      <c r="N2038">
        <v>1</v>
      </c>
      <c r="O2038" t="str">
        <f>IF(financial_fraud_data[[#This Row],[Risk_Score]]&gt;8,"High",IF(financial_fraud_data[[#This Row],[Risk_Score]]&gt;5,"Med","Low"))</f>
        <v>High</v>
      </c>
      <c r="P2038" t="str">
        <f>TEXT(financial_fraud_data[[#This Row],[Transaction_Date]],"MMM")</f>
        <v>Mar</v>
      </c>
      <c r="Q2038" t="str">
        <f>IF(financial_fraud_data[[#This Row],[Is_Fraud]]=1,"Yes","No")</f>
        <v>Yes</v>
      </c>
    </row>
    <row r="2039" spans="1:17" x14ac:dyDescent="0.2">
      <c r="A2039" t="s">
        <v>2564</v>
      </c>
      <c r="B2039" t="s">
        <v>71</v>
      </c>
      <c r="C2039" s="1">
        <v>45376.875</v>
      </c>
      <c r="D2039">
        <v>7604.78</v>
      </c>
      <c r="E2039" t="s">
        <v>16</v>
      </c>
      <c r="F2039" t="s">
        <v>50</v>
      </c>
      <c r="G2039" t="s">
        <v>65</v>
      </c>
      <c r="H2039" t="s">
        <v>19</v>
      </c>
      <c r="I2039" t="s">
        <v>36</v>
      </c>
      <c r="J2039" t="s">
        <v>20</v>
      </c>
      <c r="K2039">
        <v>0</v>
      </c>
      <c r="L2039">
        <v>4</v>
      </c>
      <c r="M2039">
        <v>7.76</v>
      </c>
      <c r="N2039">
        <v>1</v>
      </c>
      <c r="O2039" t="str">
        <f>IF(financial_fraud_data[[#This Row],[Risk_Score]]&gt;8,"High",IF(financial_fraud_data[[#This Row],[Risk_Score]]&gt;5,"Med","Low"))</f>
        <v>Med</v>
      </c>
      <c r="P2039" t="str">
        <f>TEXT(financial_fraud_data[[#This Row],[Transaction_Date]],"MMM")</f>
        <v>Mar</v>
      </c>
      <c r="Q2039" t="str">
        <f>IF(financial_fraud_data[[#This Row],[Is_Fraud]]=1,"Yes","No")</f>
        <v>Yes</v>
      </c>
    </row>
    <row r="2040" spans="1:17" x14ac:dyDescent="0.2">
      <c r="A2040" t="s">
        <v>2565</v>
      </c>
      <c r="B2040" t="s">
        <v>333</v>
      </c>
      <c r="C2040" s="1">
        <v>45376.916666666664</v>
      </c>
      <c r="D2040">
        <v>11304.58</v>
      </c>
      <c r="E2040" t="s">
        <v>34</v>
      </c>
      <c r="F2040" t="s">
        <v>50</v>
      </c>
      <c r="G2040" t="s">
        <v>35</v>
      </c>
      <c r="H2040" t="s">
        <v>23</v>
      </c>
      <c r="I2040" t="s">
        <v>23</v>
      </c>
      <c r="J2040" t="s">
        <v>20</v>
      </c>
      <c r="K2040">
        <v>0</v>
      </c>
      <c r="L2040">
        <v>1</v>
      </c>
      <c r="M2040">
        <v>2.63</v>
      </c>
      <c r="N2040">
        <v>0</v>
      </c>
      <c r="O2040" t="str">
        <f>IF(financial_fraud_data[[#This Row],[Risk_Score]]&gt;8,"High",IF(financial_fraud_data[[#This Row],[Risk_Score]]&gt;5,"Med","Low"))</f>
        <v>Low</v>
      </c>
      <c r="P2040" t="str">
        <f>TEXT(financial_fraud_data[[#This Row],[Transaction_Date]],"MMM")</f>
        <v>Mar</v>
      </c>
      <c r="Q2040" t="str">
        <f>IF(financial_fraud_data[[#This Row],[Is_Fraud]]=1,"Yes","No")</f>
        <v>No</v>
      </c>
    </row>
    <row r="2041" spans="1:17" x14ac:dyDescent="0.2">
      <c r="A2041" t="s">
        <v>2566</v>
      </c>
      <c r="B2041" t="s">
        <v>2004</v>
      </c>
      <c r="C2041" s="1">
        <v>45376.958333333336</v>
      </c>
      <c r="D2041">
        <v>12585.78</v>
      </c>
      <c r="E2041" t="s">
        <v>80</v>
      </c>
      <c r="F2041" t="s">
        <v>47</v>
      </c>
      <c r="G2041" t="s">
        <v>35</v>
      </c>
      <c r="H2041" t="s">
        <v>29</v>
      </c>
      <c r="I2041" t="s">
        <v>19</v>
      </c>
      <c r="J2041" t="s">
        <v>51</v>
      </c>
      <c r="K2041">
        <v>0</v>
      </c>
      <c r="L2041">
        <v>4</v>
      </c>
      <c r="M2041">
        <v>8.26</v>
      </c>
      <c r="N2041">
        <v>1</v>
      </c>
      <c r="O2041" t="str">
        <f>IF(financial_fraud_data[[#This Row],[Risk_Score]]&gt;8,"High",IF(financial_fraud_data[[#This Row],[Risk_Score]]&gt;5,"Med","Low"))</f>
        <v>High</v>
      </c>
      <c r="P2041" t="str">
        <f>TEXT(financial_fraud_data[[#This Row],[Transaction_Date]],"MMM")</f>
        <v>Mar</v>
      </c>
      <c r="Q2041" t="str">
        <f>IF(financial_fraud_data[[#This Row],[Is_Fraud]]=1,"Yes","No")</f>
        <v>Yes</v>
      </c>
    </row>
    <row r="2042" spans="1:17" x14ac:dyDescent="0.2">
      <c r="A2042" t="s">
        <v>2567</v>
      </c>
      <c r="B2042" t="s">
        <v>2434</v>
      </c>
      <c r="C2042" s="1">
        <v>45377</v>
      </c>
      <c r="D2042">
        <v>42538.27</v>
      </c>
      <c r="E2042" t="s">
        <v>80</v>
      </c>
      <c r="F2042" t="s">
        <v>27</v>
      </c>
      <c r="G2042" t="s">
        <v>65</v>
      </c>
      <c r="H2042" t="s">
        <v>29</v>
      </c>
      <c r="I2042" t="s">
        <v>19</v>
      </c>
      <c r="J2042" t="s">
        <v>20</v>
      </c>
      <c r="K2042">
        <v>0</v>
      </c>
      <c r="L2042">
        <v>2</v>
      </c>
      <c r="M2042">
        <v>8.25</v>
      </c>
      <c r="N2042">
        <v>1</v>
      </c>
      <c r="O2042" t="str">
        <f>IF(financial_fraud_data[[#This Row],[Risk_Score]]&gt;8,"High",IF(financial_fraud_data[[#This Row],[Risk_Score]]&gt;5,"Med","Low"))</f>
        <v>High</v>
      </c>
      <c r="P2042" t="str">
        <f>TEXT(financial_fraud_data[[#This Row],[Transaction_Date]],"MMM")</f>
        <v>Mar</v>
      </c>
      <c r="Q2042" t="str">
        <f>IF(financial_fraud_data[[#This Row],[Is_Fraud]]=1,"Yes","No")</f>
        <v>Yes</v>
      </c>
    </row>
    <row r="2043" spans="1:17" x14ac:dyDescent="0.2">
      <c r="A2043" t="s">
        <v>2568</v>
      </c>
      <c r="B2043" t="s">
        <v>491</v>
      </c>
      <c r="C2043" s="1">
        <v>45377.041666666664</v>
      </c>
      <c r="D2043">
        <v>28083.08</v>
      </c>
      <c r="E2043" t="s">
        <v>16</v>
      </c>
      <c r="F2043" t="s">
        <v>27</v>
      </c>
      <c r="G2043" t="s">
        <v>56</v>
      </c>
      <c r="H2043" t="s">
        <v>24</v>
      </c>
      <c r="I2043" t="s">
        <v>36</v>
      </c>
      <c r="J2043" t="s">
        <v>51</v>
      </c>
      <c r="K2043">
        <v>0</v>
      </c>
      <c r="L2043">
        <v>0</v>
      </c>
      <c r="M2043">
        <v>3.81</v>
      </c>
      <c r="N2043">
        <v>0</v>
      </c>
      <c r="O2043" t="str">
        <f>IF(financial_fraud_data[[#This Row],[Risk_Score]]&gt;8,"High",IF(financial_fraud_data[[#This Row],[Risk_Score]]&gt;5,"Med","Low"))</f>
        <v>Low</v>
      </c>
      <c r="P2043" t="str">
        <f>TEXT(financial_fraud_data[[#This Row],[Transaction_Date]],"MMM")</f>
        <v>Mar</v>
      </c>
      <c r="Q2043" t="str">
        <f>IF(financial_fraud_data[[#This Row],[Is_Fraud]]=1,"Yes","No")</f>
        <v>No</v>
      </c>
    </row>
    <row r="2044" spans="1:17" x14ac:dyDescent="0.2">
      <c r="A2044" t="s">
        <v>2569</v>
      </c>
      <c r="B2044" t="s">
        <v>661</v>
      </c>
      <c r="C2044" s="1">
        <v>45377.083333333336</v>
      </c>
      <c r="D2044">
        <v>26193.38</v>
      </c>
      <c r="E2044" t="s">
        <v>34</v>
      </c>
      <c r="F2044" t="s">
        <v>17</v>
      </c>
      <c r="G2044" t="s">
        <v>65</v>
      </c>
      <c r="H2044" t="s">
        <v>24</v>
      </c>
      <c r="I2044" t="s">
        <v>29</v>
      </c>
      <c r="J2044" t="s">
        <v>51</v>
      </c>
      <c r="K2044">
        <v>0</v>
      </c>
      <c r="L2044">
        <v>4</v>
      </c>
      <c r="M2044">
        <v>9.6199999999999992</v>
      </c>
      <c r="N2044">
        <v>1</v>
      </c>
      <c r="O2044" t="str">
        <f>IF(financial_fraud_data[[#This Row],[Risk_Score]]&gt;8,"High",IF(financial_fraud_data[[#This Row],[Risk_Score]]&gt;5,"Med","Low"))</f>
        <v>High</v>
      </c>
      <c r="P2044" t="str">
        <f>TEXT(financial_fraud_data[[#This Row],[Transaction_Date]],"MMM")</f>
        <v>Mar</v>
      </c>
      <c r="Q2044" t="str">
        <f>IF(financial_fraud_data[[#This Row],[Is_Fraud]]=1,"Yes","No")</f>
        <v>Yes</v>
      </c>
    </row>
    <row r="2045" spans="1:17" x14ac:dyDescent="0.2">
      <c r="A2045" t="s">
        <v>2570</v>
      </c>
      <c r="B2045" t="s">
        <v>53</v>
      </c>
      <c r="C2045" s="1">
        <v>45377.125</v>
      </c>
      <c r="D2045">
        <v>5782.71</v>
      </c>
      <c r="E2045" t="s">
        <v>80</v>
      </c>
      <c r="F2045" t="s">
        <v>50</v>
      </c>
      <c r="G2045" t="s">
        <v>65</v>
      </c>
      <c r="H2045" t="s">
        <v>36</v>
      </c>
      <c r="I2045" t="s">
        <v>29</v>
      </c>
      <c r="J2045" t="s">
        <v>20</v>
      </c>
      <c r="K2045">
        <v>0</v>
      </c>
      <c r="L2045">
        <v>0</v>
      </c>
      <c r="M2045">
        <v>1.58</v>
      </c>
      <c r="N2045">
        <v>0</v>
      </c>
      <c r="O2045" t="str">
        <f>IF(financial_fraud_data[[#This Row],[Risk_Score]]&gt;8,"High",IF(financial_fraud_data[[#This Row],[Risk_Score]]&gt;5,"Med","Low"))</f>
        <v>Low</v>
      </c>
      <c r="P2045" t="str">
        <f>TEXT(financial_fraud_data[[#This Row],[Transaction_Date]],"MMM")</f>
        <v>Mar</v>
      </c>
      <c r="Q2045" t="str">
        <f>IF(financial_fraud_data[[#This Row],[Is_Fraud]]=1,"Yes","No")</f>
        <v>No</v>
      </c>
    </row>
    <row r="2046" spans="1:17" x14ac:dyDescent="0.2">
      <c r="A2046" t="s">
        <v>2571</v>
      </c>
      <c r="B2046" t="s">
        <v>180</v>
      </c>
      <c r="C2046" s="1">
        <v>45377.166666666664</v>
      </c>
      <c r="D2046">
        <v>43013.98</v>
      </c>
      <c r="E2046" t="s">
        <v>80</v>
      </c>
      <c r="F2046" t="s">
        <v>27</v>
      </c>
      <c r="G2046" t="s">
        <v>35</v>
      </c>
      <c r="H2046" t="s">
        <v>36</v>
      </c>
      <c r="I2046" t="s">
        <v>23</v>
      </c>
      <c r="J2046" t="s">
        <v>20</v>
      </c>
      <c r="K2046">
        <v>1</v>
      </c>
      <c r="L2046">
        <v>0</v>
      </c>
      <c r="M2046">
        <v>7.3</v>
      </c>
      <c r="N2046">
        <v>1</v>
      </c>
      <c r="O2046" t="str">
        <f>IF(financial_fraud_data[[#This Row],[Risk_Score]]&gt;8,"High",IF(financial_fraud_data[[#This Row],[Risk_Score]]&gt;5,"Med","Low"))</f>
        <v>Med</v>
      </c>
      <c r="P2046" t="str">
        <f>TEXT(financial_fraud_data[[#This Row],[Transaction_Date]],"MMM")</f>
        <v>Mar</v>
      </c>
      <c r="Q2046" t="str">
        <f>IF(financial_fraud_data[[#This Row],[Is_Fraud]]=1,"Yes","No")</f>
        <v>Yes</v>
      </c>
    </row>
    <row r="2047" spans="1:17" x14ac:dyDescent="0.2">
      <c r="A2047" t="s">
        <v>2572</v>
      </c>
      <c r="B2047" t="s">
        <v>2173</v>
      </c>
      <c r="C2047" s="1">
        <v>45377.208333333336</v>
      </c>
      <c r="D2047">
        <v>36154.57</v>
      </c>
      <c r="E2047" t="s">
        <v>34</v>
      </c>
      <c r="F2047" t="s">
        <v>17</v>
      </c>
      <c r="G2047" t="s">
        <v>56</v>
      </c>
      <c r="H2047" t="s">
        <v>23</v>
      </c>
      <c r="I2047" t="s">
        <v>29</v>
      </c>
      <c r="J2047" t="s">
        <v>37</v>
      </c>
      <c r="K2047">
        <v>0</v>
      </c>
      <c r="L2047">
        <v>1</v>
      </c>
      <c r="M2047">
        <v>6.12</v>
      </c>
      <c r="N2047">
        <v>1</v>
      </c>
      <c r="O2047" t="str">
        <f>IF(financial_fraud_data[[#This Row],[Risk_Score]]&gt;8,"High",IF(financial_fraud_data[[#This Row],[Risk_Score]]&gt;5,"Med","Low"))</f>
        <v>Med</v>
      </c>
      <c r="P2047" t="str">
        <f>TEXT(financial_fraud_data[[#This Row],[Transaction_Date]],"MMM")</f>
        <v>Mar</v>
      </c>
      <c r="Q2047" t="str">
        <f>IF(financial_fraud_data[[#This Row],[Is_Fraud]]=1,"Yes","No")</f>
        <v>Yes</v>
      </c>
    </row>
    <row r="2048" spans="1:17" x14ac:dyDescent="0.2">
      <c r="A2048" t="s">
        <v>2573</v>
      </c>
      <c r="B2048" t="s">
        <v>26</v>
      </c>
      <c r="C2048" s="1">
        <v>45377.25</v>
      </c>
      <c r="D2048">
        <v>3430.03</v>
      </c>
      <c r="E2048" t="s">
        <v>80</v>
      </c>
      <c r="F2048" t="s">
        <v>27</v>
      </c>
      <c r="G2048" t="s">
        <v>18</v>
      </c>
      <c r="H2048" t="s">
        <v>29</v>
      </c>
      <c r="I2048" t="s">
        <v>29</v>
      </c>
      <c r="J2048" t="s">
        <v>37</v>
      </c>
      <c r="K2048">
        <v>0</v>
      </c>
      <c r="L2048">
        <v>3</v>
      </c>
      <c r="M2048">
        <v>4.84</v>
      </c>
      <c r="N2048">
        <v>0</v>
      </c>
      <c r="O2048" t="str">
        <f>IF(financial_fraud_data[[#This Row],[Risk_Score]]&gt;8,"High",IF(financial_fraud_data[[#This Row],[Risk_Score]]&gt;5,"Med","Low"))</f>
        <v>Low</v>
      </c>
      <c r="P2048" t="str">
        <f>TEXT(financial_fraud_data[[#This Row],[Transaction_Date]],"MMM")</f>
        <v>Mar</v>
      </c>
      <c r="Q2048" t="str">
        <f>IF(financial_fraud_data[[#This Row],[Is_Fraud]]=1,"Yes","No")</f>
        <v>No</v>
      </c>
    </row>
    <row r="2049" spans="1:17" x14ac:dyDescent="0.2">
      <c r="A2049" t="s">
        <v>2574</v>
      </c>
      <c r="B2049" t="s">
        <v>659</v>
      </c>
      <c r="C2049" s="1">
        <v>45377.291666666664</v>
      </c>
      <c r="D2049">
        <v>35406.36</v>
      </c>
      <c r="E2049" t="s">
        <v>34</v>
      </c>
      <c r="F2049" t="s">
        <v>50</v>
      </c>
      <c r="G2049" t="s">
        <v>35</v>
      </c>
      <c r="H2049" t="s">
        <v>23</v>
      </c>
      <c r="I2049" t="s">
        <v>29</v>
      </c>
      <c r="J2049" t="s">
        <v>51</v>
      </c>
      <c r="K2049">
        <v>0</v>
      </c>
      <c r="L2049">
        <v>4</v>
      </c>
      <c r="M2049">
        <v>10.54</v>
      </c>
      <c r="N2049">
        <v>1</v>
      </c>
      <c r="O2049" t="str">
        <f>IF(financial_fraud_data[[#This Row],[Risk_Score]]&gt;8,"High",IF(financial_fraud_data[[#This Row],[Risk_Score]]&gt;5,"Med","Low"))</f>
        <v>High</v>
      </c>
      <c r="P2049" t="str">
        <f>TEXT(financial_fraud_data[[#This Row],[Transaction_Date]],"MMM")</f>
        <v>Mar</v>
      </c>
      <c r="Q2049" t="str">
        <f>IF(financial_fraud_data[[#This Row],[Is_Fraud]]=1,"Yes","No")</f>
        <v>Yes</v>
      </c>
    </row>
    <row r="2050" spans="1:17" x14ac:dyDescent="0.2">
      <c r="A2050" t="s">
        <v>2575</v>
      </c>
      <c r="B2050" t="s">
        <v>510</v>
      </c>
      <c r="C2050" s="1">
        <v>45377.333333333336</v>
      </c>
      <c r="D2050">
        <v>27199.73</v>
      </c>
      <c r="E2050" t="s">
        <v>34</v>
      </c>
      <c r="F2050" t="s">
        <v>17</v>
      </c>
      <c r="G2050" t="s">
        <v>18</v>
      </c>
      <c r="H2050" t="s">
        <v>23</v>
      </c>
      <c r="I2050" t="s">
        <v>24</v>
      </c>
      <c r="J2050" t="s">
        <v>37</v>
      </c>
      <c r="K2050">
        <v>0</v>
      </c>
      <c r="L2050">
        <v>1</v>
      </c>
      <c r="M2050">
        <v>5.22</v>
      </c>
      <c r="N2050">
        <v>1</v>
      </c>
      <c r="O2050" t="str">
        <f>IF(financial_fraud_data[[#This Row],[Risk_Score]]&gt;8,"High",IF(financial_fraud_data[[#This Row],[Risk_Score]]&gt;5,"Med","Low"))</f>
        <v>Med</v>
      </c>
      <c r="P2050" t="str">
        <f>TEXT(financial_fraud_data[[#This Row],[Transaction_Date]],"MMM")</f>
        <v>Mar</v>
      </c>
      <c r="Q2050" t="str">
        <f>IF(financial_fraud_data[[#This Row],[Is_Fraud]]=1,"Yes","No")</f>
        <v>Yes</v>
      </c>
    </row>
    <row r="2051" spans="1:17" x14ac:dyDescent="0.2">
      <c r="A2051" t="s">
        <v>2576</v>
      </c>
      <c r="B2051" t="s">
        <v>433</v>
      </c>
      <c r="C2051" s="1">
        <v>45377.375</v>
      </c>
      <c r="D2051">
        <v>4132.18</v>
      </c>
      <c r="E2051" t="s">
        <v>16</v>
      </c>
      <c r="F2051" t="s">
        <v>17</v>
      </c>
      <c r="G2051" t="s">
        <v>56</v>
      </c>
      <c r="H2051" t="s">
        <v>24</v>
      </c>
      <c r="I2051" t="s">
        <v>23</v>
      </c>
      <c r="J2051" t="s">
        <v>51</v>
      </c>
      <c r="K2051">
        <v>0</v>
      </c>
      <c r="L2051">
        <v>1</v>
      </c>
      <c r="M2051">
        <v>2.91</v>
      </c>
      <c r="N2051">
        <v>0</v>
      </c>
      <c r="O2051" t="str">
        <f>IF(financial_fraud_data[[#This Row],[Risk_Score]]&gt;8,"High",IF(financial_fraud_data[[#This Row],[Risk_Score]]&gt;5,"Med","Low"))</f>
        <v>Low</v>
      </c>
      <c r="P2051" t="str">
        <f>TEXT(financial_fraud_data[[#This Row],[Transaction_Date]],"MMM")</f>
        <v>Mar</v>
      </c>
      <c r="Q2051" t="str">
        <f>IF(financial_fraud_data[[#This Row],[Is_Fraud]]=1,"Yes","No")</f>
        <v>No</v>
      </c>
    </row>
    <row r="2052" spans="1:17" x14ac:dyDescent="0.2">
      <c r="A2052" t="s">
        <v>2577</v>
      </c>
      <c r="B2052" t="s">
        <v>407</v>
      </c>
      <c r="C2052" s="1">
        <v>45377.416666666664</v>
      </c>
      <c r="D2052">
        <v>22942.12</v>
      </c>
      <c r="E2052" t="s">
        <v>42</v>
      </c>
      <c r="F2052" t="s">
        <v>17</v>
      </c>
      <c r="G2052" t="s">
        <v>65</v>
      </c>
      <c r="H2052" t="s">
        <v>23</v>
      </c>
      <c r="I2052" t="s">
        <v>36</v>
      </c>
      <c r="J2052" t="s">
        <v>20</v>
      </c>
      <c r="K2052">
        <v>0</v>
      </c>
      <c r="L2052">
        <v>0</v>
      </c>
      <c r="M2052">
        <v>3.29</v>
      </c>
      <c r="N2052">
        <v>0</v>
      </c>
      <c r="O2052" t="str">
        <f>IF(financial_fraud_data[[#This Row],[Risk_Score]]&gt;8,"High",IF(financial_fraud_data[[#This Row],[Risk_Score]]&gt;5,"Med","Low"))</f>
        <v>Low</v>
      </c>
      <c r="P2052" t="str">
        <f>TEXT(financial_fraud_data[[#This Row],[Transaction_Date]],"MMM")</f>
        <v>Mar</v>
      </c>
      <c r="Q2052" t="str">
        <f>IF(financial_fraud_data[[#This Row],[Is_Fraud]]=1,"Yes","No")</f>
        <v>No</v>
      </c>
    </row>
    <row r="2053" spans="1:17" x14ac:dyDescent="0.2">
      <c r="A2053" t="s">
        <v>2578</v>
      </c>
      <c r="B2053" t="s">
        <v>1036</v>
      </c>
      <c r="C2053" s="1">
        <v>45377.458333333336</v>
      </c>
      <c r="D2053">
        <v>24260.58</v>
      </c>
      <c r="E2053" t="s">
        <v>34</v>
      </c>
      <c r="F2053" t="s">
        <v>27</v>
      </c>
      <c r="G2053" t="s">
        <v>28</v>
      </c>
      <c r="H2053" t="s">
        <v>23</v>
      </c>
      <c r="I2053" t="s">
        <v>29</v>
      </c>
      <c r="J2053" t="s">
        <v>20</v>
      </c>
      <c r="K2053">
        <v>0</v>
      </c>
      <c r="L2053">
        <v>4</v>
      </c>
      <c r="M2053">
        <v>9.43</v>
      </c>
      <c r="N2053">
        <v>1</v>
      </c>
      <c r="O2053" t="str">
        <f>IF(financial_fraud_data[[#This Row],[Risk_Score]]&gt;8,"High",IF(financial_fraud_data[[#This Row],[Risk_Score]]&gt;5,"Med","Low"))</f>
        <v>High</v>
      </c>
      <c r="P2053" t="str">
        <f>TEXT(financial_fraud_data[[#This Row],[Transaction_Date]],"MMM")</f>
        <v>Mar</v>
      </c>
      <c r="Q2053" t="str">
        <f>IF(financial_fraud_data[[#This Row],[Is_Fraud]]=1,"Yes","No")</f>
        <v>Yes</v>
      </c>
    </row>
    <row r="2054" spans="1:17" x14ac:dyDescent="0.2">
      <c r="A2054" t="s">
        <v>2579</v>
      </c>
      <c r="B2054" t="s">
        <v>541</v>
      </c>
      <c r="C2054" s="1">
        <v>45377.5</v>
      </c>
      <c r="D2054">
        <v>8330.44</v>
      </c>
      <c r="E2054" t="s">
        <v>16</v>
      </c>
      <c r="F2054" t="s">
        <v>50</v>
      </c>
      <c r="G2054" t="s">
        <v>28</v>
      </c>
      <c r="H2054" t="s">
        <v>19</v>
      </c>
      <c r="I2054" t="s">
        <v>24</v>
      </c>
      <c r="J2054" t="s">
        <v>37</v>
      </c>
      <c r="K2054">
        <v>0</v>
      </c>
      <c r="L2054">
        <v>1</v>
      </c>
      <c r="M2054">
        <v>3.33</v>
      </c>
      <c r="N2054">
        <v>0</v>
      </c>
      <c r="O2054" t="str">
        <f>IF(financial_fraud_data[[#This Row],[Risk_Score]]&gt;8,"High",IF(financial_fraud_data[[#This Row],[Risk_Score]]&gt;5,"Med","Low"))</f>
        <v>Low</v>
      </c>
      <c r="P2054" t="str">
        <f>TEXT(financial_fraud_data[[#This Row],[Transaction_Date]],"MMM")</f>
        <v>Mar</v>
      </c>
      <c r="Q2054" t="str">
        <f>IF(financial_fraud_data[[#This Row],[Is_Fraud]]=1,"Yes","No")</f>
        <v>No</v>
      </c>
    </row>
    <row r="2055" spans="1:17" x14ac:dyDescent="0.2">
      <c r="A2055" t="s">
        <v>2580</v>
      </c>
      <c r="B2055" t="s">
        <v>345</v>
      </c>
      <c r="C2055" s="1">
        <v>45377.541666666664</v>
      </c>
      <c r="D2055">
        <v>47287.62</v>
      </c>
      <c r="E2055" t="s">
        <v>42</v>
      </c>
      <c r="F2055" t="s">
        <v>17</v>
      </c>
      <c r="G2055" t="s">
        <v>56</v>
      </c>
      <c r="H2055" t="s">
        <v>36</v>
      </c>
      <c r="I2055" t="s">
        <v>29</v>
      </c>
      <c r="J2055" t="s">
        <v>51</v>
      </c>
      <c r="K2055">
        <v>1</v>
      </c>
      <c r="L2055">
        <v>2</v>
      </c>
      <c r="M2055">
        <v>10.73</v>
      </c>
      <c r="N2055">
        <v>1</v>
      </c>
      <c r="O2055" t="str">
        <f>IF(financial_fraud_data[[#This Row],[Risk_Score]]&gt;8,"High",IF(financial_fraud_data[[#This Row],[Risk_Score]]&gt;5,"Med","Low"))</f>
        <v>High</v>
      </c>
      <c r="P2055" t="str">
        <f>TEXT(financial_fraud_data[[#This Row],[Transaction_Date]],"MMM")</f>
        <v>Mar</v>
      </c>
      <c r="Q2055" t="str">
        <f>IF(financial_fraud_data[[#This Row],[Is_Fraud]]=1,"Yes","No")</f>
        <v>Yes</v>
      </c>
    </row>
    <row r="2056" spans="1:17" x14ac:dyDescent="0.2">
      <c r="A2056" t="s">
        <v>2581</v>
      </c>
      <c r="B2056" t="s">
        <v>121</v>
      </c>
      <c r="C2056" s="1">
        <v>45377.583333333336</v>
      </c>
      <c r="D2056">
        <v>42506.27</v>
      </c>
      <c r="E2056" t="s">
        <v>80</v>
      </c>
      <c r="F2056" t="s">
        <v>47</v>
      </c>
      <c r="G2056" t="s">
        <v>28</v>
      </c>
      <c r="H2056" t="s">
        <v>36</v>
      </c>
      <c r="I2056" t="s">
        <v>24</v>
      </c>
      <c r="J2056" t="s">
        <v>51</v>
      </c>
      <c r="K2056">
        <v>0</v>
      </c>
      <c r="L2056">
        <v>1</v>
      </c>
      <c r="M2056">
        <v>6.75</v>
      </c>
      <c r="N2056">
        <v>1</v>
      </c>
      <c r="O2056" t="str">
        <f>IF(financial_fraud_data[[#This Row],[Risk_Score]]&gt;8,"High",IF(financial_fraud_data[[#This Row],[Risk_Score]]&gt;5,"Med","Low"))</f>
        <v>Med</v>
      </c>
      <c r="P2056" t="str">
        <f>TEXT(financial_fraud_data[[#This Row],[Transaction_Date]],"MMM")</f>
        <v>Mar</v>
      </c>
      <c r="Q2056" t="str">
        <f>IF(financial_fraud_data[[#This Row],[Is_Fraud]]=1,"Yes","No")</f>
        <v>Yes</v>
      </c>
    </row>
    <row r="2057" spans="1:17" x14ac:dyDescent="0.2">
      <c r="A2057" t="s">
        <v>2582</v>
      </c>
      <c r="B2057" t="s">
        <v>113</v>
      </c>
      <c r="C2057" s="1">
        <v>45377.625</v>
      </c>
      <c r="D2057">
        <v>33467.67</v>
      </c>
      <c r="E2057" t="s">
        <v>42</v>
      </c>
      <c r="F2057" t="s">
        <v>50</v>
      </c>
      <c r="G2057" t="s">
        <v>18</v>
      </c>
      <c r="H2057" t="s">
        <v>29</v>
      </c>
      <c r="I2057" t="s">
        <v>23</v>
      </c>
      <c r="J2057" t="s">
        <v>37</v>
      </c>
      <c r="K2057">
        <v>0</v>
      </c>
      <c r="L2057">
        <v>2</v>
      </c>
      <c r="M2057">
        <v>7.35</v>
      </c>
      <c r="N2057">
        <v>1</v>
      </c>
      <c r="O2057" t="str">
        <f>IF(financial_fraud_data[[#This Row],[Risk_Score]]&gt;8,"High",IF(financial_fraud_data[[#This Row],[Risk_Score]]&gt;5,"Med","Low"))</f>
        <v>Med</v>
      </c>
      <c r="P2057" t="str">
        <f>TEXT(financial_fraud_data[[#This Row],[Transaction_Date]],"MMM")</f>
        <v>Mar</v>
      </c>
      <c r="Q2057" t="str">
        <f>IF(financial_fraud_data[[#This Row],[Is_Fraud]]=1,"Yes","No")</f>
        <v>Yes</v>
      </c>
    </row>
    <row r="2058" spans="1:17" x14ac:dyDescent="0.2">
      <c r="A2058" t="s">
        <v>2583</v>
      </c>
      <c r="B2058" t="s">
        <v>71</v>
      </c>
      <c r="C2058" s="1">
        <v>45377.666666666664</v>
      </c>
      <c r="D2058">
        <v>23141.66</v>
      </c>
      <c r="E2058" t="s">
        <v>34</v>
      </c>
      <c r="F2058" t="s">
        <v>47</v>
      </c>
      <c r="G2058" t="s">
        <v>28</v>
      </c>
      <c r="H2058" t="s">
        <v>36</v>
      </c>
      <c r="I2058" t="s">
        <v>29</v>
      </c>
      <c r="J2058" t="s">
        <v>51</v>
      </c>
      <c r="K2058">
        <v>0</v>
      </c>
      <c r="L2058">
        <v>3</v>
      </c>
      <c r="M2058">
        <v>7.81</v>
      </c>
      <c r="N2058">
        <v>1</v>
      </c>
      <c r="O2058" t="str">
        <f>IF(financial_fraud_data[[#This Row],[Risk_Score]]&gt;8,"High",IF(financial_fraud_data[[#This Row],[Risk_Score]]&gt;5,"Med","Low"))</f>
        <v>Med</v>
      </c>
      <c r="P2058" t="str">
        <f>TEXT(financial_fraud_data[[#This Row],[Transaction_Date]],"MMM")</f>
        <v>Mar</v>
      </c>
      <c r="Q2058" t="str">
        <f>IF(financial_fraud_data[[#This Row],[Is_Fraud]]=1,"Yes","No")</f>
        <v>Yes</v>
      </c>
    </row>
    <row r="2059" spans="1:17" x14ac:dyDescent="0.2">
      <c r="A2059" t="s">
        <v>2584</v>
      </c>
      <c r="B2059" t="s">
        <v>930</v>
      </c>
      <c r="C2059" s="1">
        <v>45377.708333333336</v>
      </c>
      <c r="D2059">
        <v>20617.689999999999</v>
      </c>
      <c r="E2059" t="s">
        <v>34</v>
      </c>
      <c r="F2059" t="s">
        <v>47</v>
      </c>
      <c r="G2059" t="s">
        <v>56</v>
      </c>
      <c r="H2059" t="s">
        <v>29</v>
      </c>
      <c r="I2059" t="s">
        <v>24</v>
      </c>
      <c r="J2059" t="s">
        <v>51</v>
      </c>
      <c r="K2059">
        <v>0</v>
      </c>
      <c r="L2059">
        <v>2</v>
      </c>
      <c r="M2059">
        <v>6.06</v>
      </c>
      <c r="N2059">
        <v>1</v>
      </c>
      <c r="O2059" t="str">
        <f>IF(financial_fraud_data[[#This Row],[Risk_Score]]&gt;8,"High",IF(financial_fraud_data[[#This Row],[Risk_Score]]&gt;5,"Med","Low"))</f>
        <v>Med</v>
      </c>
      <c r="P2059" t="str">
        <f>TEXT(financial_fraud_data[[#This Row],[Transaction_Date]],"MMM")</f>
        <v>Mar</v>
      </c>
      <c r="Q2059" t="str">
        <f>IF(financial_fraud_data[[#This Row],[Is_Fraud]]=1,"Yes","No")</f>
        <v>Yes</v>
      </c>
    </row>
    <row r="2060" spans="1:17" x14ac:dyDescent="0.2">
      <c r="A2060" t="s">
        <v>2585</v>
      </c>
      <c r="B2060" t="s">
        <v>1625</v>
      </c>
      <c r="C2060" s="1">
        <v>45377.75</v>
      </c>
      <c r="D2060">
        <v>32566.12</v>
      </c>
      <c r="E2060" t="s">
        <v>34</v>
      </c>
      <c r="F2060" t="s">
        <v>17</v>
      </c>
      <c r="G2060" t="s">
        <v>56</v>
      </c>
      <c r="H2060" t="s">
        <v>19</v>
      </c>
      <c r="I2060" t="s">
        <v>19</v>
      </c>
      <c r="J2060" t="s">
        <v>20</v>
      </c>
      <c r="K2060">
        <v>0</v>
      </c>
      <c r="L2060">
        <v>2</v>
      </c>
      <c r="M2060">
        <v>6.26</v>
      </c>
      <c r="N2060">
        <v>1</v>
      </c>
      <c r="O2060" t="str">
        <f>IF(financial_fraud_data[[#This Row],[Risk_Score]]&gt;8,"High",IF(financial_fraud_data[[#This Row],[Risk_Score]]&gt;5,"Med","Low"))</f>
        <v>Med</v>
      </c>
      <c r="P2060" t="str">
        <f>TEXT(financial_fraud_data[[#This Row],[Transaction_Date]],"MMM")</f>
        <v>Mar</v>
      </c>
      <c r="Q2060" t="str">
        <f>IF(financial_fraud_data[[#This Row],[Is_Fraud]]=1,"Yes","No")</f>
        <v>Yes</v>
      </c>
    </row>
    <row r="2061" spans="1:17" x14ac:dyDescent="0.2">
      <c r="A2061" t="s">
        <v>2586</v>
      </c>
      <c r="B2061" t="s">
        <v>474</v>
      </c>
      <c r="C2061" s="1">
        <v>45377.791666666664</v>
      </c>
      <c r="D2061">
        <v>27294.32</v>
      </c>
      <c r="E2061" t="s">
        <v>34</v>
      </c>
      <c r="F2061" t="s">
        <v>17</v>
      </c>
      <c r="G2061" t="s">
        <v>18</v>
      </c>
      <c r="H2061" t="s">
        <v>36</v>
      </c>
      <c r="I2061" t="s">
        <v>19</v>
      </c>
      <c r="J2061" t="s">
        <v>51</v>
      </c>
      <c r="K2061">
        <v>0</v>
      </c>
      <c r="L2061">
        <v>0</v>
      </c>
      <c r="M2061">
        <v>3.73</v>
      </c>
      <c r="N2061">
        <v>0</v>
      </c>
      <c r="O2061" t="str">
        <f>IF(financial_fraud_data[[#This Row],[Risk_Score]]&gt;8,"High",IF(financial_fraud_data[[#This Row],[Risk_Score]]&gt;5,"Med","Low"))</f>
        <v>Low</v>
      </c>
      <c r="P2061" t="str">
        <f>TEXT(financial_fraud_data[[#This Row],[Transaction_Date]],"MMM")</f>
        <v>Mar</v>
      </c>
      <c r="Q2061" t="str">
        <f>IF(financial_fraud_data[[#This Row],[Is_Fraud]]=1,"Yes","No")</f>
        <v>No</v>
      </c>
    </row>
    <row r="2062" spans="1:17" x14ac:dyDescent="0.2">
      <c r="A2062" t="s">
        <v>2587</v>
      </c>
      <c r="B2062" t="s">
        <v>251</v>
      </c>
      <c r="C2062" s="1">
        <v>45377.833333333336</v>
      </c>
      <c r="D2062">
        <v>3160.54</v>
      </c>
      <c r="E2062" t="s">
        <v>34</v>
      </c>
      <c r="F2062" t="s">
        <v>27</v>
      </c>
      <c r="G2062" t="s">
        <v>28</v>
      </c>
      <c r="H2062" t="s">
        <v>19</v>
      </c>
      <c r="I2062" t="s">
        <v>24</v>
      </c>
      <c r="J2062" t="s">
        <v>51</v>
      </c>
      <c r="K2062">
        <v>0</v>
      </c>
      <c r="L2062">
        <v>1</v>
      </c>
      <c r="M2062">
        <v>2.82</v>
      </c>
      <c r="N2062">
        <v>0</v>
      </c>
      <c r="O2062" t="str">
        <f>IF(financial_fraud_data[[#This Row],[Risk_Score]]&gt;8,"High",IF(financial_fraud_data[[#This Row],[Risk_Score]]&gt;5,"Med","Low"))</f>
        <v>Low</v>
      </c>
      <c r="P2062" t="str">
        <f>TEXT(financial_fraud_data[[#This Row],[Transaction_Date]],"MMM")</f>
        <v>Mar</v>
      </c>
      <c r="Q2062" t="str">
        <f>IF(financial_fraud_data[[#This Row],[Is_Fraud]]=1,"Yes","No")</f>
        <v>No</v>
      </c>
    </row>
    <row r="2063" spans="1:17" x14ac:dyDescent="0.2">
      <c r="A2063" t="s">
        <v>2588</v>
      </c>
      <c r="B2063" t="s">
        <v>280</v>
      </c>
      <c r="C2063" s="1">
        <v>45377.875</v>
      </c>
      <c r="D2063">
        <v>25649.51</v>
      </c>
      <c r="E2063" t="s">
        <v>16</v>
      </c>
      <c r="F2063" t="s">
        <v>27</v>
      </c>
      <c r="G2063" t="s">
        <v>28</v>
      </c>
      <c r="H2063" t="s">
        <v>36</v>
      </c>
      <c r="I2063" t="s">
        <v>29</v>
      </c>
      <c r="J2063" t="s">
        <v>51</v>
      </c>
      <c r="K2063">
        <v>0</v>
      </c>
      <c r="L2063">
        <v>3</v>
      </c>
      <c r="M2063">
        <v>8.06</v>
      </c>
      <c r="N2063">
        <v>1</v>
      </c>
      <c r="O2063" t="str">
        <f>IF(financial_fraud_data[[#This Row],[Risk_Score]]&gt;8,"High",IF(financial_fraud_data[[#This Row],[Risk_Score]]&gt;5,"Med","Low"))</f>
        <v>High</v>
      </c>
      <c r="P2063" t="str">
        <f>TEXT(financial_fraud_data[[#This Row],[Transaction_Date]],"MMM")</f>
        <v>Mar</v>
      </c>
      <c r="Q2063" t="str">
        <f>IF(financial_fraud_data[[#This Row],[Is_Fraud]]=1,"Yes","No")</f>
        <v>Yes</v>
      </c>
    </row>
    <row r="2064" spans="1:17" x14ac:dyDescent="0.2">
      <c r="A2064" t="s">
        <v>2589</v>
      </c>
      <c r="B2064" t="s">
        <v>535</v>
      </c>
      <c r="C2064" s="1">
        <v>45377.916666666664</v>
      </c>
      <c r="D2064">
        <v>40329.86</v>
      </c>
      <c r="E2064" t="s">
        <v>34</v>
      </c>
      <c r="F2064" t="s">
        <v>27</v>
      </c>
      <c r="G2064" t="s">
        <v>65</v>
      </c>
      <c r="H2064" t="s">
        <v>36</v>
      </c>
      <c r="I2064" t="s">
        <v>29</v>
      </c>
      <c r="J2064" t="s">
        <v>37</v>
      </c>
      <c r="K2064">
        <v>0</v>
      </c>
      <c r="L2064">
        <v>1</v>
      </c>
      <c r="M2064">
        <v>6.53</v>
      </c>
      <c r="N2064">
        <v>1</v>
      </c>
      <c r="O2064" t="str">
        <f>IF(financial_fraud_data[[#This Row],[Risk_Score]]&gt;8,"High",IF(financial_fraud_data[[#This Row],[Risk_Score]]&gt;5,"Med","Low"))</f>
        <v>Med</v>
      </c>
      <c r="P2064" t="str">
        <f>TEXT(financial_fraud_data[[#This Row],[Transaction_Date]],"MMM")</f>
        <v>Mar</v>
      </c>
      <c r="Q2064" t="str">
        <f>IF(financial_fraud_data[[#This Row],[Is_Fraud]]=1,"Yes","No")</f>
        <v>Yes</v>
      </c>
    </row>
    <row r="2065" spans="1:17" x14ac:dyDescent="0.2">
      <c r="A2065" t="s">
        <v>2590</v>
      </c>
      <c r="B2065" t="s">
        <v>1867</v>
      </c>
      <c r="C2065" s="1">
        <v>45377.958333333336</v>
      </c>
      <c r="D2065">
        <v>22989.03</v>
      </c>
      <c r="E2065" t="s">
        <v>16</v>
      </c>
      <c r="F2065" t="s">
        <v>50</v>
      </c>
      <c r="G2065" t="s">
        <v>35</v>
      </c>
      <c r="H2065" t="s">
        <v>19</v>
      </c>
      <c r="I2065" t="s">
        <v>23</v>
      </c>
      <c r="J2065" t="s">
        <v>37</v>
      </c>
      <c r="K2065">
        <v>0</v>
      </c>
      <c r="L2065">
        <v>2</v>
      </c>
      <c r="M2065">
        <v>6.3</v>
      </c>
      <c r="N2065">
        <v>1</v>
      </c>
      <c r="O2065" t="str">
        <f>IF(financial_fraud_data[[#This Row],[Risk_Score]]&gt;8,"High",IF(financial_fraud_data[[#This Row],[Risk_Score]]&gt;5,"Med","Low"))</f>
        <v>Med</v>
      </c>
      <c r="P2065" t="str">
        <f>TEXT(financial_fraud_data[[#This Row],[Transaction_Date]],"MMM")</f>
        <v>Mar</v>
      </c>
      <c r="Q2065" t="str">
        <f>IF(financial_fraud_data[[#This Row],[Is_Fraud]]=1,"Yes","No")</f>
        <v>Yes</v>
      </c>
    </row>
    <row r="2066" spans="1:17" x14ac:dyDescent="0.2">
      <c r="A2066" t="s">
        <v>2591</v>
      </c>
      <c r="B2066" t="s">
        <v>891</v>
      </c>
      <c r="C2066" s="1">
        <v>45378</v>
      </c>
      <c r="D2066">
        <v>2645.23</v>
      </c>
      <c r="E2066" t="s">
        <v>80</v>
      </c>
      <c r="F2066" t="s">
        <v>27</v>
      </c>
      <c r="G2066" t="s">
        <v>56</v>
      </c>
      <c r="H2066" t="s">
        <v>23</v>
      </c>
      <c r="I2066" t="s">
        <v>23</v>
      </c>
      <c r="J2066" t="s">
        <v>37</v>
      </c>
      <c r="K2066">
        <v>0</v>
      </c>
      <c r="L2066">
        <v>2</v>
      </c>
      <c r="M2066">
        <v>3.26</v>
      </c>
      <c r="N2066">
        <v>0</v>
      </c>
      <c r="O2066" t="str">
        <f>IF(financial_fraud_data[[#This Row],[Risk_Score]]&gt;8,"High",IF(financial_fraud_data[[#This Row],[Risk_Score]]&gt;5,"Med","Low"))</f>
        <v>Low</v>
      </c>
      <c r="P2066" t="str">
        <f>TEXT(financial_fraud_data[[#This Row],[Transaction_Date]],"MMM")</f>
        <v>Mar</v>
      </c>
      <c r="Q2066" t="str">
        <f>IF(financial_fraud_data[[#This Row],[Is_Fraud]]=1,"Yes","No")</f>
        <v>No</v>
      </c>
    </row>
    <row r="2067" spans="1:17" x14ac:dyDescent="0.2">
      <c r="A2067" t="s">
        <v>2592</v>
      </c>
      <c r="B2067" t="s">
        <v>848</v>
      </c>
      <c r="C2067" s="1">
        <v>45378.041666666664</v>
      </c>
      <c r="D2067">
        <v>39324.6</v>
      </c>
      <c r="E2067" t="s">
        <v>34</v>
      </c>
      <c r="F2067" t="s">
        <v>47</v>
      </c>
      <c r="G2067" t="s">
        <v>65</v>
      </c>
      <c r="H2067" t="s">
        <v>23</v>
      </c>
      <c r="I2067" t="s">
        <v>36</v>
      </c>
      <c r="J2067" t="s">
        <v>51</v>
      </c>
      <c r="K2067">
        <v>1</v>
      </c>
      <c r="L2067">
        <v>1</v>
      </c>
      <c r="M2067">
        <v>8.43</v>
      </c>
      <c r="N2067">
        <v>1</v>
      </c>
      <c r="O2067" t="str">
        <f>IF(financial_fraud_data[[#This Row],[Risk_Score]]&gt;8,"High",IF(financial_fraud_data[[#This Row],[Risk_Score]]&gt;5,"Med","Low"))</f>
        <v>High</v>
      </c>
      <c r="P2067" t="str">
        <f>TEXT(financial_fraud_data[[#This Row],[Transaction_Date]],"MMM")</f>
        <v>Mar</v>
      </c>
      <c r="Q2067" t="str">
        <f>IF(financial_fraud_data[[#This Row],[Is_Fraud]]=1,"Yes","No")</f>
        <v>Yes</v>
      </c>
    </row>
    <row r="2068" spans="1:17" x14ac:dyDescent="0.2">
      <c r="A2068" t="s">
        <v>2593</v>
      </c>
      <c r="B2068" t="s">
        <v>1636</v>
      </c>
      <c r="C2068" s="1">
        <v>45378.083333333336</v>
      </c>
      <c r="D2068">
        <v>10108.120000000001</v>
      </c>
      <c r="E2068" t="s">
        <v>34</v>
      </c>
      <c r="F2068" t="s">
        <v>27</v>
      </c>
      <c r="G2068" t="s">
        <v>56</v>
      </c>
      <c r="H2068" t="s">
        <v>23</v>
      </c>
      <c r="I2068" t="s">
        <v>23</v>
      </c>
      <c r="J2068" t="s">
        <v>51</v>
      </c>
      <c r="K2068">
        <v>0</v>
      </c>
      <c r="L2068">
        <v>3</v>
      </c>
      <c r="M2068">
        <v>5.51</v>
      </c>
      <c r="N2068">
        <v>1</v>
      </c>
      <c r="O2068" t="str">
        <f>IF(financial_fraud_data[[#This Row],[Risk_Score]]&gt;8,"High",IF(financial_fraud_data[[#This Row],[Risk_Score]]&gt;5,"Med","Low"))</f>
        <v>Med</v>
      </c>
      <c r="P2068" t="str">
        <f>TEXT(financial_fraud_data[[#This Row],[Transaction_Date]],"MMM")</f>
        <v>Mar</v>
      </c>
      <c r="Q2068" t="str">
        <f>IF(financial_fraud_data[[#This Row],[Is_Fraud]]=1,"Yes","No")</f>
        <v>Yes</v>
      </c>
    </row>
    <row r="2069" spans="1:17" x14ac:dyDescent="0.2">
      <c r="A2069" t="s">
        <v>2594</v>
      </c>
      <c r="B2069" t="s">
        <v>753</v>
      </c>
      <c r="C2069" s="1">
        <v>45378.125</v>
      </c>
      <c r="D2069">
        <v>12968.11</v>
      </c>
      <c r="E2069" t="s">
        <v>42</v>
      </c>
      <c r="F2069" t="s">
        <v>17</v>
      </c>
      <c r="G2069" t="s">
        <v>65</v>
      </c>
      <c r="H2069" t="s">
        <v>23</v>
      </c>
      <c r="I2069" t="s">
        <v>29</v>
      </c>
      <c r="J2069" t="s">
        <v>37</v>
      </c>
      <c r="K2069">
        <v>0</v>
      </c>
      <c r="L2069">
        <v>3</v>
      </c>
      <c r="M2069">
        <v>6.8</v>
      </c>
      <c r="N2069">
        <v>1</v>
      </c>
      <c r="O2069" t="str">
        <f>IF(financial_fraud_data[[#This Row],[Risk_Score]]&gt;8,"High",IF(financial_fraud_data[[#This Row],[Risk_Score]]&gt;5,"Med","Low"))</f>
        <v>Med</v>
      </c>
      <c r="P2069" t="str">
        <f>TEXT(financial_fraud_data[[#This Row],[Transaction_Date]],"MMM")</f>
        <v>Mar</v>
      </c>
      <c r="Q2069" t="str">
        <f>IF(financial_fraud_data[[#This Row],[Is_Fraud]]=1,"Yes","No")</f>
        <v>Yes</v>
      </c>
    </row>
    <row r="2070" spans="1:17" x14ac:dyDescent="0.2">
      <c r="A2070" t="s">
        <v>2595</v>
      </c>
      <c r="B2070" t="s">
        <v>483</v>
      </c>
      <c r="C2070" s="1">
        <v>45378.166666666664</v>
      </c>
      <c r="D2070">
        <v>8277.08</v>
      </c>
      <c r="E2070" t="s">
        <v>80</v>
      </c>
      <c r="F2070" t="s">
        <v>27</v>
      </c>
      <c r="G2070" t="s">
        <v>35</v>
      </c>
      <c r="H2070" t="s">
        <v>36</v>
      </c>
      <c r="I2070" t="s">
        <v>36</v>
      </c>
      <c r="J2070" t="s">
        <v>37</v>
      </c>
      <c r="K2070">
        <v>0</v>
      </c>
      <c r="L2070">
        <v>0</v>
      </c>
      <c r="M2070">
        <v>0.83</v>
      </c>
      <c r="N2070">
        <v>0</v>
      </c>
      <c r="O2070" t="str">
        <f>IF(financial_fraud_data[[#This Row],[Risk_Score]]&gt;8,"High",IF(financial_fraud_data[[#This Row],[Risk_Score]]&gt;5,"Med","Low"))</f>
        <v>Low</v>
      </c>
      <c r="P2070" t="str">
        <f>TEXT(financial_fraud_data[[#This Row],[Transaction_Date]],"MMM")</f>
        <v>Mar</v>
      </c>
      <c r="Q2070" t="str">
        <f>IF(financial_fraud_data[[#This Row],[Is_Fraud]]=1,"Yes","No")</f>
        <v>No</v>
      </c>
    </row>
    <row r="2071" spans="1:17" x14ac:dyDescent="0.2">
      <c r="A2071" t="s">
        <v>2596</v>
      </c>
      <c r="B2071" t="s">
        <v>150</v>
      </c>
      <c r="C2071" s="1">
        <v>45378.208333333336</v>
      </c>
      <c r="D2071">
        <v>16544.240000000002</v>
      </c>
      <c r="E2071" t="s">
        <v>34</v>
      </c>
      <c r="F2071" t="s">
        <v>50</v>
      </c>
      <c r="G2071" t="s">
        <v>65</v>
      </c>
      <c r="H2071" t="s">
        <v>24</v>
      </c>
      <c r="I2071" t="s">
        <v>23</v>
      </c>
      <c r="J2071" t="s">
        <v>51</v>
      </c>
      <c r="K2071">
        <v>1</v>
      </c>
      <c r="L2071">
        <v>2</v>
      </c>
      <c r="M2071">
        <v>7.65</v>
      </c>
      <c r="N2071">
        <v>1</v>
      </c>
      <c r="O2071" t="str">
        <f>IF(financial_fraud_data[[#This Row],[Risk_Score]]&gt;8,"High",IF(financial_fraud_data[[#This Row],[Risk_Score]]&gt;5,"Med","Low"))</f>
        <v>Med</v>
      </c>
      <c r="P2071" t="str">
        <f>TEXT(financial_fraud_data[[#This Row],[Transaction_Date]],"MMM")</f>
        <v>Mar</v>
      </c>
      <c r="Q2071" t="str">
        <f>IF(financial_fraud_data[[#This Row],[Is_Fraud]]=1,"Yes","No")</f>
        <v>Yes</v>
      </c>
    </row>
    <row r="2072" spans="1:17" x14ac:dyDescent="0.2">
      <c r="A2072" t="s">
        <v>2597</v>
      </c>
      <c r="B2072" t="s">
        <v>1219</v>
      </c>
      <c r="C2072" s="1">
        <v>45378.25</v>
      </c>
      <c r="D2072">
        <v>37849.74</v>
      </c>
      <c r="E2072" t="s">
        <v>34</v>
      </c>
      <c r="F2072" t="s">
        <v>50</v>
      </c>
      <c r="G2072" t="s">
        <v>56</v>
      </c>
      <c r="H2072" t="s">
        <v>19</v>
      </c>
      <c r="I2072" t="s">
        <v>24</v>
      </c>
      <c r="J2072" t="s">
        <v>51</v>
      </c>
      <c r="K2072">
        <v>0</v>
      </c>
      <c r="L2072">
        <v>2</v>
      </c>
      <c r="M2072">
        <v>7.78</v>
      </c>
      <c r="N2072">
        <v>1</v>
      </c>
      <c r="O2072" t="str">
        <f>IF(financial_fraud_data[[#This Row],[Risk_Score]]&gt;8,"High",IF(financial_fraud_data[[#This Row],[Risk_Score]]&gt;5,"Med","Low"))</f>
        <v>Med</v>
      </c>
      <c r="P2072" t="str">
        <f>TEXT(financial_fraud_data[[#This Row],[Transaction_Date]],"MMM")</f>
        <v>Mar</v>
      </c>
      <c r="Q2072" t="str">
        <f>IF(financial_fraud_data[[#This Row],[Is_Fraud]]=1,"Yes","No")</f>
        <v>Yes</v>
      </c>
    </row>
    <row r="2073" spans="1:17" x14ac:dyDescent="0.2">
      <c r="A2073" t="s">
        <v>2598</v>
      </c>
      <c r="B2073" t="s">
        <v>1311</v>
      </c>
      <c r="C2073" s="1">
        <v>45378.291666666664</v>
      </c>
      <c r="D2073">
        <v>25993.32</v>
      </c>
      <c r="E2073" t="s">
        <v>80</v>
      </c>
      <c r="F2073" t="s">
        <v>47</v>
      </c>
      <c r="G2073" t="s">
        <v>28</v>
      </c>
      <c r="H2073" t="s">
        <v>24</v>
      </c>
      <c r="I2073" t="s">
        <v>19</v>
      </c>
      <c r="J2073" t="s">
        <v>20</v>
      </c>
      <c r="K2073">
        <v>0</v>
      </c>
      <c r="L2073">
        <v>0</v>
      </c>
      <c r="M2073">
        <v>3.6</v>
      </c>
      <c r="N2073">
        <v>0</v>
      </c>
      <c r="O2073" t="str">
        <f>IF(financial_fraud_data[[#This Row],[Risk_Score]]&gt;8,"High",IF(financial_fraud_data[[#This Row],[Risk_Score]]&gt;5,"Med","Low"))</f>
        <v>Low</v>
      </c>
      <c r="P2073" t="str">
        <f>TEXT(financial_fraud_data[[#This Row],[Transaction_Date]],"MMM")</f>
        <v>Mar</v>
      </c>
      <c r="Q2073" t="str">
        <f>IF(financial_fraud_data[[#This Row],[Is_Fraud]]=1,"Yes","No")</f>
        <v>No</v>
      </c>
    </row>
    <row r="2074" spans="1:17" x14ac:dyDescent="0.2">
      <c r="A2074" t="s">
        <v>2599</v>
      </c>
      <c r="B2074" t="s">
        <v>659</v>
      </c>
      <c r="C2074" s="1">
        <v>45378.333333333336</v>
      </c>
      <c r="D2074">
        <v>10283.82</v>
      </c>
      <c r="E2074" t="s">
        <v>16</v>
      </c>
      <c r="F2074" t="s">
        <v>50</v>
      </c>
      <c r="G2074" t="s">
        <v>56</v>
      </c>
      <c r="H2074" t="s">
        <v>24</v>
      </c>
      <c r="I2074" t="s">
        <v>23</v>
      </c>
      <c r="J2074" t="s">
        <v>37</v>
      </c>
      <c r="K2074">
        <v>0</v>
      </c>
      <c r="L2074">
        <v>1</v>
      </c>
      <c r="M2074">
        <v>3.53</v>
      </c>
      <c r="N2074">
        <v>0</v>
      </c>
      <c r="O2074" t="str">
        <f>IF(financial_fraud_data[[#This Row],[Risk_Score]]&gt;8,"High",IF(financial_fraud_data[[#This Row],[Risk_Score]]&gt;5,"Med","Low"))</f>
        <v>Low</v>
      </c>
      <c r="P2074" t="str">
        <f>TEXT(financial_fraud_data[[#This Row],[Transaction_Date]],"MMM")</f>
        <v>Mar</v>
      </c>
      <c r="Q2074" t="str">
        <f>IF(financial_fraud_data[[#This Row],[Is_Fraud]]=1,"Yes","No")</f>
        <v>No</v>
      </c>
    </row>
    <row r="2075" spans="1:17" x14ac:dyDescent="0.2">
      <c r="A2075" t="s">
        <v>2600</v>
      </c>
      <c r="B2075" t="s">
        <v>75</v>
      </c>
      <c r="C2075" s="1">
        <v>45378.375</v>
      </c>
      <c r="D2075">
        <v>43897.61</v>
      </c>
      <c r="E2075" t="s">
        <v>34</v>
      </c>
      <c r="F2075" t="s">
        <v>27</v>
      </c>
      <c r="G2075" t="s">
        <v>18</v>
      </c>
      <c r="H2075" t="s">
        <v>29</v>
      </c>
      <c r="I2075" t="s">
        <v>23</v>
      </c>
      <c r="J2075" t="s">
        <v>51</v>
      </c>
      <c r="K2075">
        <v>0</v>
      </c>
      <c r="L2075">
        <v>2</v>
      </c>
      <c r="M2075">
        <v>8.39</v>
      </c>
      <c r="N2075">
        <v>1</v>
      </c>
      <c r="O2075" t="str">
        <f>IF(financial_fraud_data[[#This Row],[Risk_Score]]&gt;8,"High",IF(financial_fraud_data[[#This Row],[Risk_Score]]&gt;5,"Med","Low"))</f>
        <v>High</v>
      </c>
      <c r="P2075" t="str">
        <f>TEXT(financial_fraud_data[[#This Row],[Transaction_Date]],"MMM")</f>
        <v>Mar</v>
      </c>
      <c r="Q2075" t="str">
        <f>IF(financial_fraud_data[[#This Row],[Is_Fraud]]=1,"Yes","No")</f>
        <v>Yes</v>
      </c>
    </row>
    <row r="2076" spans="1:17" x14ac:dyDescent="0.2">
      <c r="A2076" t="s">
        <v>2601</v>
      </c>
      <c r="B2076" t="s">
        <v>136</v>
      </c>
      <c r="C2076" s="1">
        <v>45378.416666666664</v>
      </c>
      <c r="D2076">
        <v>43985.11</v>
      </c>
      <c r="E2076" t="s">
        <v>42</v>
      </c>
      <c r="F2076" t="s">
        <v>17</v>
      </c>
      <c r="G2076" t="s">
        <v>18</v>
      </c>
      <c r="H2076" t="s">
        <v>23</v>
      </c>
      <c r="I2076" t="s">
        <v>24</v>
      </c>
      <c r="J2076" t="s">
        <v>37</v>
      </c>
      <c r="K2076">
        <v>0</v>
      </c>
      <c r="L2076">
        <v>1</v>
      </c>
      <c r="M2076">
        <v>6.9</v>
      </c>
      <c r="N2076">
        <v>1</v>
      </c>
      <c r="O2076" t="str">
        <f>IF(financial_fraud_data[[#This Row],[Risk_Score]]&gt;8,"High",IF(financial_fraud_data[[#This Row],[Risk_Score]]&gt;5,"Med","Low"))</f>
        <v>Med</v>
      </c>
      <c r="P2076" t="str">
        <f>TEXT(financial_fraud_data[[#This Row],[Transaction_Date]],"MMM")</f>
        <v>Mar</v>
      </c>
      <c r="Q2076" t="str">
        <f>IF(financial_fraud_data[[#This Row],[Is_Fraud]]=1,"Yes","No")</f>
        <v>Yes</v>
      </c>
    </row>
    <row r="2077" spans="1:17" x14ac:dyDescent="0.2">
      <c r="A2077" t="s">
        <v>2602</v>
      </c>
      <c r="B2077" t="s">
        <v>1253</v>
      </c>
      <c r="C2077" s="1">
        <v>45378.458333333336</v>
      </c>
      <c r="D2077">
        <v>43535.39</v>
      </c>
      <c r="E2077" t="s">
        <v>34</v>
      </c>
      <c r="F2077" t="s">
        <v>50</v>
      </c>
      <c r="G2077" t="s">
        <v>18</v>
      </c>
      <c r="H2077" t="s">
        <v>36</v>
      </c>
      <c r="I2077" t="s">
        <v>29</v>
      </c>
      <c r="J2077" t="s">
        <v>37</v>
      </c>
      <c r="K2077">
        <v>0</v>
      </c>
      <c r="L2077">
        <v>3</v>
      </c>
      <c r="M2077">
        <v>9.85</v>
      </c>
      <c r="N2077">
        <v>1</v>
      </c>
      <c r="O2077" t="str">
        <f>IF(financial_fraud_data[[#This Row],[Risk_Score]]&gt;8,"High",IF(financial_fraud_data[[#This Row],[Risk_Score]]&gt;5,"Med","Low"))</f>
        <v>High</v>
      </c>
      <c r="P2077" t="str">
        <f>TEXT(financial_fraud_data[[#This Row],[Transaction_Date]],"MMM")</f>
        <v>Mar</v>
      </c>
      <c r="Q2077" t="str">
        <f>IF(financial_fraud_data[[#This Row],[Is_Fraud]]=1,"Yes","No")</f>
        <v>Yes</v>
      </c>
    </row>
    <row r="2078" spans="1:17" x14ac:dyDescent="0.2">
      <c r="A2078" t="s">
        <v>2603</v>
      </c>
      <c r="B2078" t="s">
        <v>333</v>
      </c>
      <c r="C2078" s="1">
        <v>45378.5</v>
      </c>
      <c r="D2078">
        <v>11977.87</v>
      </c>
      <c r="E2078" t="s">
        <v>42</v>
      </c>
      <c r="F2078" t="s">
        <v>47</v>
      </c>
      <c r="G2078" t="s">
        <v>18</v>
      </c>
      <c r="H2078" t="s">
        <v>23</v>
      </c>
      <c r="I2078" t="s">
        <v>24</v>
      </c>
      <c r="J2078" t="s">
        <v>37</v>
      </c>
      <c r="K2078">
        <v>0</v>
      </c>
      <c r="L2078">
        <v>4</v>
      </c>
      <c r="M2078">
        <v>8.1999999999999993</v>
      </c>
      <c r="N2078">
        <v>1</v>
      </c>
      <c r="O2078" t="str">
        <f>IF(financial_fraud_data[[#This Row],[Risk_Score]]&gt;8,"High",IF(financial_fraud_data[[#This Row],[Risk_Score]]&gt;5,"Med","Low"))</f>
        <v>High</v>
      </c>
      <c r="P2078" t="str">
        <f>TEXT(financial_fraud_data[[#This Row],[Transaction_Date]],"MMM")</f>
        <v>Mar</v>
      </c>
      <c r="Q2078" t="str">
        <f>IF(financial_fraud_data[[#This Row],[Is_Fraud]]=1,"Yes","No")</f>
        <v>Yes</v>
      </c>
    </row>
    <row r="2079" spans="1:17" x14ac:dyDescent="0.2">
      <c r="A2079" t="s">
        <v>2604</v>
      </c>
      <c r="B2079" t="s">
        <v>365</v>
      </c>
      <c r="C2079" s="1">
        <v>45378.541666666664</v>
      </c>
      <c r="D2079">
        <v>22589.41</v>
      </c>
      <c r="E2079" t="s">
        <v>42</v>
      </c>
      <c r="F2079" t="s">
        <v>27</v>
      </c>
      <c r="G2079" t="s">
        <v>35</v>
      </c>
      <c r="H2079" t="s">
        <v>23</v>
      </c>
      <c r="I2079" t="s">
        <v>23</v>
      </c>
      <c r="J2079" t="s">
        <v>20</v>
      </c>
      <c r="K2079">
        <v>0</v>
      </c>
      <c r="L2079">
        <v>0</v>
      </c>
      <c r="M2079">
        <v>2.2599999999999998</v>
      </c>
      <c r="N2079">
        <v>0</v>
      </c>
      <c r="O2079" t="str">
        <f>IF(financial_fraud_data[[#This Row],[Risk_Score]]&gt;8,"High",IF(financial_fraud_data[[#This Row],[Risk_Score]]&gt;5,"Med","Low"))</f>
        <v>Low</v>
      </c>
      <c r="P2079" t="str">
        <f>TEXT(financial_fraud_data[[#This Row],[Transaction_Date]],"MMM")</f>
        <v>Mar</v>
      </c>
      <c r="Q2079" t="str">
        <f>IF(financial_fraud_data[[#This Row],[Is_Fraud]]=1,"Yes","No")</f>
        <v>No</v>
      </c>
    </row>
    <row r="2080" spans="1:17" x14ac:dyDescent="0.2">
      <c r="A2080" t="s">
        <v>2605</v>
      </c>
      <c r="B2080" t="s">
        <v>58</v>
      </c>
      <c r="C2080" s="1">
        <v>45378.583333333336</v>
      </c>
      <c r="D2080">
        <v>49250.23</v>
      </c>
      <c r="E2080" t="s">
        <v>34</v>
      </c>
      <c r="F2080" t="s">
        <v>47</v>
      </c>
      <c r="G2080" t="s">
        <v>28</v>
      </c>
      <c r="H2080" t="s">
        <v>24</v>
      </c>
      <c r="I2080" t="s">
        <v>29</v>
      </c>
      <c r="J2080" t="s">
        <v>51</v>
      </c>
      <c r="K2080">
        <v>0</v>
      </c>
      <c r="L2080">
        <v>2</v>
      </c>
      <c r="M2080">
        <v>8.93</v>
      </c>
      <c r="N2080">
        <v>1</v>
      </c>
      <c r="O2080" t="str">
        <f>IF(financial_fraud_data[[#This Row],[Risk_Score]]&gt;8,"High",IF(financial_fraud_data[[#This Row],[Risk_Score]]&gt;5,"Med","Low"))</f>
        <v>High</v>
      </c>
      <c r="P2080" t="str">
        <f>TEXT(financial_fraud_data[[#This Row],[Transaction_Date]],"MMM")</f>
        <v>Mar</v>
      </c>
      <c r="Q2080" t="str">
        <f>IF(financial_fraud_data[[#This Row],[Is_Fraud]]=1,"Yes","No")</f>
        <v>Yes</v>
      </c>
    </row>
    <row r="2081" spans="1:17" x14ac:dyDescent="0.2">
      <c r="A2081" t="s">
        <v>2606</v>
      </c>
      <c r="B2081" t="s">
        <v>678</v>
      </c>
      <c r="C2081" s="1">
        <v>45378.625</v>
      </c>
      <c r="D2081">
        <v>38612.019999999997</v>
      </c>
      <c r="E2081" t="s">
        <v>34</v>
      </c>
      <c r="F2081" t="s">
        <v>50</v>
      </c>
      <c r="G2081" t="s">
        <v>28</v>
      </c>
      <c r="H2081" t="s">
        <v>29</v>
      </c>
      <c r="I2081" t="s">
        <v>36</v>
      </c>
      <c r="J2081" t="s">
        <v>51</v>
      </c>
      <c r="K2081">
        <v>0</v>
      </c>
      <c r="L2081">
        <v>0</v>
      </c>
      <c r="M2081">
        <v>4.8600000000000003</v>
      </c>
      <c r="N2081">
        <v>0</v>
      </c>
      <c r="O2081" t="str">
        <f>IF(financial_fraud_data[[#This Row],[Risk_Score]]&gt;8,"High",IF(financial_fraud_data[[#This Row],[Risk_Score]]&gt;5,"Med","Low"))</f>
        <v>Low</v>
      </c>
      <c r="P2081" t="str">
        <f>TEXT(financial_fraud_data[[#This Row],[Transaction_Date]],"MMM")</f>
        <v>Mar</v>
      </c>
      <c r="Q2081" t="str">
        <f>IF(financial_fraud_data[[#This Row],[Is_Fraud]]=1,"Yes","No")</f>
        <v>No</v>
      </c>
    </row>
    <row r="2082" spans="1:17" x14ac:dyDescent="0.2">
      <c r="A2082" t="s">
        <v>2607</v>
      </c>
      <c r="B2082" t="s">
        <v>280</v>
      </c>
      <c r="C2082" s="1">
        <v>45378.666666666664</v>
      </c>
      <c r="D2082">
        <v>1407.01</v>
      </c>
      <c r="E2082" t="s">
        <v>42</v>
      </c>
      <c r="F2082" t="s">
        <v>50</v>
      </c>
      <c r="G2082" t="s">
        <v>56</v>
      </c>
      <c r="H2082" t="s">
        <v>23</v>
      </c>
      <c r="I2082" t="s">
        <v>23</v>
      </c>
      <c r="J2082" t="s">
        <v>37</v>
      </c>
      <c r="K2082">
        <v>0</v>
      </c>
      <c r="L2082">
        <v>3</v>
      </c>
      <c r="M2082">
        <v>4.6399999999999997</v>
      </c>
      <c r="N2082">
        <v>0</v>
      </c>
      <c r="O2082" t="str">
        <f>IF(financial_fraud_data[[#This Row],[Risk_Score]]&gt;8,"High",IF(financial_fraud_data[[#This Row],[Risk_Score]]&gt;5,"Med","Low"))</f>
        <v>Low</v>
      </c>
      <c r="P2082" t="str">
        <f>TEXT(financial_fraud_data[[#This Row],[Transaction_Date]],"MMM")</f>
        <v>Mar</v>
      </c>
      <c r="Q2082" t="str">
        <f>IF(financial_fraud_data[[#This Row],[Is_Fraud]]=1,"Yes","No")</f>
        <v>No</v>
      </c>
    </row>
    <row r="2083" spans="1:17" x14ac:dyDescent="0.2">
      <c r="A2083" t="s">
        <v>2608</v>
      </c>
      <c r="B2083" t="s">
        <v>268</v>
      </c>
      <c r="C2083" s="1">
        <v>45378.708333333336</v>
      </c>
      <c r="D2083">
        <v>3306.97</v>
      </c>
      <c r="E2083" t="s">
        <v>80</v>
      </c>
      <c r="F2083" t="s">
        <v>47</v>
      </c>
      <c r="G2083" t="s">
        <v>65</v>
      </c>
      <c r="H2083" t="s">
        <v>19</v>
      </c>
      <c r="I2083" t="s">
        <v>24</v>
      </c>
      <c r="J2083" t="s">
        <v>51</v>
      </c>
      <c r="K2083">
        <v>1</v>
      </c>
      <c r="L2083">
        <v>3</v>
      </c>
      <c r="M2083">
        <v>7.83</v>
      </c>
      <c r="N2083">
        <v>1</v>
      </c>
      <c r="O2083" t="str">
        <f>IF(financial_fraud_data[[#This Row],[Risk_Score]]&gt;8,"High",IF(financial_fraud_data[[#This Row],[Risk_Score]]&gt;5,"Med","Low"))</f>
        <v>Med</v>
      </c>
      <c r="P2083" t="str">
        <f>TEXT(financial_fraud_data[[#This Row],[Transaction_Date]],"MMM")</f>
        <v>Mar</v>
      </c>
      <c r="Q2083" t="str">
        <f>IF(financial_fraud_data[[#This Row],[Is_Fraud]]=1,"Yes","No")</f>
        <v>Yes</v>
      </c>
    </row>
    <row r="2084" spans="1:17" x14ac:dyDescent="0.2">
      <c r="A2084" t="s">
        <v>2609</v>
      </c>
      <c r="B2084" t="s">
        <v>761</v>
      </c>
      <c r="C2084" s="1">
        <v>45378.75</v>
      </c>
      <c r="D2084">
        <v>23223.37</v>
      </c>
      <c r="E2084" t="s">
        <v>80</v>
      </c>
      <c r="F2084" t="s">
        <v>27</v>
      </c>
      <c r="G2084" t="s">
        <v>56</v>
      </c>
      <c r="H2084" t="s">
        <v>19</v>
      </c>
      <c r="I2084" t="s">
        <v>36</v>
      </c>
      <c r="J2084" t="s">
        <v>20</v>
      </c>
      <c r="K2084">
        <v>1</v>
      </c>
      <c r="L2084">
        <v>3</v>
      </c>
      <c r="M2084">
        <v>9.82</v>
      </c>
      <c r="N2084">
        <v>1</v>
      </c>
      <c r="O2084" t="str">
        <f>IF(financial_fraud_data[[#This Row],[Risk_Score]]&gt;8,"High",IF(financial_fraud_data[[#This Row],[Risk_Score]]&gt;5,"Med","Low"))</f>
        <v>High</v>
      </c>
      <c r="P2084" t="str">
        <f>TEXT(financial_fraud_data[[#This Row],[Transaction_Date]],"MMM")</f>
        <v>Mar</v>
      </c>
      <c r="Q2084" t="str">
        <f>IF(financial_fraud_data[[#This Row],[Is_Fraud]]=1,"Yes","No")</f>
        <v>Yes</v>
      </c>
    </row>
    <row r="2085" spans="1:17" x14ac:dyDescent="0.2">
      <c r="A2085" t="s">
        <v>2610</v>
      </c>
      <c r="B2085" t="s">
        <v>986</v>
      </c>
      <c r="C2085" s="1">
        <v>45378.791666666664</v>
      </c>
      <c r="D2085">
        <v>45465.55</v>
      </c>
      <c r="E2085" t="s">
        <v>34</v>
      </c>
      <c r="F2085" t="s">
        <v>50</v>
      </c>
      <c r="G2085" t="s">
        <v>56</v>
      </c>
      <c r="H2085" t="s">
        <v>23</v>
      </c>
      <c r="I2085" t="s">
        <v>19</v>
      </c>
      <c r="J2085" t="s">
        <v>37</v>
      </c>
      <c r="K2085">
        <v>0</v>
      </c>
      <c r="L2085">
        <v>3</v>
      </c>
      <c r="M2085">
        <v>10.050000000000001</v>
      </c>
      <c r="N2085">
        <v>1</v>
      </c>
      <c r="O2085" t="str">
        <f>IF(financial_fraud_data[[#This Row],[Risk_Score]]&gt;8,"High",IF(financial_fraud_data[[#This Row],[Risk_Score]]&gt;5,"Med","Low"))</f>
        <v>High</v>
      </c>
      <c r="P2085" t="str">
        <f>TEXT(financial_fraud_data[[#This Row],[Transaction_Date]],"MMM")</f>
        <v>Mar</v>
      </c>
      <c r="Q2085" t="str">
        <f>IF(financial_fraud_data[[#This Row],[Is_Fraud]]=1,"Yes","No")</f>
        <v>Yes</v>
      </c>
    </row>
    <row r="2086" spans="1:17" x14ac:dyDescent="0.2">
      <c r="A2086" t="s">
        <v>2611</v>
      </c>
      <c r="B2086" t="s">
        <v>158</v>
      </c>
      <c r="C2086" s="1">
        <v>45378.833333333336</v>
      </c>
      <c r="D2086">
        <v>26958.15</v>
      </c>
      <c r="E2086" t="s">
        <v>16</v>
      </c>
      <c r="F2086" t="s">
        <v>17</v>
      </c>
      <c r="G2086" t="s">
        <v>56</v>
      </c>
      <c r="H2086" t="s">
        <v>24</v>
      </c>
      <c r="I2086" t="s">
        <v>36</v>
      </c>
      <c r="J2086" t="s">
        <v>20</v>
      </c>
      <c r="K2086">
        <v>0</v>
      </c>
      <c r="L2086">
        <v>4</v>
      </c>
      <c r="M2086">
        <v>9.6999999999999993</v>
      </c>
      <c r="N2086">
        <v>1</v>
      </c>
      <c r="O2086" t="str">
        <f>IF(financial_fraud_data[[#This Row],[Risk_Score]]&gt;8,"High",IF(financial_fraud_data[[#This Row],[Risk_Score]]&gt;5,"Med","Low"))</f>
        <v>High</v>
      </c>
      <c r="P2086" t="str">
        <f>TEXT(financial_fraud_data[[#This Row],[Transaction_Date]],"MMM")</f>
        <v>Mar</v>
      </c>
      <c r="Q2086" t="str">
        <f>IF(financial_fraud_data[[#This Row],[Is_Fraud]]=1,"Yes","No")</f>
        <v>Yes</v>
      </c>
    </row>
    <row r="2087" spans="1:17" x14ac:dyDescent="0.2">
      <c r="A2087" t="s">
        <v>2612</v>
      </c>
      <c r="B2087" t="s">
        <v>1843</v>
      </c>
      <c r="C2087" s="1">
        <v>45378.875</v>
      </c>
      <c r="D2087">
        <v>24915.73</v>
      </c>
      <c r="E2087" t="s">
        <v>80</v>
      </c>
      <c r="F2087" t="s">
        <v>50</v>
      </c>
      <c r="G2087" t="s">
        <v>56</v>
      </c>
      <c r="H2087" t="s">
        <v>24</v>
      </c>
      <c r="I2087" t="s">
        <v>24</v>
      </c>
      <c r="J2087" t="s">
        <v>20</v>
      </c>
      <c r="K2087">
        <v>0</v>
      </c>
      <c r="L2087">
        <v>1</v>
      </c>
      <c r="M2087">
        <v>3.99</v>
      </c>
      <c r="N2087">
        <v>0</v>
      </c>
      <c r="O2087" t="str">
        <f>IF(financial_fraud_data[[#This Row],[Risk_Score]]&gt;8,"High",IF(financial_fraud_data[[#This Row],[Risk_Score]]&gt;5,"Med","Low"))</f>
        <v>Low</v>
      </c>
      <c r="P2087" t="str">
        <f>TEXT(financial_fraud_data[[#This Row],[Transaction_Date]],"MMM")</f>
        <v>Mar</v>
      </c>
      <c r="Q2087" t="str">
        <f>IF(financial_fraud_data[[#This Row],[Is_Fraud]]=1,"Yes","No")</f>
        <v>No</v>
      </c>
    </row>
    <row r="2088" spans="1:17" x14ac:dyDescent="0.2">
      <c r="A2088" t="s">
        <v>2613</v>
      </c>
      <c r="B2088" t="s">
        <v>1352</v>
      </c>
      <c r="C2088" s="1">
        <v>45378.916666666664</v>
      </c>
      <c r="D2088">
        <v>5318.41</v>
      </c>
      <c r="E2088" t="s">
        <v>34</v>
      </c>
      <c r="F2088" t="s">
        <v>27</v>
      </c>
      <c r="G2088" t="s">
        <v>28</v>
      </c>
      <c r="H2088" t="s">
        <v>36</v>
      </c>
      <c r="I2088" t="s">
        <v>36</v>
      </c>
      <c r="J2088" t="s">
        <v>51</v>
      </c>
      <c r="K2088">
        <v>0</v>
      </c>
      <c r="L2088">
        <v>1</v>
      </c>
      <c r="M2088">
        <v>2.0299999999999998</v>
      </c>
      <c r="N2088">
        <v>0</v>
      </c>
      <c r="O2088" t="str">
        <f>IF(financial_fraud_data[[#This Row],[Risk_Score]]&gt;8,"High",IF(financial_fraud_data[[#This Row],[Risk_Score]]&gt;5,"Med","Low"))</f>
        <v>Low</v>
      </c>
      <c r="P2088" t="str">
        <f>TEXT(financial_fraud_data[[#This Row],[Transaction_Date]],"MMM")</f>
        <v>Mar</v>
      </c>
      <c r="Q2088" t="str">
        <f>IF(financial_fraud_data[[#This Row],[Is_Fraud]]=1,"Yes","No")</f>
        <v>No</v>
      </c>
    </row>
    <row r="2089" spans="1:17" x14ac:dyDescent="0.2">
      <c r="A2089" t="s">
        <v>2614</v>
      </c>
      <c r="B2089" t="s">
        <v>356</v>
      </c>
      <c r="C2089" s="1">
        <v>45378.958333333336</v>
      </c>
      <c r="D2089">
        <v>32856.17</v>
      </c>
      <c r="E2089" t="s">
        <v>80</v>
      </c>
      <c r="F2089" t="s">
        <v>50</v>
      </c>
      <c r="G2089" t="s">
        <v>65</v>
      </c>
      <c r="H2089" t="s">
        <v>29</v>
      </c>
      <c r="I2089" t="s">
        <v>24</v>
      </c>
      <c r="J2089" t="s">
        <v>51</v>
      </c>
      <c r="K2089">
        <v>0</v>
      </c>
      <c r="L2089">
        <v>4</v>
      </c>
      <c r="M2089">
        <v>10.29</v>
      </c>
      <c r="N2089">
        <v>1</v>
      </c>
      <c r="O2089" t="str">
        <f>IF(financial_fraud_data[[#This Row],[Risk_Score]]&gt;8,"High",IF(financial_fraud_data[[#This Row],[Risk_Score]]&gt;5,"Med","Low"))</f>
        <v>High</v>
      </c>
      <c r="P2089" t="str">
        <f>TEXT(financial_fraud_data[[#This Row],[Transaction_Date]],"MMM")</f>
        <v>Mar</v>
      </c>
      <c r="Q2089" t="str">
        <f>IF(financial_fraud_data[[#This Row],[Is_Fraud]]=1,"Yes","No")</f>
        <v>Yes</v>
      </c>
    </row>
    <row r="2090" spans="1:17" x14ac:dyDescent="0.2">
      <c r="A2090" t="s">
        <v>2615</v>
      </c>
      <c r="B2090" t="s">
        <v>293</v>
      </c>
      <c r="C2090" s="1">
        <v>45379</v>
      </c>
      <c r="D2090">
        <v>41114.050000000003</v>
      </c>
      <c r="E2090" t="s">
        <v>16</v>
      </c>
      <c r="F2090" t="s">
        <v>47</v>
      </c>
      <c r="G2090" t="s">
        <v>56</v>
      </c>
      <c r="H2090" t="s">
        <v>24</v>
      </c>
      <c r="I2090" t="s">
        <v>23</v>
      </c>
      <c r="J2090" t="s">
        <v>20</v>
      </c>
      <c r="K2090">
        <v>0</v>
      </c>
      <c r="L2090">
        <v>1</v>
      </c>
      <c r="M2090">
        <v>6.61</v>
      </c>
      <c r="N2090">
        <v>1</v>
      </c>
      <c r="O2090" t="str">
        <f>IF(financial_fraud_data[[#This Row],[Risk_Score]]&gt;8,"High",IF(financial_fraud_data[[#This Row],[Risk_Score]]&gt;5,"Med","Low"))</f>
        <v>Med</v>
      </c>
      <c r="P2090" t="str">
        <f>TEXT(financial_fraud_data[[#This Row],[Transaction_Date]],"MMM")</f>
        <v>Mar</v>
      </c>
      <c r="Q2090" t="str">
        <f>IF(financial_fraud_data[[#This Row],[Is_Fraud]]=1,"Yes","No")</f>
        <v>Yes</v>
      </c>
    </row>
    <row r="2091" spans="1:17" x14ac:dyDescent="0.2">
      <c r="A2091" t="s">
        <v>2616</v>
      </c>
      <c r="B2091" t="s">
        <v>580</v>
      </c>
      <c r="C2091" s="1">
        <v>45379.041666666664</v>
      </c>
      <c r="D2091">
        <v>19051.98</v>
      </c>
      <c r="E2091" t="s">
        <v>34</v>
      </c>
      <c r="F2091" t="s">
        <v>50</v>
      </c>
      <c r="G2091" t="s">
        <v>28</v>
      </c>
      <c r="H2091" t="s">
        <v>36</v>
      </c>
      <c r="I2091" t="s">
        <v>29</v>
      </c>
      <c r="J2091" t="s">
        <v>51</v>
      </c>
      <c r="K2091">
        <v>1</v>
      </c>
      <c r="L2091">
        <v>3</v>
      </c>
      <c r="M2091">
        <v>9.41</v>
      </c>
      <c r="N2091">
        <v>1</v>
      </c>
      <c r="O2091" t="str">
        <f>IF(financial_fraud_data[[#This Row],[Risk_Score]]&gt;8,"High",IF(financial_fraud_data[[#This Row],[Risk_Score]]&gt;5,"Med","Low"))</f>
        <v>High</v>
      </c>
      <c r="P2091" t="str">
        <f>TEXT(financial_fraud_data[[#This Row],[Transaction_Date]],"MMM")</f>
        <v>Mar</v>
      </c>
      <c r="Q2091" t="str">
        <f>IF(financial_fraud_data[[#This Row],[Is_Fraud]]=1,"Yes","No")</f>
        <v>Yes</v>
      </c>
    </row>
    <row r="2092" spans="1:17" x14ac:dyDescent="0.2">
      <c r="A2092" t="s">
        <v>2617</v>
      </c>
      <c r="B2092" t="s">
        <v>576</v>
      </c>
      <c r="C2092" s="1">
        <v>45379.083333333336</v>
      </c>
      <c r="D2092">
        <v>38791.81</v>
      </c>
      <c r="E2092" t="s">
        <v>16</v>
      </c>
      <c r="F2092" t="s">
        <v>50</v>
      </c>
      <c r="G2092" t="s">
        <v>56</v>
      </c>
      <c r="H2092" t="s">
        <v>19</v>
      </c>
      <c r="I2092" t="s">
        <v>19</v>
      </c>
      <c r="J2092" t="s">
        <v>20</v>
      </c>
      <c r="K2092">
        <v>1</v>
      </c>
      <c r="L2092">
        <v>1</v>
      </c>
      <c r="M2092">
        <v>7.38</v>
      </c>
      <c r="N2092">
        <v>1</v>
      </c>
      <c r="O2092" t="str">
        <f>IF(financial_fraud_data[[#This Row],[Risk_Score]]&gt;8,"High",IF(financial_fraud_data[[#This Row],[Risk_Score]]&gt;5,"Med","Low"))</f>
        <v>Med</v>
      </c>
      <c r="P2092" t="str">
        <f>TEXT(financial_fraud_data[[#This Row],[Transaction_Date]],"MMM")</f>
        <v>Mar</v>
      </c>
      <c r="Q2092" t="str">
        <f>IF(financial_fraud_data[[#This Row],[Is_Fraud]]=1,"Yes","No")</f>
        <v>Yes</v>
      </c>
    </row>
    <row r="2093" spans="1:17" x14ac:dyDescent="0.2">
      <c r="A2093" t="s">
        <v>2618</v>
      </c>
      <c r="B2093" t="s">
        <v>464</v>
      </c>
      <c r="C2093" s="1">
        <v>45379.125</v>
      </c>
      <c r="D2093">
        <v>48225.61</v>
      </c>
      <c r="E2093" t="s">
        <v>34</v>
      </c>
      <c r="F2093" t="s">
        <v>27</v>
      </c>
      <c r="G2093" t="s">
        <v>18</v>
      </c>
      <c r="H2093" t="s">
        <v>19</v>
      </c>
      <c r="I2093" t="s">
        <v>29</v>
      </c>
      <c r="J2093" t="s">
        <v>20</v>
      </c>
      <c r="K2093">
        <v>0</v>
      </c>
      <c r="L2093">
        <v>0</v>
      </c>
      <c r="M2093">
        <v>5.82</v>
      </c>
      <c r="N2093">
        <v>1</v>
      </c>
      <c r="O2093" t="str">
        <f>IF(financial_fraud_data[[#This Row],[Risk_Score]]&gt;8,"High",IF(financial_fraud_data[[#This Row],[Risk_Score]]&gt;5,"Med","Low"))</f>
        <v>Med</v>
      </c>
      <c r="P2093" t="str">
        <f>TEXT(financial_fraud_data[[#This Row],[Transaction_Date]],"MMM")</f>
        <v>Mar</v>
      </c>
      <c r="Q2093" t="str">
        <f>IF(financial_fraud_data[[#This Row],[Is_Fraud]]=1,"Yes","No")</f>
        <v>Yes</v>
      </c>
    </row>
    <row r="2094" spans="1:17" x14ac:dyDescent="0.2">
      <c r="A2094" t="s">
        <v>2619</v>
      </c>
      <c r="B2094" t="s">
        <v>1446</v>
      </c>
      <c r="C2094" s="1">
        <v>45379.166666666664</v>
      </c>
      <c r="D2094">
        <v>10228.129999999999</v>
      </c>
      <c r="E2094" t="s">
        <v>16</v>
      </c>
      <c r="F2094" t="s">
        <v>47</v>
      </c>
      <c r="G2094" t="s">
        <v>56</v>
      </c>
      <c r="H2094" t="s">
        <v>19</v>
      </c>
      <c r="I2094" t="s">
        <v>29</v>
      </c>
      <c r="J2094" t="s">
        <v>37</v>
      </c>
      <c r="K2094">
        <v>0</v>
      </c>
      <c r="L2094">
        <v>1</v>
      </c>
      <c r="M2094">
        <v>3.52</v>
      </c>
      <c r="N2094">
        <v>0</v>
      </c>
      <c r="O2094" t="str">
        <f>IF(financial_fraud_data[[#This Row],[Risk_Score]]&gt;8,"High",IF(financial_fraud_data[[#This Row],[Risk_Score]]&gt;5,"Med","Low"))</f>
        <v>Low</v>
      </c>
      <c r="P2094" t="str">
        <f>TEXT(financial_fraud_data[[#This Row],[Transaction_Date]],"MMM")</f>
        <v>Mar</v>
      </c>
      <c r="Q2094" t="str">
        <f>IF(financial_fraud_data[[#This Row],[Is_Fraud]]=1,"Yes","No")</f>
        <v>No</v>
      </c>
    </row>
    <row r="2095" spans="1:17" x14ac:dyDescent="0.2">
      <c r="A2095" t="s">
        <v>2620</v>
      </c>
      <c r="B2095" t="s">
        <v>1671</v>
      </c>
      <c r="C2095" s="1">
        <v>45379.208333333336</v>
      </c>
      <c r="D2095">
        <v>26190.32</v>
      </c>
      <c r="E2095" t="s">
        <v>80</v>
      </c>
      <c r="F2095" t="s">
        <v>27</v>
      </c>
      <c r="G2095" t="s">
        <v>56</v>
      </c>
      <c r="H2095" t="s">
        <v>23</v>
      </c>
      <c r="I2095" t="s">
        <v>29</v>
      </c>
      <c r="J2095" t="s">
        <v>20</v>
      </c>
      <c r="K2095">
        <v>1</v>
      </c>
      <c r="L2095">
        <v>0</v>
      </c>
      <c r="M2095">
        <v>5.62</v>
      </c>
      <c r="N2095">
        <v>1</v>
      </c>
      <c r="O2095" t="str">
        <f>IF(financial_fraud_data[[#This Row],[Risk_Score]]&gt;8,"High",IF(financial_fraud_data[[#This Row],[Risk_Score]]&gt;5,"Med","Low"))</f>
        <v>Med</v>
      </c>
      <c r="P2095" t="str">
        <f>TEXT(financial_fraud_data[[#This Row],[Transaction_Date]],"MMM")</f>
        <v>Mar</v>
      </c>
      <c r="Q2095" t="str">
        <f>IF(financial_fraud_data[[#This Row],[Is_Fraud]]=1,"Yes","No")</f>
        <v>Yes</v>
      </c>
    </row>
    <row r="2096" spans="1:17" x14ac:dyDescent="0.2">
      <c r="A2096" t="s">
        <v>2621</v>
      </c>
      <c r="B2096" t="s">
        <v>590</v>
      </c>
      <c r="C2096" s="1">
        <v>45379.25</v>
      </c>
      <c r="D2096">
        <v>14392.54</v>
      </c>
      <c r="E2096" t="s">
        <v>80</v>
      </c>
      <c r="F2096" t="s">
        <v>50</v>
      </c>
      <c r="G2096" t="s">
        <v>35</v>
      </c>
      <c r="H2096" t="s">
        <v>29</v>
      </c>
      <c r="I2096" t="s">
        <v>24</v>
      </c>
      <c r="J2096" t="s">
        <v>20</v>
      </c>
      <c r="K2096">
        <v>1</v>
      </c>
      <c r="L2096">
        <v>2</v>
      </c>
      <c r="M2096">
        <v>7.44</v>
      </c>
      <c r="N2096">
        <v>1</v>
      </c>
      <c r="O2096" t="str">
        <f>IF(financial_fraud_data[[#This Row],[Risk_Score]]&gt;8,"High",IF(financial_fraud_data[[#This Row],[Risk_Score]]&gt;5,"Med","Low"))</f>
        <v>Med</v>
      </c>
      <c r="P2096" t="str">
        <f>TEXT(financial_fraud_data[[#This Row],[Transaction_Date]],"MMM")</f>
        <v>Mar</v>
      </c>
      <c r="Q2096" t="str">
        <f>IF(financial_fraud_data[[#This Row],[Is_Fraud]]=1,"Yes","No")</f>
        <v>Yes</v>
      </c>
    </row>
    <row r="2097" spans="1:17" x14ac:dyDescent="0.2">
      <c r="A2097" t="s">
        <v>2622</v>
      </c>
      <c r="B2097" t="s">
        <v>1047</v>
      </c>
      <c r="C2097" s="1">
        <v>45379.291666666664</v>
      </c>
      <c r="D2097">
        <v>39653.08</v>
      </c>
      <c r="E2097" t="s">
        <v>16</v>
      </c>
      <c r="F2097" t="s">
        <v>17</v>
      </c>
      <c r="G2097" t="s">
        <v>18</v>
      </c>
      <c r="H2097" t="s">
        <v>36</v>
      </c>
      <c r="I2097" t="s">
        <v>24</v>
      </c>
      <c r="J2097" t="s">
        <v>51</v>
      </c>
      <c r="K2097">
        <v>1</v>
      </c>
      <c r="L2097">
        <v>0</v>
      </c>
      <c r="M2097">
        <v>6.97</v>
      </c>
      <c r="N2097">
        <v>1</v>
      </c>
      <c r="O2097" t="str">
        <f>IF(financial_fraud_data[[#This Row],[Risk_Score]]&gt;8,"High",IF(financial_fraud_data[[#This Row],[Risk_Score]]&gt;5,"Med","Low"))</f>
        <v>Med</v>
      </c>
      <c r="P2097" t="str">
        <f>TEXT(financial_fraud_data[[#This Row],[Transaction_Date]],"MMM")</f>
        <v>Mar</v>
      </c>
      <c r="Q2097" t="str">
        <f>IF(financial_fraud_data[[#This Row],[Is_Fraud]]=1,"Yes","No")</f>
        <v>Yes</v>
      </c>
    </row>
    <row r="2098" spans="1:17" x14ac:dyDescent="0.2">
      <c r="A2098" t="s">
        <v>2623</v>
      </c>
      <c r="B2098" t="s">
        <v>77</v>
      </c>
      <c r="C2098" s="1">
        <v>45379.333333333336</v>
      </c>
      <c r="D2098">
        <v>28900.79</v>
      </c>
      <c r="E2098" t="s">
        <v>16</v>
      </c>
      <c r="F2098" t="s">
        <v>50</v>
      </c>
      <c r="G2098" t="s">
        <v>65</v>
      </c>
      <c r="H2098" t="s">
        <v>29</v>
      </c>
      <c r="I2098" t="s">
        <v>19</v>
      </c>
      <c r="J2098" t="s">
        <v>37</v>
      </c>
      <c r="K2098">
        <v>0</v>
      </c>
      <c r="L2098">
        <v>0</v>
      </c>
      <c r="M2098">
        <v>3.89</v>
      </c>
      <c r="N2098">
        <v>0</v>
      </c>
      <c r="O2098" t="str">
        <f>IF(financial_fraud_data[[#This Row],[Risk_Score]]&gt;8,"High",IF(financial_fraud_data[[#This Row],[Risk_Score]]&gt;5,"Med","Low"))</f>
        <v>Low</v>
      </c>
      <c r="P2098" t="str">
        <f>TEXT(financial_fraud_data[[#This Row],[Transaction_Date]],"MMM")</f>
        <v>Mar</v>
      </c>
      <c r="Q2098" t="str">
        <f>IF(financial_fraud_data[[#This Row],[Is_Fraud]]=1,"Yes","No")</f>
        <v>No</v>
      </c>
    </row>
    <row r="2099" spans="1:17" x14ac:dyDescent="0.2">
      <c r="A2099" t="s">
        <v>2624</v>
      </c>
      <c r="B2099" t="s">
        <v>2173</v>
      </c>
      <c r="C2099" s="1">
        <v>45379.375</v>
      </c>
      <c r="D2099">
        <v>31747.39</v>
      </c>
      <c r="E2099" t="s">
        <v>16</v>
      </c>
      <c r="F2099" t="s">
        <v>27</v>
      </c>
      <c r="G2099" t="s">
        <v>56</v>
      </c>
      <c r="H2099" t="s">
        <v>23</v>
      </c>
      <c r="I2099" t="s">
        <v>24</v>
      </c>
      <c r="J2099" t="s">
        <v>51</v>
      </c>
      <c r="K2099">
        <v>0</v>
      </c>
      <c r="L2099">
        <v>3</v>
      </c>
      <c r="M2099">
        <v>8.67</v>
      </c>
      <c r="N2099">
        <v>1</v>
      </c>
      <c r="O2099" t="str">
        <f>IF(financial_fraud_data[[#This Row],[Risk_Score]]&gt;8,"High",IF(financial_fraud_data[[#This Row],[Risk_Score]]&gt;5,"Med","Low"))</f>
        <v>High</v>
      </c>
      <c r="P2099" t="str">
        <f>TEXT(financial_fraud_data[[#This Row],[Transaction_Date]],"MMM")</f>
        <v>Mar</v>
      </c>
      <c r="Q2099" t="str">
        <f>IF(financial_fraud_data[[#This Row],[Is_Fraud]]=1,"Yes","No")</f>
        <v>Yes</v>
      </c>
    </row>
    <row r="2100" spans="1:17" x14ac:dyDescent="0.2">
      <c r="A2100" t="s">
        <v>2625</v>
      </c>
      <c r="B2100" t="s">
        <v>1189</v>
      </c>
      <c r="C2100" s="1">
        <v>45379.416666666664</v>
      </c>
      <c r="D2100">
        <v>39905.81</v>
      </c>
      <c r="E2100" t="s">
        <v>34</v>
      </c>
      <c r="F2100" t="s">
        <v>17</v>
      </c>
      <c r="G2100" t="s">
        <v>65</v>
      </c>
      <c r="H2100" t="s">
        <v>36</v>
      </c>
      <c r="I2100" t="s">
        <v>24</v>
      </c>
      <c r="J2100" t="s">
        <v>37</v>
      </c>
      <c r="K2100">
        <v>0</v>
      </c>
      <c r="L2100">
        <v>3</v>
      </c>
      <c r="M2100">
        <v>9.49</v>
      </c>
      <c r="N2100">
        <v>1</v>
      </c>
      <c r="O2100" t="str">
        <f>IF(financial_fraud_data[[#This Row],[Risk_Score]]&gt;8,"High",IF(financial_fraud_data[[#This Row],[Risk_Score]]&gt;5,"Med","Low"))</f>
        <v>High</v>
      </c>
      <c r="P2100" t="str">
        <f>TEXT(financial_fraud_data[[#This Row],[Transaction_Date]],"MMM")</f>
        <v>Mar</v>
      </c>
      <c r="Q2100" t="str">
        <f>IF(financial_fraud_data[[#This Row],[Is_Fraud]]=1,"Yes","No")</f>
        <v>Yes</v>
      </c>
    </row>
    <row r="2101" spans="1:17" x14ac:dyDescent="0.2">
      <c r="A2101" t="s">
        <v>2626</v>
      </c>
      <c r="B2101" t="s">
        <v>174</v>
      </c>
      <c r="C2101" s="1">
        <v>45379.458333333336</v>
      </c>
      <c r="D2101">
        <v>19828.73</v>
      </c>
      <c r="E2101" t="s">
        <v>80</v>
      </c>
      <c r="F2101" t="s">
        <v>27</v>
      </c>
      <c r="G2101" t="s">
        <v>18</v>
      </c>
      <c r="H2101" t="s">
        <v>36</v>
      </c>
      <c r="I2101" t="s">
        <v>24</v>
      </c>
      <c r="J2101" t="s">
        <v>51</v>
      </c>
      <c r="K2101">
        <v>0</v>
      </c>
      <c r="L2101">
        <v>3</v>
      </c>
      <c r="M2101">
        <v>7.48</v>
      </c>
      <c r="N2101">
        <v>1</v>
      </c>
      <c r="O2101" t="str">
        <f>IF(financial_fraud_data[[#This Row],[Risk_Score]]&gt;8,"High",IF(financial_fraud_data[[#This Row],[Risk_Score]]&gt;5,"Med","Low"))</f>
        <v>Med</v>
      </c>
      <c r="P2101" t="str">
        <f>TEXT(financial_fraud_data[[#This Row],[Transaction_Date]],"MMM")</f>
        <v>Mar</v>
      </c>
      <c r="Q2101" t="str">
        <f>IF(financial_fraud_data[[#This Row],[Is_Fraud]]=1,"Yes","No")</f>
        <v>Yes</v>
      </c>
    </row>
    <row r="2102" spans="1:17" x14ac:dyDescent="0.2">
      <c r="A2102" t="s">
        <v>2627</v>
      </c>
      <c r="B2102" t="s">
        <v>483</v>
      </c>
      <c r="C2102" s="1">
        <v>45379.5</v>
      </c>
      <c r="D2102">
        <v>45758.75</v>
      </c>
      <c r="E2102" t="s">
        <v>34</v>
      </c>
      <c r="F2102" t="s">
        <v>27</v>
      </c>
      <c r="G2102" t="s">
        <v>56</v>
      </c>
      <c r="H2102" t="s">
        <v>24</v>
      </c>
      <c r="I2102" t="s">
        <v>24</v>
      </c>
      <c r="J2102" t="s">
        <v>20</v>
      </c>
      <c r="K2102">
        <v>0</v>
      </c>
      <c r="L2102">
        <v>0</v>
      </c>
      <c r="M2102">
        <v>4.58</v>
      </c>
      <c r="N2102">
        <v>0</v>
      </c>
      <c r="O2102" t="str">
        <f>IF(financial_fraud_data[[#This Row],[Risk_Score]]&gt;8,"High",IF(financial_fraud_data[[#This Row],[Risk_Score]]&gt;5,"Med","Low"))</f>
        <v>Low</v>
      </c>
      <c r="P2102" t="str">
        <f>TEXT(financial_fraud_data[[#This Row],[Transaction_Date]],"MMM")</f>
        <v>Mar</v>
      </c>
      <c r="Q2102" t="str">
        <f>IF(financial_fraud_data[[#This Row],[Is_Fraud]]=1,"Yes","No")</f>
        <v>No</v>
      </c>
    </row>
    <row r="2103" spans="1:17" x14ac:dyDescent="0.2">
      <c r="A2103" t="s">
        <v>2628</v>
      </c>
      <c r="B2103" t="s">
        <v>470</v>
      </c>
      <c r="C2103" s="1">
        <v>45379.541666666664</v>
      </c>
      <c r="D2103">
        <v>26674.79</v>
      </c>
      <c r="E2103" t="s">
        <v>80</v>
      </c>
      <c r="F2103" t="s">
        <v>47</v>
      </c>
      <c r="G2103" t="s">
        <v>35</v>
      </c>
      <c r="H2103" t="s">
        <v>29</v>
      </c>
      <c r="I2103" t="s">
        <v>23</v>
      </c>
      <c r="J2103" t="s">
        <v>37</v>
      </c>
      <c r="K2103">
        <v>0</v>
      </c>
      <c r="L2103">
        <v>4</v>
      </c>
      <c r="M2103">
        <v>9.67</v>
      </c>
      <c r="N2103">
        <v>1</v>
      </c>
      <c r="O2103" t="str">
        <f>IF(financial_fraud_data[[#This Row],[Risk_Score]]&gt;8,"High",IF(financial_fraud_data[[#This Row],[Risk_Score]]&gt;5,"Med","Low"))</f>
        <v>High</v>
      </c>
      <c r="P2103" t="str">
        <f>TEXT(financial_fraud_data[[#This Row],[Transaction_Date]],"MMM")</f>
        <v>Mar</v>
      </c>
      <c r="Q2103" t="str">
        <f>IF(financial_fraud_data[[#This Row],[Is_Fraud]]=1,"Yes","No")</f>
        <v>Yes</v>
      </c>
    </row>
    <row r="2104" spans="1:17" x14ac:dyDescent="0.2">
      <c r="A2104" t="s">
        <v>2629</v>
      </c>
      <c r="B2104" t="s">
        <v>331</v>
      </c>
      <c r="C2104" s="1">
        <v>45379.583333333336</v>
      </c>
      <c r="D2104">
        <v>7939.84</v>
      </c>
      <c r="E2104" t="s">
        <v>42</v>
      </c>
      <c r="F2104" t="s">
        <v>17</v>
      </c>
      <c r="G2104" t="s">
        <v>28</v>
      </c>
      <c r="H2104" t="s">
        <v>29</v>
      </c>
      <c r="I2104" t="s">
        <v>19</v>
      </c>
      <c r="J2104" t="s">
        <v>37</v>
      </c>
      <c r="K2104">
        <v>1</v>
      </c>
      <c r="L2104">
        <v>3</v>
      </c>
      <c r="M2104">
        <v>8.2899999999999991</v>
      </c>
      <c r="N2104">
        <v>1</v>
      </c>
      <c r="O2104" t="str">
        <f>IF(financial_fraud_data[[#This Row],[Risk_Score]]&gt;8,"High",IF(financial_fraud_data[[#This Row],[Risk_Score]]&gt;5,"Med","Low"))</f>
        <v>High</v>
      </c>
      <c r="P2104" t="str">
        <f>TEXT(financial_fraud_data[[#This Row],[Transaction_Date]],"MMM")</f>
        <v>Mar</v>
      </c>
      <c r="Q2104" t="str">
        <f>IF(financial_fraud_data[[#This Row],[Is_Fraud]]=1,"Yes","No")</f>
        <v>Yes</v>
      </c>
    </row>
    <row r="2105" spans="1:17" x14ac:dyDescent="0.2">
      <c r="A2105" t="s">
        <v>2630</v>
      </c>
      <c r="B2105" t="s">
        <v>31</v>
      </c>
      <c r="C2105" s="1">
        <v>45379.625</v>
      </c>
      <c r="D2105">
        <v>34810.160000000003</v>
      </c>
      <c r="E2105" t="s">
        <v>34</v>
      </c>
      <c r="F2105" t="s">
        <v>50</v>
      </c>
      <c r="G2105" t="s">
        <v>35</v>
      </c>
      <c r="H2105" t="s">
        <v>24</v>
      </c>
      <c r="I2105" t="s">
        <v>24</v>
      </c>
      <c r="J2105" t="s">
        <v>37</v>
      </c>
      <c r="K2105">
        <v>1</v>
      </c>
      <c r="L2105">
        <v>3</v>
      </c>
      <c r="M2105">
        <v>9.98</v>
      </c>
      <c r="N2105">
        <v>1</v>
      </c>
      <c r="O2105" t="str">
        <f>IF(financial_fraud_data[[#This Row],[Risk_Score]]&gt;8,"High",IF(financial_fraud_data[[#This Row],[Risk_Score]]&gt;5,"Med","Low"))</f>
        <v>High</v>
      </c>
      <c r="P2105" t="str">
        <f>TEXT(financial_fraud_data[[#This Row],[Transaction_Date]],"MMM")</f>
        <v>Mar</v>
      </c>
      <c r="Q2105" t="str">
        <f>IF(financial_fraud_data[[#This Row],[Is_Fraud]]=1,"Yes","No")</f>
        <v>Yes</v>
      </c>
    </row>
    <row r="2106" spans="1:17" x14ac:dyDescent="0.2">
      <c r="A2106" t="s">
        <v>2631</v>
      </c>
      <c r="B2106" t="s">
        <v>545</v>
      </c>
      <c r="C2106" s="1">
        <v>45379.666666666664</v>
      </c>
      <c r="D2106">
        <v>39673.4</v>
      </c>
      <c r="E2106" t="s">
        <v>80</v>
      </c>
      <c r="F2106" t="s">
        <v>27</v>
      </c>
      <c r="G2106" t="s">
        <v>35</v>
      </c>
      <c r="H2106" t="s">
        <v>19</v>
      </c>
      <c r="I2106" t="s">
        <v>19</v>
      </c>
      <c r="J2106" t="s">
        <v>37</v>
      </c>
      <c r="K2106">
        <v>0</v>
      </c>
      <c r="L2106">
        <v>0</v>
      </c>
      <c r="M2106">
        <v>3.97</v>
      </c>
      <c r="N2106">
        <v>0</v>
      </c>
      <c r="O2106" t="str">
        <f>IF(financial_fraud_data[[#This Row],[Risk_Score]]&gt;8,"High",IF(financial_fraud_data[[#This Row],[Risk_Score]]&gt;5,"Med","Low"))</f>
        <v>Low</v>
      </c>
      <c r="P2106" t="str">
        <f>TEXT(financial_fraud_data[[#This Row],[Transaction_Date]],"MMM")</f>
        <v>Mar</v>
      </c>
      <c r="Q2106" t="str">
        <f>IF(financial_fraud_data[[#This Row],[Is_Fraud]]=1,"Yes","No")</f>
        <v>No</v>
      </c>
    </row>
    <row r="2107" spans="1:17" x14ac:dyDescent="0.2">
      <c r="A2107" t="s">
        <v>2632</v>
      </c>
      <c r="B2107" t="s">
        <v>941</v>
      </c>
      <c r="C2107" s="1">
        <v>45379.708333333336</v>
      </c>
      <c r="D2107">
        <v>15872.25</v>
      </c>
      <c r="E2107" t="s">
        <v>80</v>
      </c>
      <c r="F2107" t="s">
        <v>50</v>
      </c>
      <c r="G2107" t="s">
        <v>28</v>
      </c>
      <c r="H2107" t="s">
        <v>23</v>
      </c>
      <c r="I2107" t="s">
        <v>36</v>
      </c>
      <c r="J2107" t="s">
        <v>51</v>
      </c>
      <c r="K2107">
        <v>1</v>
      </c>
      <c r="L2107">
        <v>2</v>
      </c>
      <c r="M2107">
        <v>7.59</v>
      </c>
      <c r="N2107">
        <v>1</v>
      </c>
      <c r="O2107" t="str">
        <f>IF(financial_fraud_data[[#This Row],[Risk_Score]]&gt;8,"High",IF(financial_fraud_data[[#This Row],[Risk_Score]]&gt;5,"Med","Low"))</f>
        <v>Med</v>
      </c>
      <c r="P2107" t="str">
        <f>TEXT(financial_fraud_data[[#This Row],[Transaction_Date]],"MMM")</f>
        <v>Mar</v>
      </c>
      <c r="Q2107" t="str">
        <f>IF(financial_fraud_data[[#This Row],[Is_Fraud]]=1,"Yes","No")</f>
        <v>Yes</v>
      </c>
    </row>
    <row r="2108" spans="1:17" x14ac:dyDescent="0.2">
      <c r="A2108" t="s">
        <v>2633</v>
      </c>
      <c r="B2108" t="s">
        <v>974</v>
      </c>
      <c r="C2108" s="1">
        <v>45379.75</v>
      </c>
      <c r="D2108">
        <v>42866.1</v>
      </c>
      <c r="E2108" t="s">
        <v>34</v>
      </c>
      <c r="F2108" t="s">
        <v>47</v>
      </c>
      <c r="G2108" t="s">
        <v>28</v>
      </c>
      <c r="H2108" t="s">
        <v>29</v>
      </c>
      <c r="I2108" t="s">
        <v>23</v>
      </c>
      <c r="J2108" t="s">
        <v>51</v>
      </c>
      <c r="K2108">
        <v>0</v>
      </c>
      <c r="L2108">
        <v>2</v>
      </c>
      <c r="M2108">
        <v>8.2899999999999991</v>
      </c>
      <c r="N2108">
        <v>1</v>
      </c>
      <c r="O2108" t="str">
        <f>IF(financial_fraud_data[[#This Row],[Risk_Score]]&gt;8,"High",IF(financial_fraud_data[[#This Row],[Risk_Score]]&gt;5,"Med","Low"))</f>
        <v>High</v>
      </c>
      <c r="P2108" t="str">
        <f>TEXT(financial_fraud_data[[#This Row],[Transaction_Date]],"MMM")</f>
        <v>Mar</v>
      </c>
      <c r="Q2108" t="str">
        <f>IF(financial_fraud_data[[#This Row],[Is_Fraud]]=1,"Yes","No")</f>
        <v>Yes</v>
      </c>
    </row>
    <row r="2109" spans="1:17" x14ac:dyDescent="0.2">
      <c r="A2109" t="s">
        <v>2634</v>
      </c>
      <c r="B2109" t="s">
        <v>1090</v>
      </c>
      <c r="C2109" s="1">
        <v>45379.791666666664</v>
      </c>
      <c r="D2109">
        <v>45311.86</v>
      </c>
      <c r="E2109" t="s">
        <v>34</v>
      </c>
      <c r="F2109" t="s">
        <v>47</v>
      </c>
      <c r="G2109" t="s">
        <v>28</v>
      </c>
      <c r="H2109" t="s">
        <v>24</v>
      </c>
      <c r="I2109" t="s">
        <v>24</v>
      </c>
      <c r="J2109" t="s">
        <v>37</v>
      </c>
      <c r="K2109">
        <v>0</v>
      </c>
      <c r="L2109">
        <v>1</v>
      </c>
      <c r="M2109">
        <v>6.03</v>
      </c>
      <c r="N2109">
        <v>1</v>
      </c>
      <c r="O2109" t="str">
        <f>IF(financial_fraud_data[[#This Row],[Risk_Score]]&gt;8,"High",IF(financial_fraud_data[[#This Row],[Risk_Score]]&gt;5,"Med","Low"))</f>
        <v>Med</v>
      </c>
      <c r="P2109" t="str">
        <f>TEXT(financial_fraud_data[[#This Row],[Transaction_Date]],"MMM")</f>
        <v>Mar</v>
      </c>
      <c r="Q2109" t="str">
        <f>IF(financial_fraud_data[[#This Row],[Is_Fraud]]=1,"Yes","No")</f>
        <v>Yes</v>
      </c>
    </row>
    <row r="2110" spans="1:17" x14ac:dyDescent="0.2">
      <c r="A2110" t="s">
        <v>2635</v>
      </c>
      <c r="B2110" t="s">
        <v>1843</v>
      </c>
      <c r="C2110" s="1">
        <v>45379.833333333336</v>
      </c>
      <c r="D2110">
        <v>13881.38</v>
      </c>
      <c r="E2110" t="s">
        <v>80</v>
      </c>
      <c r="F2110" t="s">
        <v>17</v>
      </c>
      <c r="G2110" t="s">
        <v>56</v>
      </c>
      <c r="H2110" t="s">
        <v>36</v>
      </c>
      <c r="I2110" t="s">
        <v>23</v>
      </c>
      <c r="J2110" t="s">
        <v>37</v>
      </c>
      <c r="K2110">
        <v>0</v>
      </c>
      <c r="L2110">
        <v>2</v>
      </c>
      <c r="M2110">
        <v>5.39</v>
      </c>
      <c r="N2110">
        <v>1</v>
      </c>
      <c r="O2110" t="str">
        <f>IF(financial_fraud_data[[#This Row],[Risk_Score]]&gt;8,"High",IF(financial_fraud_data[[#This Row],[Risk_Score]]&gt;5,"Med","Low"))</f>
        <v>Med</v>
      </c>
      <c r="P2110" t="str">
        <f>TEXT(financial_fraud_data[[#This Row],[Transaction_Date]],"MMM")</f>
        <v>Mar</v>
      </c>
      <c r="Q2110" t="str">
        <f>IF(financial_fraud_data[[#This Row],[Is_Fraud]]=1,"Yes","No")</f>
        <v>Yes</v>
      </c>
    </row>
    <row r="2111" spans="1:17" x14ac:dyDescent="0.2">
      <c r="A2111" t="s">
        <v>2636</v>
      </c>
      <c r="B2111" t="s">
        <v>510</v>
      </c>
      <c r="C2111" s="1">
        <v>45379.875</v>
      </c>
      <c r="D2111">
        <v>49176.9</v>
      </c>
      <c r="E2111" t="s">
        <v>34</v>
      </c>
      <c r="F2111" t="s">
        <v>47</v>
      </c>
      <c r="G2111" t="s">
        <v>65</v>
      </c>
      <c r="H2111" t="s">
        <v>24</v>
      </c>
      <c r="I2111" t="s">
        <v>23</v>
      </c>
      <c r="J2111" t="s">
        <v>37</v>
      </c>
      <c r="K2111">
        <v>0</v>
      </c>
      <c r="L2111">
        <v>3</v>
      </c>
      <c r="M2111">
        <v>10.42</v>
      </c>
      <c r="N2111">
        <v>1</v>
      </c>
      <c r="O2111" t="str">
        <f>IF(financial_fraud_data[[#This Row],[Risk_Score]]&gt;8,"High",IF(financial_fraud_data[[#This Row],[Risk_Score]]&gt;5,"Med","Low"))</f>
        <v>High</v>
      </c>
      <c r="P2111" t="str">
        <f>TEXT(financial_fraud_data[[#This Row],[Transaction_Date]],"MMM")</f>
        <v>Mar</v>
      </c>
      <c r="Q2111" t="str">
        <f>IF(financial_fraud_data[[#This Row],[Is_Fraud]]=1,"Yes","No")</f>
        <v>Yes</v>
      </c>
    </row>
    <row r="2112" spans="1:17" x14ac:dyDescent="0.2">
      <c r="A2112" t="s">
        <v>2637</v>
      </c>
      <c r="B2112" t="s">
        <v>411</v>
      </c>
      <c r="C2112" s="1">
        <v>45379.916666666664</v>
      </c>
      <c r="D2112">
        <v>7078.54</v>
      </c>
      <c r="E2112" t="s">
        <v>16</v>
      </c>
      <c r="F2112" t="s">
        <v>47</v>
      </c>
      <c r="G2112" t="s">
        <v>65</v>
      </c>
      <c r="H2112" t="s">
        <v>19</v>
      </c>
      <c r="I2112" t="s">
        <v>36</v>
      </c>
      <c r="J2112" t="s">
        <v>51</v>
      </c>
      <c r="K2112">
        <v>0</v>
      </c>
      <c r="L2112">
        <v>4</v>
      </c>
      <c r="M2112">
        <v>7.71</v>
      </c>
      <c r="N2112">
        <v>1</v>
      </c>
      <c r="O2112" t="str">
        <f>IF(financial_fraud_data[[#This Row],[Risk_Score]]&gt;8,"High",IF(financial_fraud_data[[#This Row],[Risk_Score]]&gt;5,"Med","Low"))</f>
        <v>Med</v>
      </c>
      <c r="P2112" t="str">
        <f>TEXT(financial_fraud_data[[#This Row],[Transaction_Date]],"MMM")</f>
        <v>Mar</v>
      </c>
      <c r="Q2112" t="str">
        <f>IF(financial_fraud_data[[#This Row],[Is_Fraud]]=1,"Yes","No")</f>
        <v>Yes</v>
      </c>
    </row>
    <row r="2113" spans="1:17" x14ac:dyDescent="0.2">
      <c r="A2113" t="s">
        <v>2638</v>
      </c>
      <c r="B2113" t="s">
        <v>284</v>
      </c>
      <c r="C2113" s="1">
        <v>45379.958333333336</v>
      </c>
      <c r="D2113">
        <v>10140.68</v>
      </c>
      <c r="E2113" t="s">
        <v>34</v>
      </c>
      <c r="F2113" t="s">
        <v>50</v>
      </c>
      <c r="G2113" t="s">
        <v>28</v>
      </c>
      <c r="H2113" t="s">
        <v>23</v>
      </c>
      <c r="I2113" t="s">
        <v>19</v>
      </c>
      <c r="J2113" t="s">
        <v>37</v>
      </c>
      <c r="K2113">
        <v>0</v>
      </c>
      <c r="L2113">
        <v>1</v>
      </c>
      <c r="M2113">
        <v>3.51</v>
      </c>
      <c r="N2113">
        <v>0</v>
      </c>
      <c r="O2113" t="str">
        <f>IF(financial_fraud_data[[#This Row],[Risk_Score]]&gt;8,"High",IF(financial_fraud_data[[#This Row],[Risk_Score]]&gt;5,"Med","Low"))</f>
        <v>Low</v>
      </c>
      <c r="P2113" t="str">
        <f>TEXT(financial_fraud_data[[#This Row],[Transaction_Date]],"MMM")</f>
        <v>Mar</v>
      </c>
      <c r="Q2113" t="str">
        <f>IF(financial_fraud_data[[#This Row],[Is_Fraud]]=1,"Yes","No")</f>
        <v>No</v>
      </c>
    </row>
    <row r="2114" spans="1:17" x14ac:dyDescent="0.2">
      <c r="A2114" t="s">
        <v>2639</v>
      </c>
      <c r="B2114" t="s">
        <v>872</v>
      </c>
      <c r="C2114" s="1">
        <v>45380</v>
      </c>
      <c r="D2114">
        <v>9252.0300000000007</v>
      </c>
      <c r="E2114" t="s">
        <v>34</v>
      </c>
      <c r="F2114" t="s">
        <v>47</v>
      </c>
      <c r="G2114" t="s">
        <v>35</v>
      </c>
      <c r="H2114" t="s">
        <v>19</v>
      </c>
      <c r="I2114" t="s">
        <v>23</v>
      </c>
      <c r="J2114" t="s">
        <v>37</v>
      </c>
      <c r="K2114">
        <v>0</v>
      </c>
      <c r="L2114">
        <v>4</v>
      </c>
      <c r="M2114">
        <v>7.93</v>
      </c>
      <c r="N2114">
        <v>1</v>
      </c>
      <c r="O2114" t="str">
        <f>IF(financial_fraud_data[[#This Row],[Risk_Score]]&gt;8,"High",IF(financial_fraud_data[[#This Row],[Risk_Score]]&gt;5,"Med","Low"))</f>
        <v>Med</v>
      </c>
      <c r="P2114" t="str">
        <f>TEXT(financial_fraud_data[[#This Row],[Transaction_Date]],"MMM")</f>
        <v>Mar</v>
      </c>
      <c r="Q2114" t="str">
        <f>IF(financial_fraud_data[[#This Row],[Is_Fraud]]=1,"Yes","No")</f>
        <v>Yes</v>
      </c>
    </row>
    <row r="2115" spans="1:17" x14ac:dyDescent="0.2">
      <c r="A2115" t="s">
        <v>2640</v>
      </c>
      <c r="B2115" t="s">
        <v>300</v>
      </c>
      <c r="C2115" s="1">
        <v>45380.041666666664</v>
      </c>
      <c r="D2115">
        <v>44704.79</v>
      </c>
      <c r="E2115" t="s">
        <v>34</v>
      </c>
      <c r="F2115" t="s">
        <v>47</v>
      </c>
      <c r="G2115" t="s">
        <v>18</v>
      </c>
      <c r="H2115" t="s">
        <v>36</v>
      </c>
      <c r="I2115" t="s">
        <v>29</v>
      </c>
      <c r="J2115" t="s">
        <v>37</v>
      </c>
      <c r="K2115">
        <v>0</v>
      </c>
      <c r="L2115">
        <v>4</v>
      </c>
      <c r="M2115">
        <v>11.47</v>
      </c>
      <c r="N2115">
        <v>1</v>
      </c>
      <c r="O2115" t="str">
        <f>IF(financial_fraud_data[[#This Row],[Risk_Score]]&gt;8,"High",IF(financial_fraud_data[[#This Row],[Risk_Score]]&gt;5,"Med","Low"))</f>
        <v>High</v>
      </c>
      <c r="P2115" t="str">
        <f>TEXT(financial_fraud_data[[#This Row],[Transaction_Date]],"MMM")</f>
        <v>Mar</v>
      </c>
      <c r="Q2115" t="str">
        <f>IF(financial_fraud_data[[#This Row],[Is_Fraud]]=1,"Yes","No")</f>
        <v>Yes</v>
      </c>
    </row>
    <row r="2116" spans="1:17" x14ac:dyDescent="0.2">
      <c r="A2116" t="s">
        <v>2641</v>
      </c>
      <c r="B2116" t="s">
        <v>2642</v>
      </c>
      <c r="C2116" s="1">
        <v>45380.083333333336</v>
      </c>
      <c r="D2116">
        <v>32731.91</v>
      </c>
      <c r="E2116" t="s">
        <v>80</v>
      </c>
      <c r="F2116" t="s">
        <v>27</v>
      </c>
      <c r="G2116" t="s">
        <v>28</v>
      </c>
      <c r="H2116" t="s">
        <v>36</v>
      </c>
      <c r="I2116" t="s">
        <v>36</v>
      </c>
      <c r="J2116" t="s">
        <v>51</v>
      </c>
      <c r="K2116">
        <v>1</v>
      </c>
      <c r="L2116">
        <v>3</v>
      </c>
      <c r="M2116">
        <v>9.77</v>
      </c>
      <c r="N2116">
        <v>1</v>
      </c>
      <c r="O2116" t="str">
        <f>IF(financial_fraud_data[[#This Row],[Risk_Score]]&gt;8,"High",IF(financial_fraud_data[[#This Row],[Risk_Score]]&gt;5,"Med","Low"))</f>
        <v>High</v>
      </c>
      <c r="P2116" t="str">
        <f>TEXT(financial_fraud_data[[#This Row],[Transaction_Date]],"MMM")</f>
        <v>Mar</v>
      </c>
      <c r="Q2116" t="str">
        <f>IF(financial_fraud_data[[#This Row],[Is_Fraud]]=1,"Yes","No")</f>
        <v>Yes</v>
      </c>
    </row>
    <row r="2117" spans="1:17" x14ac:dyDescent="0.2">
      <c r="A2117" t="s">
        <v>2643</v>
      </c>
      <c r="B2117" t="s">
        <v>284</v>
      </c>
      <c r="C2117" s="1">
        <v>45380.125</v>
      </c>
      <c r="D2117">
        <v>7647.61</v>
      </c>
      <c r="E2117" t="s">
        <v>16</v>
      </c>
      <c r="F2117" t="s">
        <v>47</v>
      </c>
      <c r="G2117" t="s">
        <v>35</v>
      </c>
      <c r="H2117" t="s">
        <v>36</v>
      </c>
      <c r="I2117" t="s">
        <v>29</v>
      </c>
      <c r="J2117" t="s">
        <v>20</v>
      </c>
      <c r="K2117">
        <v>0</v>
      </c>
      <c r="L2117">
        <v>0</v>
      </c>
      <c r="M2117">
        <v>1.76</v>
      </c>
      <c r="N2117">
        <v>0</v>
      </c>
      <c r="O2117" t="str">
        <f>IF(financial_fraud_data[[#This Row],[Risk_Score]]&gt;8,"High",IF(financial_fraud_data[[#This Row],[Risk_Score]]&gt;5,"Med","Low"))</f>
        <v>Low</v>
      </c>
      <c r="P2117" t="str">
        <f>TEXT(financial_fraud_data[[#This Row],[Transaction_Date]],"MMM")</f>
        <v>Mar</v>
      </c>
      <c r="Q2117" t="str">
        <f>IF(financial_fraud_data[[#This Row],[Is_Fraud]]=1,"Yes","No")</f>
        <v>No</v>
      </c>
    </row>
    <row r="2118" spans="1:17" x14ac:dyDescent="0.2">
      <c r="A2118" t="s">
        <v>2644</v>
      </c>
      <c r="B2118" t="s">
        <v>1625</v>
      </c>
      <c r="C2118" s="1">
        <v>45380.166666666664</v>
      </c>
      <c r="D2118">
        <v>22044.15</v>
      </c>
      <c r="E2118" t="s">
        <v>42</v>
      </c>
      <c r="F2118" t="s">
        <v>27</v>
      </c>
      <c r="G2118" t="s">
        <v>35</v>
      </c>
      <c r="H2118" t="s">
        <v>36</v>
      </c>
      <c r="I2118" t="s">
        <v>36</v>
      </c>
      <c r="J2118" t="s">
        <v>20</v>
      </c>
      <c r="K2118">
        <v>0</v>
      </c>
      <c r="L2118">
        <v>0</v>
      </c>
      <c r="M2118">
        <v>2.2000000000000002</v>
      </c>
      <c r="N2118">
        <v>0</v>
      </c>
      <c r="O2118" t="str">
        <f>IF(financial_fraud_data[[#This Row],[Risk_Score]]&gt;8,"High",IF(financial_fraud_data[[#This Row],[Risk_Score]]&gt;5,"Med","Low"))</f>
        <v>Low</v>
      </c>
      <c r="P2118" t="str">
        <f>TEXT(financial_fraud_data[[#This Row],[Transaction_Date]],"MMM")</f>
        <v>Mar</v>
      </c>
      <c r="Q2118" t="str">
        <f>IF(financial_fraud_data[[#This Row],[Is_Fraud]]=1,"Yes","No")</f>
        <v>No</v>
      </c>
    </row>
    <row r="2119" spans="1:17" x14ac:dyDescent="0.2">
      <c r="A2119" t="s">
        <v>2645</v>
      </c>
      <c r="B2119" t="s">
        <v>720</v>
      </c>
      <c r="C2119" s="1">
        <v>45380.208333333336</v>
      </c>
      <c r="D2119">
        <v>30784.14</v>
      </c>
      <c r="E2119" t="s">
        <v>42</v>
      </c>
      <c r="F2119" t="s">
        <v>47</v>
      </c>
      <c r="G2119" t="s">
        <v>56</v>
      </c>
      <c r="H2119" t="s">
        <v>24</v>
      </c>
      <c r="I2119" t="s">
        <v>29</v>
      </c>
      <c r="J2119" t="s">
        <v>51</v>
      </c>
      <c r="K2119">
        <v>0</v>
      </c>
      <c r="L2119">
        <v>0</v>
      </c>
      <c r="M2119">
        <v>4.08</v>
      </c>
      <c r="N2119">
        <v>0</v>
      </c>
      <c r="O2119" t="str">
        <f>IF(financial_fraud_data[[#This Row],[Risk_Score]]&gt;8,"High",IF(financial_fraud_data[[#This Row],[Risk_Score]]&gt;5,"Med","Low"))</f>
        <v>Low</v>
      </c>
      <c r="P2119" t="str">
        <f>TEXT(financial_fraud_data[[#This Row],[Transaction_Date]],"MMM")</f>
        <v>Mar</v>
      </c>
      <c r="Q2119" t="str">
        <f>IF(financial_fraud_data[[#This Row],[Is_Fraud]]=1,"Yes","No")</f>
        <v>No</v>
      </c>
    </row>
    <row r="2120" spans="1:17" x14ac:dyDescent="0.2">
      <c r="A2120" t="s">
        <v>2646</v>
      </c>
      <c r="B2120" t="s">
        <v>1047</v>
      </c>
      <c r="C2120" s="1">
        <v>45380.25</v>
      </c>
      <c r="D2120">
        <v>4219.03</v>
      </c>
      <c r="E2120" t="s">
        <v>16</v>
      </c>
      <c r="F2120" t="s">
        <v>47</v>
      </c>
      <c r="G2120" t="s">
        <v>56</v>
      </c>
      <c r="H2120" t="s">
        <v>36</v>
      </c>
      <c r="I2120" t="s">
        <v>29</v>
      </c>
      <c r="J2120" t="s">
        <v>20</v>
      </c>
      <c r="K2120">
        <v>0</v>
      </c>
      <c r="L2120">
        <v>2</v>
      </c>
      <c r="M2120">
        <v>4.42</v>
      </c>
      <c r="N2120">
        <v>0</v>
      </c>
      <c r="O2120" t="str">
        <f>IF(financial_fraud_data[[#This Row],[Risk_Score]]&gt;8,"High",IF(financial_fraud_data[[#This Row],[Risk_Score]]&gt;5,"Med","Low"))</f>
        <v>Low</v>
      </c>
      <c r="P2120" t="str">
        <f>TEXT(financial_fraud_data[[#This Row],[Transaction_Date]],"MMM")</f>
        <v>Mar</v>
      </c>
      <c r="Q2120" t="str">
        <f>IF(financial_fraud_data[[#This Row],[Is_Fraud]]=1,"Yes","No")</f>
        <v>No</v>
      </c>
    </row>
    <row r="2121" spans="1:17" x14ac:dyDescent="0.2">
      <c r="A2121" t="s">
        <v>2647</v>
      </c>
      <c r="B2121" t="s">
        <v>738</v>
      </c>
      <c r="C2121" s="1">
        <v>45380.291666666664</v>
      </c>
      <c r="D2121">
        <v>44126.7</v>
      </c>
      <c r="E2121" t="s">
        <v>16</v>
      </c>
      <c r="F2121" t="s">
        <v>17</v>
      </c>
      <c r="G2121" t="s">
        <v>65</v>
      </c>
      <c r="H2121" t="s">
        <v>36</v>
      </c>
      <c r="I2121" t="s">
        <v>23</v>
      </c>
      <c r="J2121" t="s">
        <v>37</v>
      </c>
      <c r="K2121">
        <v>0</v>
      </c>
      <c r="L2121">
        <v>0</v>
      </c>
      <c r="M2121">
        <v>5.41</v>
      </c>
      <c r="N2121">
        <v>1</v>
      </c>
      <c r="O2121" t="str">
        <f>IF(financial_fraud_data[[#This Row],[Risk_Score]]&gt;8,"High",IF(financial_fraud_data[[#This Row],[Risk_Score]]&gt;5,"Med","Low"))</f>
        <v>Med</v>
      </c>
      <c r="P2121" t="str">
        <f>TEXT(financial_fraud_data[[#This Row],[Transaction_Date]],"MMM")</f>
        <v>Mar</v>
      </c>
      <c r="Q2121" t="str">
        <f>IF(financial_fraud_data[[#This Row],[Is_Fraud]]=1,"Yes","No")</f>
        <v>Yes</v>
      </c>
    </row>
    <row r="2122" spans="1:17" x14ac:dyDescent="0.2">
      <c r="A2122" t="s">
        <v>2648</v>
      </c>
      <c r="B2122" t="s">
        <v>174</v>
      </c>
      <c r="C2122" s="1">
        <v>45380.333333333336</v>
      </c>
      <c r="D2122">
        <v>40190</v>
      </c>
      <c r="E2122" t="s">
        <v>16</v>
      </c>
      <c r="F2122" t="s">
        <v>17</v>
      </c>
      <c r="G2122" t="s">
        <v>65</v>
      </c>
      <c r="H2122" t="s">
        <v>24</v>
      </c>
      <c r="I2122" t="s">
        <v>23</v>
      </c>
      <c r="J2122" t="s">
        <v>37</v>
      </c>
      <c r="K2122">
        <v>0</v>
      </c>
      <c r="L2122">
        <v>3</v>
      </c>
      <c r="M2122">
        <v>9.52</v>
      </c>
      <c r="N2122">
        <v>1</v>
      </c>
      <c r="O2122" t="str">
        <f>IF(financial_fraud_data[[#This Row],[Risk_Score]]&gt;8,"High",IF(financial_fraud_data[[#This Row],[Risk_Score]]&gt;5,"Med","Low"))</f>
        <v>High</v>
      </c>
      <c r="P2122" t="str">
        <f>TEXT(financial_fraud_data[[#This Row],[Transaction_Date]],"MMM")</f>
        <v>Mar</v>
      </c>
      <c r="Q2122" t="str">
        <f>IF(financial_fraud_data[[#This Row],[Is_Fraud]]=1,"Yes","No")</f>
        <v>Yes</v>
      </c>
    </row>
    <row r="2123" spans="1:17" x14ac:dyDescent="0.2">
      <c r="A2123" t="s">
        <v>2649</v>
      </c>
      <c r="B2123" t="s">
        <v>601</v>
      </c>
      <c r="C2123" s="1">
        <v>45380.375</v>
      </c>
      <c r="D2123">
        <v>25285.08</v>
      </c>
      <c r="E2123" t="s">
        <v>80</v>
      </c>
      <c r="F2123" t="s">
        <v>27</v>
      </c>
      <c r="G2123" t="s">
        <v>18</v>
      </c>
      <c r="H2123" t="s">
        <v>36</v>
      </c>
      <c r="I2123" t="s">
        <v>36</v>
      </c>
      <c r="J2123" t="s">
        <v>51</v>
      </c>
      <c r="K2123">
        <v>0</v>
      </c>
      <c r="L2123">
        <v>2</v>
      </c>
      <c r="M2123">
        <v>5.53</v>
      </c>
      <c r="N2123">
        <v>1</v>
      </c>
      <c r="O2123" t="str">
        <f>IF(financial_fraud_data[[#This Row],[Risk_Score]]&gt;8,"High",IF(financial_fraud_data[[#This Row],[Risk_Score]]&gt;5,"Med","Low"))</f>
        <v>Med</v>
      </c>
      <c r="P2123" t="str">
        <f>TEXT(financial_fraud_data[[#This Row],[Transaction_Date]],"MMM")</f>
        <v>Mar</v>
      </c>
      <c r="Q2123" t="str">
        <f>IF(financial_fraud_data[[#This Row],[Is_Fraud]]=1,"Yes","No")</f>
        <v>Yes</v>
      </c>
    </row>
    <row r="2124" spans="1:17" x14ac:dyDescent="0.2">
      <c r="A2124" t="s">
        <v>2650</v>
      </c>
      <c r="B2124" t="s">
        <v>104</v>
      </c>
      <c r="C2124" s="1">
        <v>45380.416666666664</v>
      </c>
      <c r="D2124">
        <v>48357.97</v>
      </c>
      <c r="E2124" t="s">
        <v>42</v>
      </c>
      <c r="F2124" t="s">
        <v>47</v>
      </c>
      <c r="G2124" t="s">
        <v>18</v>
      </c>
      <c r="H2124" t="s">
        <v>19</v>
      </c>
      <c r="I2124" t="s">
        <v>19</v>
      </c>
      <c r="J2124" t="s">
        <v>51</v>
      </c>
      <c r="K2124">
        <v>0</v>
      </c>
      <c r="L2124">
        <v>0</v>
      </c>
      <c r="M2124">
        <v>4.84</v>
      </c>
      <c r="N2124">
        <v>0</v>
      </c>
      <c r="O2124" t="str">
        <f>IF(financial_fraud_data[[#This Row],[Risk_Score]]&gt;8,"High",IF(financial_fraud_data[[#This Row],[Risk_Score]]&gt;5,"Med","Low"))</f>
        <v>Low</v>
      </c>
      <c r="P2124" t="str">
        <f>TEXT(financial_fraud_data[[#This Row],[Transaction_Date]],"MMM")</f>
        <v>Mar</v>
      </c>
      <c r="Q2124" t="str">
        <f>IF(financial_fraud_data[[#This Row],[Is_Fraud]]=1,"Yes","No")</f>
        <v>No</v>
      </c>
    </row>
    <row r="2125" spans="1:17" x14ac:dyDescent="0.2">
      <c r="A2125" t="s">
        <v>2651</v>
      </c>
      <c r="B2125" t="s">
        <v>896</v>
      </c>
      <c r="C2125" s="1">
        <v>45380.458333333336</v>
      </c>
      <c r="D2125">
        <v>20917.16</v>
      </c>
      <c r="E2125" t="s">
        <v>16</v>
      </c>
      <c r="F2125" t="s">
        <v>50</v>
      </c>
      <c r="G2125" t="s">
        <v>18</v>
      </c>
      <c r="H2125" t="s">
        <v>19</v>
      </c>
      <c r="I2125" t="s">
        <v>23</v>
      </c>
      <c r="J2125" t="s">
        <v>20</v>
      </c>
      <c r="K2125">
        <v>0</v>
      </c>
      <c r="L2125">
        <v>4</v>
      </c>
      <c r="M2125">
        <v>9.09</v>
      </c>
      <c r="N2125">
        <v>1</v>
      </c>
      <c r="O2125" t="str">
        <f>IF(financial_fraud_data[[#This Row],[Risk_Score]]&gt;8,"High",IF(financial_fraud_data[[#This Row],[Risk_Score]]&gt;5,"Med","Low"))</f>
        <v>High</v>
      </c>
      <c r="P2125" t="str">
        <f>TEXT(financial_fraud_data[[#This Row],[Transaction_Date]],"MMM")</f>
        <v>Mar</v>
      </c>
      <c r="Q2125" t="str">
        <f>IF(financial_fraud_data[[#This Row],[Is_Fraud]]=1,"Yes","No")</f>
        <v>Yes</v>
      </c>
    </row>
    <row r="2126" spans="1:17" x14ac:dyDescent="0.2">
      <c r="A2126" t="s">
        <v>2652</v>
      </c>
      <c r="B2126" t="s">
        <v>1446</v>
      </c>
      <c r="C2126" s="1">
        <v>45380.5</v>
      </c>
      <c r="D2126">
        <v>49206.31</v>
      </c>
      <c r="E2126" t="s">
        <v>80</v>
      </c>
      <c r="F2126" t="s">
        <v>17</v>
      </c>
      <c r="G2126" t="s">
        <v>18</v>
      </c>
      <c r="H2126" t="s">
        <v>29</v>
      </c>
      <c r="I2126" t="s">
        <v>23</v>
      </c>
      <c r="J2126" t="s">
        <v>20</v>
      </c>
      <c r="K2126">
        <v>0</v>
      </c>
      <c r="L2126">
        <v>3</v>
      </c>
      <c r="M2126">
        <v>10.42</v>
      </c>
      <c r="N2126">
        <v>1</v>
      </c>
      <c r="O2126" t="str">
        <f>IF(financial_fraud_data[[#This Row],[Risk_Score]]&gt;8,"High",IF(financial_fraud_data[[#This Row],[Risk_Score]]&gt;5,"Med","Low"))</f>
        <v>High</v>
      </c>
      <c r="P2126" t="str">
        <f>TEXT(financial_fraud_data[[#This Row],[Transaction_Date]],"MMM")</f>
        <v>Mar</v>
      </c>
      <c r="Q2126" t="str">
        <f>IF(financial_fraud_data[[#This Row],[Is_Fraud]]=1,"Yes","No")</f>
        <v>Yes</v>
      </c>
    </row>
    <row r="2127" spans="1:17" x14ac:dyDescent="0.2">
      <c r="A2127" t="s">
        <v>2653</v>
      </c>
      <c r="B2127" t="s">
        <v>1530</v>
      </c>
      <c r="C2127" s="1">
        <v>45380.541666666664</v>
      </c>
      <c r="D2127">
        <v>33412.6</v>
      </c>
      <c r="E2127" t="s">
        <v>42</v>
      </c>
      <c r="F2127" t="s">
        <v>50</v>
      </c>
      <c r="G2127" t="s">
        <v>35</v>
      </c>
      <c r="H2127" t="s">
        <v>19</v>
      </c>
      <c r="I2127" t="s">
        <v>24</v>
      </c>
      <c r="J2127" t="s">
        <v>37</v>
      </c>
      <c r="K2127">
        <v>0</v>
      </c>
      <c r="L2127">
        <v>3</v>
      </c>
      <c r="M2127">
        <v>8.84</v>
      </c>
      <c r="N2127">
        <v>1</v>
      </c>
      <c r="O2127" t="str">
        <f>IF(financial_fraud_data[[#This Row],[Risk_Score]]&gt;8,"High",IF(financial_fraud_data[[#This Row],[Risk_Score]]&gt;5,"Med","Low"))</f>
        <v>High</v>
      </c>
      <c r="P2127" t="str">
        <f>TEXT(financial_fraud_data[[#This Row],[Transaction_Date]],"MMM")</f>
        <v>Mar</v>
      </c>
      <c r="Q2127" t="str">
        <f>IF(financial_fraud_data[[#This Row],[Is_Fraud]]=1,"Yes","No")</f>
        <v>Yes</v>
      </c>
    </row>
    <row r="2128" spans="1:17" x14ac:dyDescent="0.2">
      <c r="A2128" t="s">
        <v>2654</v>
      </c>
      <c r="B2128" t="s">
        <v>885</v>
      </c>
      <c r="C2128" s="1">
        <v>45380.583333333336</v>
      </c>
      <c r="D2128">
        <v>31751.83</v>
      </c>
      <c r="E2128" t="s">
        <v>34</v>
      </c>
      <c r="F2128" t="s">
        <v>17</v>
      </c>
      <c r="G2128" t="s">
        <v>35</v>
      </c>
      <c r="H2128" t="s">
        <v>23</v>
      </c>
      <c r="I2128" t="s">
        <v>23</v>
      </c>
      <c r="J2128" t="s">
        <v>51</v>
      </c>
      <c r="K2128">
        <v>1</v>
      </c>
      <c r="L2128">
        <v>1</v>
      </c>
      <c r="M2128">
        <v>6.68</v>
      </c>
      <c r="N2128">
        <v>1</v>
      </c>
      <c r="O2128" t="str">
        <f>IF(financial_fraud_data[[#This Row],[Risk_Score]]&gt;8,"High",IF(financial_fraud_data[[#This Row],[Risk_Score]]&gt;5,"Med","Low"))</f>
        <v>Med</v>
      </c>
      <c r="P2128" t="str">
        <f>TEXT(financial_fraud_data[[#This Row],[Transaction_Date]],"MMM")</f>
        <v>Mar</v>
      </c>
      <c r="Q2128" t="str">
        <f>IF(financial_fraud_data[[#This Row],[Is_Fraud]]=1,"Yes","No")</f>
        <v>Yes</v>
      </c>
    </row>
    <row r="2129" spans="1:17" x14ac:dyDescent="0.2">
      <c r="A2129" t="s">
        <v>2655</v>
      </c>
      <c r="B2129" t="s">
        <v>855</v>
      </c>
      <c r="C2129" s="1">
        <v>45380.625</v>
      </c>
      <c r="D2129">
        <v>8339.4500000000007</v>
      </c>
      <c r="E2129" t="s">
        <v>80</v>
      </c>
      <c r="F2129" t="s">
        <v>17</v>
      </c>
      <c r="G2129" t="s">
        <v>65</v>
      </c>
      <c r="H2129" t="s">
        <v>23</v>
      </c>
      <c r="I2129" t="s">
        <v>19</v>
      </c>
      <c r="J2129" t="s">
        <v>20</v>
      </c>
      <c r="K2129">
        <v>0</v>
      </c>
      <c r="L2129">
        <v>3</v>
      </c>
      <c r="M2129">
        <v>6.33</v>
      </c>
      <c r="N2129">
        <v>1</v>
      </c>
      <c r="O2129" t="str">
        <f>IF(financial_fraud_data[[#This Row],[Risk_Score]]&gt;8,"High",IF(financial_fraud_data[[#This Row],[Risk_Score]]&gt;5,"Med","Low"))</f>
        <v>Med</v>
      </c>
      <c r="P2129" t="str">
        <f>TEXT(financial_fraud_data[[#This Row],[Transaction_Date]],"MMM")</f>
        <v>Mar</v>
      </c>
      <c r="Q2129" t="str">
        <f>IF(financial_fraud_data[[#This Row],[Is_Fraud]]=1,"Yes","No")</f>
        <v>Yes</v>
      </c>
    </row>
    <row r="2130" spans="1:17" x14ac:dyDescent="0.2">
      <c r="A2130" t="s">
        <v>2656</v>
      </c>
      <c r="B2130" t="s">
        <v>1726</v>
      </c>
      <c r="C2130" s="1">
        <v>45380.666666666664</v>
      </c>
      <c r="D2130">
        <v>44102.29</v>
      </c>
      <c r="E2130" t="s">
        <v>42</v>
      </c>
      <c r="F2130" t="s">
        <v>47</v>
      </c>
      <c r="G2130" t="s">
        <v>56</v>
      </c>
      <c r="H2130" t="s">
        <v>23</v>
      </c>
      <c r="I2130" t="s">
        <v>24</v>
      </c>
      <c r="J2130" t="s">
        <v>20</v>
      </c>
      <c r="K2130">
        <v>0</v>
      </c>
      <c r="L2130">
        <v>4</v>
      </c>
      <c r="M2130">
        <v>11.41</v>
      </c>
      <c r="N2130">
        <v>1</v>
      </c>
      <c r="O2130" t="str">
        <f>IF(financial_fraud_data[[#This Row],[Risk_Score]]&gt;8,"High",IF(financial_fraud_data[[#This Row],[Risk_Score]]&gt;5,"Med","Low"))</f>
        <v>High</v>
      </c>
      <c r="P2130" t="str">
        <f>TEXT(financial_fraud_data[[#This Row],[Transaction_Date]],"MMM")</f>
        <v>Mar</v>
      </c>
      <c r="Q2130" t="str">
        <f>IF(financial_fraud_data[[#This Row],[Is_Fraud]]=1,"Yes","No")</f>
        <v>Yes</v>
      </c>
    </row>
    <row r="2131" spans="1:17" x14ac:dyDescent="0.2">
      <c r="A2131" t="s">
        <v>2657</v>
      </c>
      <c r="B2131" t="s">
        <v>291</v>
      </c>
      <c r="C2131" s="1">
        <v>45380.708333333336</v>
      </c>
      <c r="D2131">
        <v>21403.11</v>
      </c>
      <c r="E2131" t="s">
        <v>80</v>
      </c>
      <c r="F2131" t="s">
        <v>17</v>
      </c>
      <c r="G2131" t="s">
        <v>56</v>
      </c>
      <c r="H2131" t="s">
        <v>24</v>
      </c>
      <c r="I2131" t="s">
        <v>29</v>
      </c>
      <c r="J2131" t="s">
        <v>37</v>
      </c>
      <c r="K2131">
        <v>1</v>
      </c>
      <c r="L2131">
        <v>3</v>
      </c>
      <c r="M2131">
        <v>9.64</v>
      </c>
      <c r="N2131">
        <v>1</v>
      </c>
      <c r="O2131" t="str">
        <f>IF(financial_fraud_data[[#This Row],[Risk_Score]]&gt;8,"High",IF(financial_fraud_data[[#This Row],[Risk_Score]]&gt;5,"Med","Low"))</f>
        <v>High</v>
      </c>
      <c r="P2131" t="str">
        <f>TEXT(financial_fraud_data[[#This Row],[Transaction_Date]],"MMM")</f>
        <v>Mar</v>
      </c>
      <c r="Q2131" t="str">
        <f>IF(financial_fraud_data[[#This Row],[Is_Fraud]]=1,"Yes","No")</f>
        <v>Yes</v>
      </c>
    </row>
    <row r="2132" spans="1:17" x14ac:dyDescent="0.2">
      <c r="A2132" t="s">
        <v>2658</v>
      </c>
      <c r="B2132" t="s">
        <v>315</v>
      </c>
      <c r="C2132" s="1">
        <v>45380.75</v>
      </c>
      <c r="D2132">
        <v>8153.56</v>
      </c>
      <c r="E2132" t="s">
        <v>42</v>
      </c>
      <c r="F2132" t="s">
        <v>50</v>
      </c>
      <c r="G2132" t="s">
        <v>28</v>
      </c>
      <c r="H2132" t="s">
        <v>19</v>
      </c>
      <c r="I2132" t="s">
        <v>29</v>
      </c>
      <c r="J2132" t="s">
        <v>37</v>
      </c>
      <c r="K2132">
        <v>0</v>
      </c>
      <c r="L2132">
        <v>1</v>
      </c>
      <c r="M2132">
        <v>3.32</v>
      </c>
      <c r="N2132">
        <v>0</v>
      </c>
      <c r="O2132" t="str">
        <f>IF(financial_fraud_data[[#This Row],[Risk_Score]]&gt;8,"High",IF(financial_fraud_data[[#This Row],[Risk_Score]]&gt;5,"Med","Low"))</f>
        <v>Low</v>
      </c>
      <c r="P2132" t="str">
        <f>TEXT(financial_fraud_data[[#This Row],[Transaction_Date]],"MMM")</f>
        <v>Mar</v>
      </c>
      <c r="Q2132" t="str">
        <f>IF(financial_fraud_data[[#This Row],[Is_Fraud]]=1,"Yes","No")</f>
        <v>No</v>
      </c>
    </row>
    <row r="2133" spans="1:17" x14ac:dyDescent="0.2">
      <c r="A2133" t="s">
        <v>2659</v>
      </c>
      <c r="B2133" t="s">
        <v>446</v>
      </c>
      <c r="C2133" s="1">
        <v>45380.791666666664</v>
      </c>
      <c r="D2133">
        <v>679.75</v>
      </c>
      <c r="E2133" t="s">
        <v>42</v>
      </c>
      <c r="F2133" t="s">
        <v>17</v>
      </c>
      <c r="G2133" t="s">
        <v>35</v>
      </c>
      <c r="H2133" t="s">
        <v>23</v>
      </c>
      <c r="I2133" t="s">
        <v>24</v>
      </c>
      <c r="J2133" t="s">
        <v>37</v>
      </c>
      <c r="K2133">
        <v>0</v>
      </c>
      <c r="L2133">
        <v>3</v>
      </c>
      <c r="M2133">
        <v>5.57</v>
      </c>
      <c r="N2133">
        <v>1</v>
      </c>
      <c r="O2133" t="str">
        <f>IF(financial_fraud_data[[#This Row],[Risk_Score]]&gt;8,"High",IF(financial_fraud_data[[#This Row],[Risk_Score]]&gt;5,"Med","Low"))</f>
        <v>Med</v>
      </c>
      <c r="P2133" t="str">
        <f>TEXT(financial_fraud_data[[#This Row],[Transaction_Date]],"MMM")</f>
        <v>Mar</v>
      </c>
      <c r="Q2133" t="str">
        <f>IF(financial_fraud_data[[#This Row],[Is_Fraud]]=1,"Yes","No")</f>
        <v>Yes</v>
      </c>
    </row>
    <row r="2134" spans="1:17" x14ac:dyDescent="0.2">
      <c r="A2134" t="s">
        <v>2660</v>
      </c>
      <c r="B2134" t="s">
        <v>683</v>
      </c>
      <c r="C2134" s="1">
        <v>45380.833333333336</v>
      </c>
      <c r="D2134">
        <v>28009.8</v>
      </c>
      <c r="E2134" t="s">
        <v>34</v>
      </c>
      <c r="F2134" t="s">
        <v>27</v>
      </c>
      <c r="G2134" t="s">
        <v>18</v>
      </c>
      <c r="H2134" t="s">
        <v>29</v>
      </c>
      <c r="I2134" t="s">
        <v>24</v>
      </c>
      <c r="J2134" t="s">
        <v>37</v>
      </c>
      <c r="K2134">
        <v>1</v>
      </c>
      <c r="L2134">
        <v>3</v>
      </c>
      <c r="M2134">
        <v>10.3</v>
      </c>
      <c r="N2134">
        <v>1</v>
      </c>
      <c r="O2134" t="str">
        <f>IF(financial_fraud_data[[#This Row],[Risk_Score]]&gt;8,"High",IF(financial_fraud_data[[#This Row],[Risk_Score]]&gt;5,"Med","Low"))</f>
        <v>High</v>
      </c>
      <c r="P2134" t="str">
        <f>TEXT(financial_fraud_data[[#This Row],[Transaction_Date]],"MMM")</f>
        <v>Mar</v>
      </c>
      <c r="Q2134" t="str">
        <f>IF(financial_fraud_data[[#This Row],[Is_Fraud]]=1,"Yes","No")</f>
        <v>Yes</v>
      </c>
    </row>
    <row r="2135" spans="1:17" x14ac:dyDescent="0.2">
      <c r="A2135" t="s">
        <v>2661</v>
      </c>
      <c r="B2135" t="s">
        <v>1544</v>
      </c>
      <c r="C2135" s="1">
        <v>45380.875</v>
      </c>
      <c r="D2135">
        <v>26393.61</v>
      </c>
      <c r="E2135" t="s">
        <v>80</v>
      </c>
      <c r="F2135" t="s">
        <v>47</v>
      </c>
      <c r="G2135" t="s">
        <v>18</v>
      </c>
      <c r="H2135" t="s">
        <v>24</v>
      </c>
      <c r="I2135" t="s">
        <v>24</v>
      </c>
      <c r="J2135" t="s">
        <v>20</v>
      </c>
      <c r="K2135">
        <v>0</v>
      </c>
      <c r="L2135">
        <v>1</v>
      </c>
      <c r="M2135">
        <v>4.1399999999999997</v>
      </c>
      <c r="N2135">
        <v>0</v>
      </c>
      <c r="O2135" t="str">
        <f>IF(financial_fraud_data[[#This Row],[Risk_Score]]&gt;8,"High",IF(financial_fraud_data[[#This Row],[Risk_Score]]&gt;5,"Med","Low"))</f>
        <v>Low</v>
      </c>
      <c r="P2135" t="str">
        <f>TEXT(financial_fraud_data[[#This Row],[Transaction_Date]],"MMM")</f>
        <v>Mar</v>
      </c>
      <c r="Q2135" t="str">
        <f>IF(financial_fraud_data[[#This Row],[Is_Fraud]]=1,"Yes","No")</f>
        <v>No</v>
      </c>
    </row>
    <row r="2136" spans="1:17" x14ac:dyDescent="0.2">
      <c r="A2136" t="s">
        <v>2662</v>
      </c>
      <c r="B2136" t="s">
        <v>1443</v>
      </c>
      <c r="C2136" s="1">
        <v>45380.916666666664</v>
      </c>
      <c r="D2136">
        <v>35981.71</v>
      </c>
      <c r="E2136" t="s">
        <v>16</v>
      </c>
      <c r="F2136" t="s">
        <v>47</v>
      </c>
      <c r="G2136" t="s">
        <v>28</v>
      </c>
      <c r="H2136" t="s">
        <v>29</v>
      </c>
      <c r="I2136" t="s">
        <v>36</v>
      </c>
      <c r="J2136" t="s">
        <v>51</v>
      </c>
      <c r="K2136">
        <v>0</v>
      </c>
      <c r="L2136">
        <v>3</v>
      </c>
      <c r="M2136">
        <v>9.1</v>
      </c>
      <c r="N2136">
        <v>1</v>
      </c>
      <c r="O2136" t="str">
        <f>IF(financial_fraud_data[[#This Row],[Risk_Score]]&gt;8,"High",IF(financial_fraud_data[[#This Row],[Risk_Score]]&gt;5,"Med","Low"))</f>
        <v>High</v>
      </c>
      <c r="P2136" t="str">
        <f>TEXT(financial_fraud_data[[#This Row],[Transaction_Date]],"MMM")</f>
        <v>Mar</v>
      </c>
      <c r="Q2136" t="str">
        <f>IF(financial_fraud_data[[#This Row],[Is_Fraud]]=1,"Yes","No")</f>
        <v>Yes</v>
      </c>
    </row>
    <row r="2137" spans="1:17" x14ac:dyDescent="0.2">
      <c r="A2137" t="s">
        <v>2663</v>
      </c>
      <c r="B2137" t="s">
        <v>545</v>
      </c>
      <c r="C2137" s="1">
        <v>45380.958333333336</v>
      </c>
      <c r="D2137">
        <v>44518.39</v>
      </c>
      <c r="E2137" t="s">
        <v>34</v>
      </c>
      <c r="F2137" t="s">
        <v>27</v>
      </c>
      <c r="G2137" t="s">
        <v>56</v>
      </c>
      <c r="H2137" t="s">
        <v>19</v>
      </c>
      <c r="I2137" t="s">
        <v>19</v>
      </c>
      <c r="J2137" t="s">
        <v>51</v>
      </c>
      <c r="K2137">
        <v>1</v>
      </c>
      <c r="L2137">
        <v>2</v>
      </c>
      <c r="M2137">
        <v>9.4499999999999993</v>
      </c>
      <c r="N2137">
        <v>1</v>
      </c>
      <c r="O2137" t="str">
        <f>IF(financial_fraud_data[[#This Row],[Risk_Score]]&gt;8,"High",IF(financial_fraud_data[[#This Row],[Risk_Score]]&gt;5,"Med","Low"))</f>
        <v>High</v>
      </c>
      <c r="P2137" t="str">
        <f>TEXT(financial_fraud_data[[#This Row],[Transaction_Date]],"MMM")</f>
        <v>Mar</v>
      </c>
      <c r="Q2137" t="str">
        <f>IF(financial_fraud_data[[#This Row],[Is_Fraud]]=1,"Yes","No")</f>
        <v>Yes</v>
      </c>
    </row>
    <row r="2138" spans="1:17" x14ac:dyDescent="0.2">
      <c r="A2138" t="s">
        <v>2664</v>
      </c>
      <c r="B2138" t="s">
        <v>543</v>
      </c>
      <c r="C2138" s="1">
        <v>45381</v>
      </c>
      <c r="D2138">
        <v>4016.36</v>
      </c>
      <c r="E2138" t="s">
        <v>34</v>
      </c>
      <c r="F2138" t="s">
        <v>27</v>
      </c>
      <c r="G2138" t="s">
        <v>18</v>
      </c>
      <c r="H2138" t="s">
        <v>36</v>
      </c>
      <c r="I2138" t="s">
        <v>19</v>
      </c>
      <c r="J2138" t="s">
        <v>37</v>
      </c>
      <c r="K2138">
        <v>1</v>
      </c>
      <c r="L2138">
        <v>3</v>
      </c>
      <c r="M2138">
        <v>7.9</v>
      </c>
      <c r="N2138">
        <v>1</v>
      </c>
      <c r="O2138" t="str">
        <f>IF(financial_fraud_data[[#This Row],[Risk_Score]]&gt;8,"High",IF(financial_fraud_data[[#This Row],[Risk_Score]]&gt;5,"Med","Low"))</f>
        <v>Med</v>
      </c>
      <c r="P2138" t="str">
        <f>TEXT(financial_fraud_data[[#This Row],[Transaction_Date]],"MMM")</f>
        <v>Mar</v>
      </c>
      <c r="Q2138" t="str">
        <f>IF(financial_fraud_data[[#This Row],[Is_Fraud]]=1,"Yes","No")</f>
        <v>Yes</v>
      </c>
    </row>
    <row r="2139" spans="1:17" x14ac:dyDescent="0.2">
      <c r="A2139" t="s">
        <v>2665</v>
      </c>
      <c r="B2139" t="s">
        <v>203</v>
      </c>
      <c r="C2139" s="1">
        <v>45381.041666666664</v>
      </c>
      <c r="D2139">
        <v>36588.25</v>
      </c>
      <c r="E2139" t="s">
        <v>42</v>
      </c>
      <c r="F2139" t="s">
        <v>27</v>
      </c>
      <c r="G2139" t="s">
        <v>56</v>
      </c>
      <c r="H2139" t="s">
        <v>29</v>
      </c>
      <c r="I2139" t="s">
        <v>29</v>
      </c>
      <c r="J2139" t="s">
        <v>37</v>
      </c>
      <c r="K2139">
        <v>0</v>
      </c>
      <c r="L2139">
        <v>0</v>
      </c>
      <c r="M2139">
        <v>3.66</v>
      </c>
      <c r="N2139">
        <v>0</v>
      </c>
      <c r="O2139" t="str">
        <f>IF(financial_fraud_data[[#This Row],[Risk_Score]]&gt;8,"High",IF(financial_fraud_data[[#This Row],[Risk_Score]]&gt;5,"Med","Low"))</f>
        <v>Low</v>
      </c>
      <c r="P2139" t="str">
        <f>TEXT(financial_fraud_data[[#This Row],[Transaction_Date]],"MMM")</f>
        <v>Mar</v>
      </c>
      <c r="Q2139" t="str">
        <f>IF(financial_fraud_data[[#This Row],[Is_Fraud]]=1,"Yes","No")</f>
        <v>No</v>
      </c>
    </row>
    <row r="2140" spans="1:17" x14ac:dyDescent="0.2">
      <c r="A2140" t="s">
        <v>2666</v>
      </c>
      <c r="B2140" t="s">
        <v>525</v>
      </c>
      <c r="C2140" s="1">
        <v>45381.083333333336</v>
      </c>
      <c r="D2140">
        <v>9411.23</v>
      </c>
      <c r="E2140" t="s">
        <v>16</v>
      </c>
      <c r="F2140" t="s">
        <v>17</v>
      </c>
      <c r="G2140" t="s">
        <v>28</v>
      </c>
      <c r="H2140" t="s">
        <v>36</v>
      </c>
      <c r="I2140" t="s">
        <v>29</v>
      </c>
      <c r="J2140" t="s">
        <v>20</v>
      </c>
      <c r="K2140">
        <v>0</v>
      </c>
      <c r="L2140">
        <v>0</v>
      </c>
      <c r="M2140">
        <v>1.94</v>
      </c>
      <c r="N2140">
        <v>0</v>
      </c>
      <c r="O2140" t="str">
        <f>IF(financial_fraud_data[[#This Row],[Risk_Score]]&gt;8,"High",IF(financial_fraud_data[[#This Row],[Risk_Score]]&gt;5,"Med","Low"))</f>
        <v>Low</v>
      </c>
      <c r="P2140" t="str">
        <f>TEXT(financial_fraud_data[[#This Row],[Transaction_Date]],"MMM")</f>
        <v>Mar</v>
      </c>
      <c r="Q2140" t="str">
        <f>IF(financial_fraud_data[[#This Row],[Is_Fraud]]=1,"Yes","No")</f>
        <v>No</v>
      </c>
    </row>
    <row r="2141" spans="1:17" x14ac:dyDescent="0.2">
      <c r="A2141" t="s">
        <v>2667</v>
      </c>
      <c r="B2141" t="s">
        <v>816</v>
      </c>
      <c r="C2141" s="1">
        <v>45381.125</v>
      </c>
      <c r="D2141">
        <v>42915.94</v>
      </c>
      <c r="E2141" t="s">
        <v>80</v>
      </c>
      <c r="F2141" t="s">
        <v>47</v>
      </c>
      <c r="G2141" t="s">
        <v>56</v>
      </c>
      <c r="H2141" t="s">
        <v>24</v>
      </c>
      <c r="I2141" t="s">
        <v>29</v>
      </c>
      <c r="J2141" t="s">
        <v>37</v>
      </c>
      <c r="K2141">
        <v>0</v>
      </c>
      <c r="L2141">
        <v>2</v>
      </c>
      <c r="M2141">
        <v>8.2899999999999991</v>
      </c>
      <c r="N2141">
        <v>1</v>
      </c>
      <c r="O2141" t="str">
        <f>IF(financial_fraud_data[[#This Row],[Risk_Score]]&gt;8,"High",IF(financial_fraud_data[[#This Row],[Risk_Score]]&gt;5,"Med","Low"))</f>
        <v>High</v>
      </c>
      <c r="P2141" t="str">
        <f>TEXT(financial_fraud_data[[#This Row],[Transaction_Date]],"MMM")</f>
        <v>Mar</v>
      </c>
      <c r="Q2141" t="str">
        <f>IF(financial_fraud_data[[#This Row],[Is_Fraud]]=1,"Yes","No")</f>
        <v>Yes</v>
      </c>
    </row>
    <row r="2142" spans="1:17" x14ac:dyDescent="0.2">
      <c r="A2142" t="s">
        <v>2668</v>
      </c>
      <c r="B2142" t="s">
        <v>1175</v>
      </c>
      <c r="C2142" s="1">
        <v>45381.166666666664</v>
      </c>
      <c r="D2142">
        <v>40962.22</v>
      </c>
      <c r="E2142" t="s">
        <v>16</v>
      </c>
      <c r="F2142" t="s">
        <v>27</v>
      </c>
      <c r="G2142" t="s">
        <v>56</v>
      </c>
      <c r="H2142" t="s">
        <v>29</v>
      </c>
      <c r="I2142" t="s">
        <v>23</v>
      </c>
      <c r="J2142" t="s">
        <v>51</v>
      </c>
      <c r="K2142">
        <v>0</v>
      </c>
      <c r="L2142">
        <v>3</v>
      </c>
      <c r="M2142">
        <v>9.6</v>
      </c>
      <c r="N2142">
        <v>1</v>
      </c>
      <c r="O2142" t="str">
        <f>IF(financial_fraud_data[[#This Row],[Risk_Score]]&gt;8,"High",IF(financial_fraud_data[[#This Row],[Risk_Score]]&gt;5,"Med","Low"))</f>
        <v>High</v>
      </c>
      <c r="P2142" t="str">
        <f>TEXT(financial_fraud_data[[#This Row],[Transaction_Date]],"MMM")</f>
        <v>Mar</v>
      </c>
      <c r="Q2142" t="str">
        <f>IF(financial_fraud_data[[#This Row],[Is_Fraud]]=1,"Yes","No")</f>
        <v>Yes</v>
      </c>
    </row>
    <row r="2143" spans="1:17" x14ac:dyDescent="0.2">
      <c r="A2143" t="s">
        <v>2669</v>
      </c>
      <c r="B2143" t="s">
        <v>879</v>
      </c>
      <c r="C2143" s="1">
        <v>45381.208333333336</v>
      </c>
      <c r="D2143">
        <v>27062.65</v>
      </c>
      <c r="E2143" t="s">
        <v>16</v>
      </c>
      <c r="F2143" t="s">
        <v>17</v>
      </c>
      <c r="G2143" t="s">
        <v>56</v>
      </c>
      <c r="H2143" t="s">
        <v>29</v>
      </c>
      <c r="I2143" t="s">
        <v>29</v>
      </c>
      <c r="J2143" t="s">
        <v>37</v>
      </c>
      <c r="K2143">
        <v>0</v>
      </c>
      <c r="L2143">
        <v>4</v>
      </c>
      <c r="M2143">
        <v>8.7100000000000009</v>
      </c>
      <c r="N2143">
        <v>1</v>
      </c>
      <c r="O2143" t="str">
        <f>IF(financial_fraud_data[[#This Row],[Risk_Score]]&gt;8,"High",IF(financial_fraud_data[[#This Row],[Risk_Score]]&gt;5,"Med","Low"))</f>
        <v>High</v>
      </c>
      <c r="P2143" t="str">
        <f>TEXT(financial_fraud_data[[#This Row],[Transaction_Date]],"MMM")</f>
        <v>Mar</v>
      </c>
      <c r="Q2143" t="str">
        <f>IF(financial_fraud_data[[#This Row],[Is_Fraud]]=1,"Yes","No")</f>
        <v>Yes</v>
      </c>
    </row>
    <row r="2144" spans="1:17" x14ac:dyDescent="0.2">
      <c r="A2144" t="s">
        <v>2670</v>
      </c>
      <c r="B2144" t="s">
        <v>1226</v>
      </c>
      <c r="C2144" s="1">
        <v>45381.25</v>
      </c>
      <c r="D2144">
        <v>35526.629999999997</v>
      </c>
      <c r="E2144" t="s">
        <v>16</v>
      </c>
      <c r="F2144" t="s">
        <v>27</v>
      </c>
      <c r="G2144" t="s">
        <v>18</v>
      </c>
      <c r="H2144" t="s">
        <v>24</v>
      </c>
      <c r="I2144" t="s">
        <v>24</v>
      </c>
      <c r="J2144" t="s">
        <v>51</v>
      </c>
      <c r="K2144">
        <v>0</v>
      </c>
      <c r="L2144">
        <v>3</v>
      </c>
      <c r="M2144">
        <v>8.0500000000000007</v>
      </c>
      <c r="N2144">
        <v>1</v>
      </c>
      <c r="O2144" t="str">
        <f>IF(financial_fraud_data[[#This Row],[Risk_Score]]&gt;8,"High",IF(financial_fraud_data[[#This Row],[Risk_Score]]&gt;5,"Med","Low"))</f>
        <v>High</v>
      </c>
      <c r="P2144" t="str">
        <f>TEXT(financial_fraud_data[[#This Row],[Transaction_Date]],"MMM")</f>
        <v>Mar</v>
      </c>
      <c r="Q2144" t="str">
        <f>IF(financial_fraud_data[[#This Row],[Is_Fraud]]=1,"Yes","No")</f>
        <v>Yes</v>
      </c>
    </row>
    <row r="2145" spans="1:17" x14ac:dyDescent="0.2">
      <c r="A2145" t="s">
        <v>2671</v>
      </c>
      <c r="B2145" t="s">
        <v>1693</v>
      </c>
      <c r="C2145" s="1">
        <v>45381.291666666664</v>
      </c>
      <c r="D2145">
        <v>15751.79</v>
      </c>
      <c r="E2145" t="s">
        <v>16</v>
      </c>
      <c r="F2145" t="s">
        <v>50</v>
      </c>
      <c r="G2145" t="s">
        <v>65</v>
      </c>
      <c r="H2145" t="s">
        <v>24</v>
      </c>
      <c r="I2145" t="s">
        <v>29</v>
      </c>
      <c r="J2145" t="s">
        <v>37</v>
      </c>
      <c r="K2145">
        <v>0</v>
      </c>
      <c r="L2145">
        <v>0</v>
      </c>
      <c r="M2145">
        <v>2.58</v>
      </c>
      <c r="N2145">
        <v>0</v>
      </c>
      <c r="O2145" t="str">
        <f>IF(financial_fraud_data[[#This Row],[Risk_Score]]&gt;8,"High",IF(financial_fraud_data[[#This Row],[Risk_Score]]&gt;5,"Med","Low"))</f>
        <v>Low</v>
      </c>
      <c r="P2145" t="str">
        <f>TEXT(financial_fraud_data[[#This Row],[Transaction_Date]],"MMM")</f>
        <v>Mar</v>
      </c>
      <c r="Q2145" t="str">
        <f>IF(financial_fraud_data[[#This Row],[Is_Fraud]]=1,"Yes","No")</f>
        <v>No</v>
      </c>
    </row>
    <row r="2146" spans="1:17" x14ac:dyDescent="0.2">
      <c r="A2146" t="s">
        <v>2672</v>
      </c>
      <c r="B2146" t="s">
        <v>1352</v>
      </c>
      <c r="C2146" s="1">
        <v>45381.333333333336</v>
      </c>
      <c r="D2146">
        <v>23584.84</v>
      </c>
      <c r="E2146" t="s">
        <v>16</v>
      </c>
      <c r="F2146" t="s">
        <v>50</v>
      </c>
      <c r="G2146" t="s">
        <v>35</v>
      </c>
      <c r="H2146" t="s">
        <v>23</v>
      </c>
      <c r="I2146" t="s">
        <v>24</v>
      </c>
      <c r="J2146" t="s">
        <v>37</v>
      </c>
      <c r="K2146">
        <v>1</v>
      </c>
      <c r="L2146">
        <v>1</v>
      </c>
      <c r="M2146">
        <v>6.86</v>
      </c>
      <c r="N2146">
        <v>1</v>
      </c>
      <c r="O2146" t="str">
        <f>IF(financial_fraud_data[[#This Row],[Risk_Score]]&gt;8,"High",IF(financial_fraud_data[[#This Row],[Risk_Score]]&gt;5,"Med","Low"))</f>
        <v>Med</v>
      </c>
      <c r="P2146" t="str">
        <f>TEXT(financial_fraud_data[[#This Row],[Transaction_Date]],"MMM")</f>
        <v>Mar</v>
      </c>
      <c r="Q2146" t="str">
        <f>IF(financial_fraud_data[[#This Row],[Is_Fraud]]=1,"Yes","No")</f>
        <v>Yes</v>
      </c>
    </row>
    <row r="2147" spans="1:17" x14ac:dyDescent="0.2">
      <c r="A2147" t="s">
        <v>2673</v>
      </c>
      <c r="B2147" t="s">
        <v>472</v>
      </c>
      <c r="C2147" s="1">
        <v>45381.375</v>
      </c>
      <c r="D2147">
        <v>41090.76</v>
      </c>
      <c r="E2147" t="s">
        <v>42</v>
      </c>
      <c r="F2147" t="s">
        <v>47</v>
      </c>
      <c r="G2147" t="s">
        <v>56</v>
      </c>
      <c r="H2147" t="s">
        <v>19</v>
      </c>
      <c r="I2147" t="s">
        <v>36</v>
      </c>
      <c r="J2147" t="s">
        <v>51</v>
      </c>
      <c r="K2147">
        <v>1</v>
      </c>
      <c r="L2147">
        <v>2</v>
      </c>
      <c r="M2147">
        <v>10.11</v>
      </c>
      <c r="N2147">
        <v>1</v>
      </c>
      <c r="O2147" t="str">
        <f>IF(financial_fraud_data[[#This Row],[Risk_Score]]&gt;8,"High",IF(financial_fraud_data[[#This Row],[Risk_Score]]&gt;5,"Med","Low"))</f>
        <v>High</v>
      </c>
      <c r="P2147" t="str">
        <f>TEXT(financial_fraud_data[[#This Row],[Transaction_Date]],"MMM")</f>
        <v>Mar</v>
      </c>
      <c r="Q2147" t="str">
        <f>IF(financial_fraud_data[[#This Row],[Is_Fraud]]=1,"Yes","No")</f>
        <v>Yes</v>
      </c>
    </row>
    <row r="2148" spans="1:17" x14ac:dyDescent="0.2">
      <c r="A2148" t="s">
        <v>2674</v>
      </c>
      <c r="B2148" t="s">
        <v>1757</v>
      </c>
      <c r="C2148" s="1">
        <v>45381.416666666664</v>
      </c>
      <c r="D2148">
        <v>22990.3</v>
      </c>
      <c r="E2148" t="s">
        <v>42</v>
      </c>
      <c r="F2148" t="s">
        <v>17</v>
      </c>
      <c r="G2148" t="s">
        <v>56</v>
      </c>
      <c r="H2148" t="s">
        <v>29</v>
      </c>
      <c r="I2148" t="s">
        <v>23</v>
      </c>
      <c r="J2148" t="s">
        <v>20</v>
      </c>
      <c r="K2148">
        <v>1</v>
      </c>
      <c r="L2148">
        <v>1</v>
      </c>
      <c r="M2148">
        <v>6.8</v>
      </c>
      <c r="N2148">
        <v>1</v>
      </c>
      <c r="O2148" t="str">
        <f>IF(financial_fraud_data[[#This Row],[Risk_Score]]&gt;8,"High",IF(financial_fraud_data[[#This Row],[Risk_Score]]&gt;5,"Med","Low"))</f>
        <v>Med</v>
      </c>
      <c r="P2148" t="str">
        <f>TEXT(financial_fraud_data[[#This Row],[Transaction_Date]],"MMM")</f>
        <v>Mar</v>
      </c>
      <c r="Q2148" t="str">
        <f>IF(financial_fraud_data[[#This Row],[Is_Fraud]]=1,"Yes","No")</f>
        <v>Yes</v>
      </c>
    </row>
    <row r="2149" spans="1:17" x14ac:dyDescent="0.2">
      <c r="A2149" t="s">
        <v>2675</v>
      </c>
      <c r="B2149" t="s">
        <v>629</v>
      </c>
      <c r="C2149" s="1">
        <v>45381.458333333336</v>
      </c>
      <c r="D2149">
        <v>17922.02</v>
      </c>
      <c r="E2149" t="s">
        <v>34</v>
      </c>
      <c r="F2149" t="s">
        <v>50</v>
      </c>
      <c r="G2149" t="s">
        <v>56</v>
      </c>
      <c r="H2149" t="s">
        <v>29</v>
      </c>
      <c r="I2149" t="s">
        <v>23</v>
      </c>
      <c r="J2149" t="s">
        <v>20</v>
      </c>
      <c r="K2149">
        <v>1</v>
      </c>
      <c r="L2149">
        <v>4</v>
      </c>
      <c r="M2149">
        <v>10.79</v>
      </c>
      <c r="N2149">
        <v>1</v>
      </c>
      <c r="O2149" t="str">
        <f>IF(financial_fraud_data[[#This Row],[Risk_Score]]&gt;8,"High",IF(financial_fraud_data[[#This Row],[Risk_Score]]&gt;5,"Med","Low"))</f>
        <v>High</v>
      </c>
      <c r="P2149" t="str">
        <f>TEXT(financial_fraud_data[[#This Row],[Transaction_Date]],"MMM")</f>
        <v>Mar</v>
      </c>
      <c r="Q2149" t="str">
        <f>IF(financial_fraud_data[[#This Row],[Is_Fraud]]=1,"Yes","No")</f>
        <v>Yes</v>
      </c>
    </row>
    <row r="2150" spans="1:17" x14ac:dyDescent="0.2">
      <c r="A2150" t="s">
        <v>2676</v>
      </c>
      <c r="B2150" t="s">
        <v>974</v>
      </c>
      <c r="C2150" s="1">
        <v>45381.5</v>
      </c>
      <c r="D2150">
        <v>24735.91</v>
      </c>
      <c r="E2150" t="s">
        <v>42</v>
      </c>
      <c r="F2150" t="s">
        <v>50</v>
      </c>
      <c r="G2150" t="s">
        <v>65</v>
      </c>
      <c r="H2150" t="s">
        <v>24</v>
      </c>
      <c r="I2150" t="s">
        <v>19</v>
      </c>
      <c r="J2150" t="s">
        <v>37</v>
      </c>
      <c r="K2150">
        <v>0</v>
      </c>
      <c r="L2150">
        <v>3</v>
      </c>
      <c r="M2150">
        <v>7.97</v>
      </c>
      <c r="N2150">
        <v>1</v>
      </c>
      <c r="O2150" t="str">
        <f>IF(financial_fraud_data[[#This Row],[Risk_Score]]&gt;8,"High",IF(financial_fraud_data[[#This Row],[Risk_Score]]&gt;5,"Med","Low"))</f>
        <v>Med</v>
      </c>
      <c r="P2150" t="str">
        <f>TEXT(financial_fraud_data[[#This Row],[Transaction_Date]],"MMM")</f>
        <v>Mar</v>
      </c>
      <c r="Q2150" t="str">
        <f>IF(financial_fraud_data[[#This Row],[Is_Fraud]]=1,"Yes","No")</f>
        <v>Yes</v>
      </c>
    </row>
    <row r="2151" spans="1:17" x14ac:dyDescent="0.2">
      <c r="A2151" t="s">
        <v>2677</v>
      </c>
      <c r="B2151" t="s">
        <v>365</v>
      </c>
      <c r="C2151" s="1">
        <v>45381.541666666664</v>
      </c>
      <c r="D2151">
        <v>41421.050000000003</v>
      </c>
      <c r="E2151" t="s">
        <v>34</v>
      </c>
      <c r="F2151" t="s">
        <v>17</v>
      </c>
      <c r="G2151" t="s">
        <v>28</v>
      </c>
      <c r="H2151" t="s">
        <v>24</v>
      </c>
      <c r="I2151" t="s">
        <v>36</v>
      </c>
      <c r="J2151" t="s">
        <v>37</v>
      </c>
      <c r="K2151">
        <v>0</v>
      </c>
      <c r="L2151">
        <v>4</v>
      </c>
      <c r="M2151">
        <v>11.14</v>
      </c>
      <c r="N2151">
        <v>1</v>
      </c>
      <c r="O2151" t="str">
        <f>IF(financial_fraud_data[[#This Row],[Risk_Score]]&gt;8,"High",IF(financial_fraud_data[[#This Row],[Risk_Score]]&gt;5,"Med","Low"))</f>
        <v>High</v>
      </c>
      <c r="P2151" t="str">
        <f>TEXT(financial_fraud_data[[#This Row],[Transaction_Date]],"MMM")</f>
        <v>Mar</v>
      </c>
      <c r="Q2151" t="str">
        <f>IF(financial_fraud_data[[#This Row],[Is_Fraud]]=1,"Yes","No")</f>
        <v>Yes</v>
      </c>
    </row>
    <row r="2152" spans="1:17" x14ac:dyDescent="0.2">
      <c r="A2152" t="s">
        <v>2678</v>
      </c>
      <c r="B2152" t="s">
        <v>121</v>
      </c>
      <c r="C2152" s="1">
        <v>45381.583333333336</v>
      </c>
      <c r="D2152">
        <v>16793.64</v>
      </c>
      <c r="E2152" t="s">
        <v>34</v>
      </c>
      <c r="F2152" t="s">
        <v>27</v>
      </c>
      <c r="G2152" t="s">
        <v>18</v>
      </c>
      <c r="H2152" t="s">
        <v>19</v>
      </c>
      <c r="I2152" t="s">
        <v>24</v>
      </c>
      <c r="J2152" t="s">
        <v>51</v>
      </c>
      <c r="K2152">
        <v>0</v>
      </c>
      <c r="L2152">
        <v>1</v>
      </c>
      <c r="M2152">
        <v>4.18</v>
      </c>
      <c r="N2152">
        <v>0</v>
      </c>
      <c r="O2152" t="str">
        <f>IF(financial_fraud_data[[#This Row],[Risk_Score]]&gt;8,"High",IF(financial_fraud_data[[#This Row],[Risk_Score]]&gt;5,"Med","Low"))</f>
        <v>Low</v>
      </c>
      <c r="P2152" t="str">
        <f>TEXT(financial_fraud_data[[#This Row],[Transaction_Date]],"MMM")</f>
        <v>Mar</v>
      </c>
      <c r="Q2152" t="str">
        <f>IF(financial_fraud_data[[#This Row],[Is_Fraud]]=1,"Yes","No")</f>
        <v>No</v>
      </c>
    </row>
    <row r="2153" spans="1:17" x14ac:dyDescent="0.2">
      <c r="A2153" t="s">
        <v>2679</v>
      </c>
      <c r="B2153" t="s">
        <v>1843</v>
      </c>
      <c r="C2153" s="1">
        <v>45381.625</v>
      </c>
      <c r="D2153">
        <v>8729.39</v>
      </c>
      <c r="E2153" t="s">
        <v>80</v>
      </c>
      <c r="F2153" t="s">
        <v>17</v>
      </c>
      <c r="G2153" t="s">
        <v>65</v>
      </c>
      <c r="H2153" t="s">
        <v>24</v>
      </c>
      <c r="I2153" t="s">
        <v>36</v>
      </c>
      <c r="J2153" t="s">
        <v>51</v>
      </c>
      <c r="K2153">
        <v>0</v>
      </c>
      <c r="L2153">
        <v>3</v>
      </c>
      <c r="M2153">
        <v>6.37</v>
      </c>
      <c r="N2153">
        <v>1</v>
      </c>
      <c r="O2153" t="str">
        <f>IF(financial_fraud_data[[#This Row],[Risk_Score]]&gt;8,"High",IF(financial_fraud_data[[#This Row],[Risk_Score]]&gt;5,"Med","Low"))</f>
        <v>Med</v>
      </c>
      <c r="P2153" t="str">
        <f>TEXT(financial_fraud_data[[#This Row],[Transaction_Date]],"MMM")</f>
        <v>Mar</v>
      </c>
      <c r="Q2153" t="str">
        <f>IF(financial_fraud_data[[#This Row],[Is_Fraud]]=1,"Yes","No")</f>
        <v>Yes</v>
      </c>
    </row>
    <row r="2154" spans="1:17" x14ac:dyDescent="0.2">
      <c r="A2154" t="s">
        <v>2680</v>
      </c>
      <c r="B2154" t="s">
        <v>197</v>
      </c>
      <c r="C2154" s="1">
        <v>45381.666666666664</v>
      </c>
      <c r="D2154">
        <v>35615.1</v>
      </c>
      <c r="E2154" t="s">
        <v>16</v>
      </c>
      <c r="F2154" t="s">
        <v>27</v>
      </c>
      <c r="G2154" t="s">
        <v>56</v>
      </c>
      <c r="H2154" t="s">
        <v>36</v>
      </c>
      <c r="I2154" t="s">
        <v>23</v>
      </c>
      <c r="J2154" t="s">
        <v>37</v>
      </c>
      <c r="K2154">
        <v>0</v>
      </c>
      <c r="L2154">
        <v>4</v>
      </c>
      <c r="M2154">
        <v>10.56</v>
      </c>
      <c r="N2154">
        <v>1</v>
      </c>
      <c r="O2154" t="str">
        <f>IF(financial_fraud_data[[#This Row],[Risk_Score]]&gt;8,"High",IF(financial_fraud_data[[#This Row],[Risk_Score]]&gt;5,"Med","Low"))</f>
        <v>High</v>
      </c>
      <c r="P2154" t="str">
        <f>TEXT(financial_fraud_data[[#This Row],[Transaction_Date]],"MMM")</f>
        <v>Mar</v>
      </c>
      <c r="Q2154" t="str">
        <f>IF(financial_fraud_data[[#This Row],[Is_Fraud]]=1,"Yes","No")</f>
        <v>Yes</v>
      </c>
    </row>
    <row r="2155" spans="1:17" x14ac:dyDescent="0.2">
      <c r="A2155" t="s">
        <v>2681</v>
      </c>
      <c r="B2155" t="s">
        <v>60</v>
      </c>
      <c r="C2155" s="1">
        <v>45381.708333333336</v>
      </c>
      <c r="D2155">
        <v>41307.61</v>
      </c>
      <c r="E2155" t="s">
        <v>42</v>
      </c>
      <c r="F2155" t="s">
        <v>50</v>
      </c>
      <c r="G2155" t="s">
        <v>65</v>
      </c>
      <c r="H2155" t="s">
        <v>36</v>
      </c>
      <c r="I2155" t="s">
        <v>24</v>
      </c>
      <c r="J2155" t="s">
        <v>51</v>
      </c>
      <c r="K2155">
        <v>0</v>
      </c>
      <c r="L2155">
        <v>0</v>
      </c>
      <c r="M2155">
        <v>5.13</v>
      </c>
      <c r="N2155">
        <v>1</v>
      </c>
      <c r="O2155" t="str">
        <f>IF(financial_fraud_data[[#This Row],[Risk_Score]]&gt;8,"High",IF(financial_fraud_data[[#This Row],[Risk_Score]]&gt;5,"Med","Low"))</f>
        <v>Med</v>
      </c>
      <c r="P2155" t="str">
        <f>TEXT(financial_fraud_data[[#This Row],[Transaction_Date]],"MMM")</f>
        <v>Mar</v>
      </c>
      <c r="Q2155" t="str">
        <f>IF(financial_fraud_data[[#This Row],[Is_Fraud]]=1,"Yes","No")</f>
        <v>Yes</v>
      </c>
    </row>
    <row r="2156" spans="1:17" x14ac:dyDescent="0.2">
      <c r="A2156" t="s">
        <v>2682</v>
      </c>
      <c r="B2156" t="s">
        <v>1880</v>
      </c>
      <c r="C2156" s="1">
        <v>45381.75</v>
      </c>
      <c r="D2156">
        <v>5076.84</v>
      </c>
      <c r="E2156" t="s">
        <v>80</v>
      </c>
      <c r="F2156" t="s">
        <v>50</v>
      </c>
      <c r="G2156" t="s">
        <v>65</v>
      </c>
      <c r="H2156" t="s">
        <v>36</v>
      </c>
      <c r="I2156" t="s">
        <v>36</v>
      </c>
      <c r="J2156" t="s">
        <v>20</v>
      </c>
      <c r="K2156">
        <v>1</v>
      </c>
      <c r="L2156">
        <v>0</v>
      </c>
      <c r="M2156">
        <v>2.5099999999999998</v>
      </c>
      <c r="N2156">
        <v>0</v>
      </c>
      <c r="O2156" t="str">
        <f>IF(financial_fraud_data[[#This Row],[Risk_Score]]&gt;8,"High",IF(financial_fraud_data[[#This Row],[Risk_Score]]&gt;5,"Med","Low"))</f>
        <v>Low</v>
      </c>
      <c r="P2156" t="str">
        <f>TEXT(financial_fraud_data[[#This Row],[Transaction_Date]],"MMM")</f>
        <v>Mar</v>
      </c>
      <c r="Q2156" t="str">
        <f>IF(financial_fraud_data[[#This Row],[Is_Fraud]]=1,"Yes","No")</f>
        <v>No</v>
      </c>
    </row>
    <row r="2157" spans="1:17" x14ac:dyDescent="0.2">
      <c r="A2157" t="s">
        <v>2683</v>
      </c>
      <c r="B2157" t="s">
        <v>398</v>
      </c>
      <c r="C2157" s="1">
        <v>45381.791666666664</v>
      </c>
      <c r="D2157">
        <v>12031.71</v>
      </c>
      <c r="E2157" t="s">
        <v>42</v>
      </c>
      <c r="F2157" t="s">
        <v>50</v>
      </c>
      <c r="G2157" t="s">
        <v>65</v>
      </c>
      <c r="H2157" t="s">
        <v>36</v>
      </c>
      <c r="I2157" t="s">
        <v>23</v>
      </c>
      <c r="J2157" t="s">
        <v>20</v>
      </c>
      <c r="K2157">
        <v>0</v>
      </c>
      <c r="L2157">
        <v>2</v>
      </c>
      <c r="M2157">
        <v>5.2</v>
      </c>
      <c r="N2157">
        <v>1</v>
      </c>
      <c r="O2157" t="str">
        <f>IF(financial_fraud_data[[#This Row],[Risk_Score]]&gt;8,"High",IF(financial_fraud_data[[#This Row],[Risk_Score]]&gt;5,"Med","Low"))</f>
        <v>Med</v>
      </c>
      <c r="P2157" t="str">
        <f>TEXT(financial_fraud_data[[#This Row],[Transaction_Date]],"MMM")</f>
        <v>Mar</v>
      </c>
      <c r="Q2157" t="str">
        <f>IF(financial_fraud_data[[#This Row],[Is_Fraud]]=1,"Yes","No")</f>
        <v>Yes</v>
      </c>
    </row>
    <row r="2158" spans="1:17" x14ac:dyDescent="0.2">
      <c r="A2158" t="s">
        <v>2684</v>
      </c>
      <c r="B2158" t="s">
        <v>2685</v>
      </c>
      <c r="C2158" s="1">
        <v>45381.833333333336</v>
      </c>
      <c r="D2158">
        <v>7141.5</v>
      </c>
      <c r="E2158" t="s">
        <v>34</v>
      </c>
      <c r="F2158" t="s">
        <v>47</v>
      </c>
      <c r="G2158" t="s">
        <v>28</v>
      </c>
      <c r="H2158" t="s">
        <v>19</v>
      </c>
      <c r="I2158" t="s">
        <v>24</v>
      </c>
      <c r="J2158" t="s">
        <v>51</v>
      </c>
      <c r="K2158">
        <v>0</v>
      </c>
      <c r="L2158">
        <v>0</v>
      </c>
      <c r="M2158">
        <v>1.71</v>
      </c>
      <c r="N2158">
        <v>0</v>
      </c>
      <c r="O2158" t="str">
        <f>IF(financial_fraud_data[[#This Row],[Risk_Score]]&gt;8,"High",IF(financial_fraud_data[[#This Row],[Risk_Score]]&gt;5,"Med","Low"))</f>
        <v>Low</v>
      </c>
      <c r="P2158" t="str">
        <f>TEXT(financial_fraud_data[[#This Row],[Transaction_Date]],"MMM")</f>
        <v>Mar</v>
      </c>
      <c r="Q2158" t="str">
        <f>IF(financial_fraud_data[[#This Row],[Is_Fraud]]=1,"Yes","No")</f>
        <v>No</v>
      </c>
    </row>
    <row r="2159" spans="1:17" x14ac:dyDescent="0.2">
      <c r="A2159" t="s">
        <v>2686</v>
      </c>
      <c r="B2159" t="s">
        <v>807</v>
      </c>
      <c r="C2159" s="1">
        <v>45381.875</v>
      </c>
      <c r="D2159">
        <v>17429.669999999998</v>
      </c>
      <c r="E2159" t="s">
        <v>42</v>
      </c>
      <c r="F2159" t="s">
        <v>47</v>
      </c>
      <c r="G2159" t="s">
        <v>35</v>
      </c>
      <c r="H2159" t="s">
        <v>29</v>
      </c>
      <c r="I2159" t="s">
        <v>24</v>
      </c>
      <c r="J2159" t="s">
        <v>51</v>
      </c>
      <c r="K2159">
        <v>0</v>
      </c>
      <c r="L2159">
        <v>0</v>
      </c>
      <c r="M2159">
        <v>2.74</v>
      </c>
      <c r="N2159">
        <v>0</v>
      </c>
      <c r="O2159" t="str">
        <f>IF(financial_fraud_data[[#This Row],[Risk_Score]]&gt;8,"High",IF(financial_fraud_data[[#This Row],[Risk_Score]]&gt;5,"Med","Low"))</f>
        <v>Low</v>
      </c>
      <c r="P2159" t="str">
        <f>TEXT(financial_fraud_data[[#This Row],[Transaction_Date]],"MMM")</f>
        <v>Mar</v>
      </c>
      <c r="Q2159" t="str">
        <f>IF(financial_fraud_data[[#This Row],[Is_Fraud]]=1,"Yes","No")</f>
        <v>No</v>
      </c>
    </row>
    <row r="2160" spans="1:17" x14ac:dyDescent="0.2">
      <c r="A2160" t="s">
        <v>2687</v>
      </c>
      <c r="B2160" t="s">
        <v>1168</v>
      </c>
      <c r="C2160" s="1">
        <v>45381.916666666664</v>
      </c>
      <c r="D2160">
        <v>22545.03</v>
      </c>
      <c r="E2160" t="s">
        <v>16</v>
      </c>
      <c r="F2160" t="s">
        <v>47</v>
      </c>
      <c r="G2160" t="s">
        <v>18</v>
      </c>
      <c r="H2160" t="s">
        <v>36</v>
      </c>
      <c r="I2160" t="s">
        <v>23</v>
      </c>
      <c r="J2160" t="s">
        <v>51</v>
      </c>
      <c r="K2160">
        <v>0</v>
      </c>
      <c r="L2160">
        <v>1</v>
      </c>
      <c r="M2160">
        <v>4.75</v>
      </c>
      <c r="N2160">
        <v>0</v>
      </c>
      <c r="O2160" t="str">
        <f>IF(financial_fraud_data[[#This Row],[Risk_Score]]&gt;8,"High",IF(financial_fraud_data[[#This Row],[Risk_Score]]&gt;5,"Med","Low"))</f>
        <v>Low</v>
      </c>
      <c r="P2160" t="str">
        <f>TEXT(financial_fraud_data[[#This Row],[Transaction_Date]],"MMM")</f>
        <v>Mar</v>
      </c>
      <c r="Q2160" t="str">
        <f>IF(financial_fraud_data[[#This Row],[Is_Fraud]]=1,"Yes","No")</f>
        <v>No</v>
      </c>
    </row>
    <row r="2161" spans="1:17" x14ac:dyDescent="0.2">
      <c r="A2161" t="s">
        <v>2688</v>
      </c>
      <c r="B2161" t="s">
        <v>572</v>
      </c>
      <c r="C2161" s="1">
        <v>45381.958333333336</v>
      </c>
      <c r="D2161">
        <v>37453.879999999997</v>
      </c>
      <c r="E2161" t="s">
        <v>34</v>
      </c>
      <c r="F2161" t="s">
        <v>17</v>
      </c>
      <c r="G2161" t="s">
        <v>28</v>
      </c>
      <c r="H2161" t="s">
        <v>24</v>
      </c>
      <c r="I2161" t="s">
        <v>24</v>
      </c>
      <c r="J2161" t="s">
        <v>20</v>
      </c>
      <c r="K2161">
        <v>0</v>
      </c>
      <c r="L2161">
        <v>0</v>
      </c>
      <c r="M2161">
        <v>3.75</v>
      </c>
      <c r="N2161">
        <v>0</v>
      </c>
      <c r="O2161" t="str">
        <f>IF(financial_fraud_data[[#This Row],[Risk_Score]]&gt;8,"High",IF(financial_fraud_data[[#This Row],[Risk_Score]]&gt;5,"Med","Low"))</f>
        <v>Low</v>
      </c>
      <c r="P2161" t="str">
        <f>TEXT(financial_fraud_data[[#This Row],[Transaction_Date]],"MMM")</f>
        <v>Mar</v>
      </c>
      <c r="Q2161" t="str">
        <f>IF(financial_fraud_data[[#This Row],[Is_Fraud]]=1,"Yes","No")</f>
        <v>No</v>
      </c>
    </row>
    <row r="2162" spans="1:17" x14ac:dyDescent="0.2">
      <c r="A2162" t="s">
        <v>2689</v>
      </c>
      <c r="B2162" t="s">
        <v>41</v>
      </c>
      <c r="C2162" s="1">
        <v>45382</v>
      </c>
      <c r="D2162">
        <v>32574.82</v>
      </c>
      <c r="E2162" t="s">
        <v>34</v>
      </c>
      <c r="F2162" t="s">
        <v>50</v>
      </c>
      <c r="G2162" t="s">
        <v>28</v>
      </c>
      <c r="H2162" t="s">
        <v>36</v>
      </c>
      <c r="I2162" t="s">
        <v>23</v>
      </c>
      <c r="J2162" t="s">
        <v>37</v>
      </c>
      <c r="K2162">
        <v>0</v>
      </c>
      <c r="L2162">
        <v>0</v>
      </c>
      <c r="M2162">
        <v>4.26</v>
      </c>
      <c r="N2162">
        <v>0</v>
      </c>
      <c r="O2162" t="str">
        <f>IF(financial_fraud_data[[#This Row],[Risk_Score]]&gt;8,"High",IF(financial_fraud_data[[#This Row],[Risk_Score]]&gt;5,"Med","Low"))</f>
        <v>Low</v>
      </c>
      <c r="P2162" t="str">
        <f>TEXT(financial_fraud_data[[#This Row],[Transaction_Date]],"MMM")</f>
        <v>Mar</v>
      </c>
      <c r="Q2162" t="str">
        <f>IF(financial_fraud_data[[#This Row],[Is_Fraud]]=1,"Yes","No")</f>
        <v>No</v>
      </c>
    </row>
    <row r="2163" spans="1:17" x14ac:dyDescent="0.2">
      <c r="A2163" t="s">
        <v>2690</v>
      </c>
      <c r="B2163" t="s">
        <v>343</v>
      </c>
      <c r="C2163" s="1">
        <v>45382.041666666664</v>
      </c>
      <c r="D2163">
        <v>31065.38</v>
      </c>
      <c r="E2163" t="s">
        <v>80</v>
      </c>
      <c r="F2163" t="s">
        <v>50</v>
      </c>
      <c r="G2163" t="s">
        <v>35</v>
      </c>
      <c r="H2163" t="s">
        <v>19</v>
      </c>
      <c r="I2163" t="s">
        <v>29</v>
      </c>
      <c r="J2163" t="s">
        <v>51</v>
      </c>
      <c r="K2163">
        <v>0</v>
      </c>
      <c r="L2163">
        <v>1</v>
      </c>
      <c r="M2163">
        <v>5.61</v>
      </c>
      <c r="N2163">
        <v>1</v>
      </c>
      <c r="O2163" t="str">
        <f>IF(financial_fraud_data[[#This Row],[Risk_Score]]&gt;8,"High",IF(financial_fraud_data[[#This Row],[Risk_Score]]&gt;5,"Med","Low"))</f>
        <v>Med</v>
      </c>
      <c r="P2163" t="str">
        <f>TEXT(financial_fraud_data[[#This Row],[Transaction_Date]],"MMM")</f>
        <v>Mar</v>
      </c>
      <c r="Q2163" t="str">
        <f>IF(financial_fraud_data[[#This Row],[Is_Fraud]]=1,"Yes","No")</f>
        <v>Yes</v>
      </c>
    </row>
    <row r="2164" spans="1:17" x14ac:dyDescent="0.2">
      <c r="A2164" t="s">
        <v>2691</v>
      </c>
      <c r="B2164" t="s">
        <v>1066</v>
      </c>
      <c r="C2164" s="1">
        <v>45382.083333333336</v>
      </c>
      <c r="D2164">
        <v>17651.13</v>
      </c>
      <c r="E2164" t="s">
        <v>16</v>
      </c>
      <c r="F2164" t="s">
        <v>17</v>
      </c>
      <c r="G2164" t="s">
        <v>28</v>
      </c>
      <c r="H2164" t="s">
        <v>24</v>
      </c>
      <c r="I2164" t="s">
        <v>29</v>
      </c>
      <c r="J2164" t="s">
        <v>51</v>
      </c>
      <c r="K2164">
        <v>0</v>
      </c>
      <c r="L2164">
        <v>0</v>
      </c>
      <c r="M2164">
        <v>2.77</v>
      </c>
      <c r="N2164">
        <v>0</v>
      </c>
      <c r="O2164" t="str">
        <f>IF(financial_fraud_data[[#This Row],[Risk_Score]]&gt;8,"High",IF(financial_fraud_data[[#This Row],[Risk_Score]]&gt;5,"Med","Low"))</f>
        <v>Low</v>
      </c>
      <c r="P2164" t="str">
        <f>TEXT(financial_fraud_data[[#This Row],[Transaction_Date]],"MMM")</f>
        <v>Mar</v>
      </c>
      <c r="Q2164" t="str">
        <f>IF(financial_fraud_data[[#This Row],[Is_Fraud]]=1,"Yes","No")</f>
        <v>No</v>
      </c>
    </row>
    <row r="2165" spans="1:17" x14ac:dyDescent="0.2">
      <c r="A2165" t="s">
        <v>2692</v>
      </c>
      <c r="B2165" t="s">
        <v>345</v>
      </c>
      <c r="C2165" s="1">
        <v>45382.125</v>
      </c>
      <c r="D2165">
        <v>42080.31</v>
      </c>
      <c r="E2165" t="s">
        <v>34</v>
      </c>
      <c r="F2165" t="s">
        <v>47</v>
      </c>
      <c r="G2165" t="s">
        <v>65</v>
      </c>
      <c r="H2165" t="s">
        <v>36</v>
      </c>
      <c r="I2165" t="s">
        <v>24</v>
      </c>
      <c r="J2165" t="s">
        <v>51</v>
      </c>
      <c r="K2165">
        <v>0</v>
      </c>
      <c r="L2165">
        <v>0</v>
      </c>
      <c r="M2165">
        <v>5.21</v>
      </c>
      <c r="N2165">
        <v>1</v>
      </c>
      <c r="O2165" t="str">
        <f>IF(financial_fraud_data[[#This Row],[Risk_Score]]&gt;8,"High",IF(financial_fraud_data[[#This Row],[Risk_Score]]&gt;5,"Med","Low"))</f>
        <v>Med</v>
      </c>
      <c r="P2165" t="str">
        <f>TEXT(financial_fraud_data[[#This Row],[Transaction_Date]],"MMM")</f>
        <v>Mar</v>
      </c>
      <c r="Q2165" t="str">
        <f>IF(financial_fraud_data[[#This Row],[Is_Fraud]]=1,"Yes","No")</f>
        <v>Yes</v>
      </c>
    </row>
    <row r="2166" spans="1:17" x14ac:dyDescent="0.2">
      <c r="A2166" t="s">
        <v>2693</v>
      </c>
      <c r="B2166" t="s">
        <v>1090</v>
      </c>
      <c r="C2166" s="1">
        <v>45382.166666666664</v>
      </c>
      <c r="D2166">
        <v>23590.79</v>
      </c>
      <c r="E2166" t="s">
        <v>16</v>
      </c>
      <c r="F2166" t="s">
        <v>17</v>
      </c>
      <c r="G2166" t="s">
        <v>65</v>
      </c>
      <c r="H2166" t="s">
        <v>29</v>
      </c>
      <c r="I2166" t="s">
        <v>24</v>
      </c>
      <c r="J2166" t="s">
        <v>37</v>
      </c>
      <c r="K2166">
        <v>0</v>
      </c>
      <c r="L2166">
        <v>2</v>
      </c>
      <c r="M2166">
        <v>6.36</v>
      </c>
      <c r="N2166">
        <v>1</v>
      </c>
      <c r="O2166" t="str">
        <f>IF(financial_fraud_data[[#This Row],[Risk_Score]]&gt;8,"High",IF(financial_fraud_data[[#This Row],[Risk_Score]]&gt;5,"Med","Low"))</f>
        <v>Med</v>
      </c>
      <c r="P2166" t="str">
        <f>TEXT(financial_fraud_data[[#This Row],[Transaction_Date]],"MMM")</f>
        <v>Mar</v>
      </c>
      <c r="Q2166" t="str">
        <f>IF(financial_fraud_data[[#This Row],[Is_Fraud]]=1,"Yes","No")</f>
        <v>Yes</v>
      </c>
    </row>
    <row r="2167" spans="1:17" x14ac:dyDescent="0.2">
      <c r="A2167" t="s">
        <v>2694</v>
      </c>
      <c r="B2167" t="s">
        <v>558</v>
      </c>
      <c r="C2167" s="1">
        <v>45382.208333333336</v>
      </c>
      <c r="D2167">
        <v>48956.29</v>
      </c>
      <c r="E2167" t="s">
        <v>42</v>
      </c>
      <c r="F2167" t="s">
        <v>47</v>
      </c>
      <c r="G2167" t="s">
        <v>56</v>
      </c>
      <c r="H2167" t="s">
        <v>24</v>
      </c>
      <c r="I2167" t="s">
        <v>23</v>
      </c>
      <c r="J2167" t="s">
        <v>51</v>
      </c>
      <c r="K2167">
        <v>1</v>
      </c>
      <c r="L2167">
        <v>0</v>
      </c>
      <c r="M2167">
        <v>7.9</v>
      </c>
      <c r="N2167">
        <v>1</v>
      </c>
      <c r="O2167" t="str">
        <f>IF(financial_fraud_data[[#This Row],[Risk_Score]]&gt;8,"High",IF(financial_fraud_data[[#This Row],[Risk_Score]]&gt;5,"Med","Low"))</f>
        <v>Med</v>
      </c>
      <c r="P2167" t="str">
        <f>TEXT(financial_fraud_data[[#This Row],[Transaction_Date]],"MMM")</f>
        <v>Mar</v>
      </c>
      <c r="Q2167" t="str">
        <f>IF(financial_fraud_data[[#This Row],[Is_Fraud]]=1,"Yes","No")</f>
        <v>Yes</v>
      </c>
    </row>
    <row r="2168" spans="1:17" x14ac:dyDescent="0.2">
      <c r="A2168" t="s">
        <v>2695</v>
      </c>
      <c r="B2168" t="s">
        <v>94</v>
      </c>
      <c r="C2168" s="1">
        <v>45382.25</v>
      </c>
      <c r="D2168">
        <v>31725.4</v>
      </c>
      <c r="E2168" t="s">
        <v>16</v>
      </c>
      <c r="F2168" t="s">
        <v>50</v>
      </c>
      <c r="G2168" t="s">
        <v>28</v>
      </c>
      <c r="H2168" t="s">
        <v>24</v>
      </c>
      <c r="I2168" t="s">
        <v>24</v>
      </c>
      <c r="J2168" t="s">
        <v>51</v>
      </c>
      <c r="K2168">
        <v>0</v>
      </c>
      <c r="L2168">
        <v>0</v>
      </c>
      <c r="M2168">
        <v>3.17</v>
      </c>
      <c r="N2168">
        <v>0</v>
      </c>
      <c r="O2168" t="str">
        <f>IF(financial_fraud_data[[#This Row],[Risk_Score]]&gt;8,"High",IF(financial_fraud_data[[#This Row],[Risk_Score]]&gt;5,"Med","Low"))</f>
        <v>Low</v>
      </c>
      <c r="P2168" t="str">
        <f>TEXT(financial_fraud_data[[#This Row],[Transaction_Date]],"MMM")</f>
        <v>Mar</v>
      </c>
      <c r="Q2168" t="str">
        <f>IF(financial_fraud_data[[#This Row],[Is_Fraud]]=1,"Yes","No")</f>
        <v>No</v>
      </c>
    </row>
    <row r="2169" spans="1:17" x14ac:dyDescent="0.2">
      <c r="A2169" t="s">
        <v>2696</v>
      </c>
      <c r="B2169" t="s">
        <v>1049</v>
      </c>
      <c r="C2169" s="1">
        <v>45382.291666666664</v>
      </c>
      <c r="D2169">
        <v>6356.92</v>
      </c>
      <c r="E2169" t="s">
        <v>34</v>
      </c>
      <c r="F2169" t="s">
        <v>27</v>
      </c>
      <c r="G2169" t="s">
        <v>56</v>
      </c>
      <c r="H2169" t="s">
        <v>29</v>
      </c>
      <c r="I2169" t="s">
        <v>19</v>
      </c>
      <c r="J2169" t="s">
        <v>20</v>
      </c>
      <c r="K2169">
        <v>1</v>
      </c>
      <c r="L2169">
        <v>2</v>
      </c>
      <c r="M2169">
        <v>6.64</v>
      </c>
      <c r="N2169">
        <v>1</v>
      </c>
      <c r="O2169" t="str">
        <f>IF(financial_fraud_data[[#This Row],[Risk_Score]]&gt;8,"High",IF(financial_fraud_data[[#This Row],[Risk_Score]]&gt;5,"Med","Low"))</f>
        <v>Med</v>
      </c>
      <c r="P2169" t="str">
        <f>TEXT(financial_fraud_data[[#This Row],[Transaction_Date]],"MMM")</f>
        <v>Mar</v>
      </c>
      <c r="Q2169" t="str">
        <f>IF(financial_fraud_data[[#This Row],[Is_Fraud]]=1,"Yes","No")</f>
        <v>Yes</v>
      </c>
    </row>
    <row r="2170" spans="1:17" x14ac:dyDescent="0.2">
      <c r="A2170" t="s">
        <v>2697</v>
      </c>
      <c r="B2170" t="s">
        <v>1268</v>
      </c>
      <c r="C2170" s="1">
        <v>45382.333333333336</v>
      </c>
      <c r="D2170">
        <v>33825.07</v>
      </c>
      <c r="E2170" t="s">
        <v>80</v>
      </c>
      <c r="F2170" t="s">
        <v>47</v>
      </c>
      <c r="G2170" t="s">
        <v>18</v>
      </c>
      <c r="H2170" t="s">
        <v>24</v>
      </c>
      <c r="I2170" t="s">
        <v>29</v>
      </c>
      <c r="J2170" t="s">
        <v>51</v>
      </c>
      <c r="K2170">
        <v>0</v>
      </c>
      <c r="L2170">
        <v>1</v>
      </c>
      <c r="M2170">
        <v>5.88</v>
      </c>
      <c r="N2170">
        <v>1</v>
      </c>
      <c r="O2170" t="str">
        <f>IF(financial_fraud_data[[#This Row],[Risk_Score]]&gt;8,"High",IF(financial_fraud_data[[#This Row],[Risk_Score]]&gt;5,"Med","Low"))</f>
        <v>Med</v>
      </c>
      <c r="P2170" t="str">
        <f>TEXT(financial_fraud_data[[#This Row],[Transaction_Date]],"MMM")</f>
        <v>Mar</v>
      </c>
      <c r="Q2170" t="str">
        <f>IF(financial_fraud_data[[#This Row],[Is_Fraud]]=1,"Yes","No")</f>
        <v>Yes</v>
      </c>
    </row>
    <row r="2171" spans="1:17" x14ac:dyDescent="0.2">
      <c r="A2171" t="s">
        <v>2698</v>
      </c>
      <c r="B2171" t="s">
        <v>388</v>
      </c>
      <c r="C2171" s="1">
        <v>45382.375</v>
      </c>
      <c r="D2171">
        <v>16288.95</v>
      </c>
      <c r="E2171" t="s">
        <v>34</v>
      </c>
      <c r="F2171" t="s">
        <v>50</v>
      </c>
      <c r="G2171" t="s">
        <v>65</v>
      </c>
      <c r="H2171" t="s">
        <v>36</v>
      </c>
      <c r="I2171" t="s">
        <v>24</v>
      </c>
      <c r="J2171" t="s">
        <v>20</v>
      </c>
      <c r="K2171">
        <v>0</v>
      </c>
      <c r="L2171">
        <v>0</v>
      </c>
      <c r="M2171">
        <v>2.63</v>
      </c>
      <c r="N2171">
        <v>0</v>
      </c>
      <c r="O2171" t="str">
        <f>IF(financial_fraud_data[[#This Row],[Risk_Score]]&gt;8,"High",IF(financial_fraud_data[[#This Row],[Risk_Score]]&gt;5,"Med","Low"))</f>
        <v>Low</v>
      </c>
      <c r="P2171" t="str">
        <f>TEXT(financial_fraud_data[[#This Row],[Transaction_Date]],"MMM")</f>
        <v>Mar</v>
      </c>
      <c r="Q2171" t="str">
        <f>IF(financial_fraud_data[[#This Row],[Is_Fraud]]=1,"Yes","No")</f>
        <v>No</v>
      </c>
    </row>
    <row r="2172" spans="1:17" x14ac:dyDescent="0.2">
      <c r="A2172" t="s">
        <v>2699</v>
      </c>
      <c r="B2172" t="s">
        <v>772</v>
      </c>
      <c r="C2172" s="1">
        <v>45382.416666666664</v>
      </c>
      <c r="D2172">
        <v>34332.04</v>
      </c>
      <c r="E2172" t="s">
        <v>16</v>
      </c>
      <c r="F2172" t="s">
        <v>50</v>
      </c>
      <c r="G2172" t="s">
        <v>18</v>
      </c>
      <c r="H2172" t="s">
        <v>24</v>
      </c>
      <c r="I2172" t="s">
        <v>24</v>
      </c>
      <c r="J2172" t="s">
        <v>37</v>
      </c>
      <c r="K2172">
        <v>0</v>
      </c>
      <c r="L2172">
        <v>4</v>
      </c>
      <c r="M2172">
        <v>9.43</v>
      </c>
      <c r="N2172">
        <v>1</v>
      </c>
      <c r="O2172" t="str">
        <f>IF(financial_fraud_data[[#This Row],[Risk_Score]]&gt;8,"High",IF(financial_fraud_data[[#This Row],[Risk_Score]]&gt;5,"Med","Low"))</f>
        <v>High</v>
      </c>
      <c r="P2172" t="str">
        <f>TEXT(financial_fraud_data[[#This Row],[Transaction_Date]],"MMM")</f>
        <v>Mar</v>
      </c>
      <c r="Q2172" t="str">
        <f>IF(financial_fraud_data[[#This Row],[Is_Fraud]]=1,"Yes","No")</f>
        <v>Yes</v>
      </c>
    </row>
    <row r="2173" spans="1:17" x14ac:dyDescent="0.2">
      <c r="A2173" t="s">
        <v>2700</v>
      </c>
      <c r="B2173" t="s">
        <v>844</v>
      </c>
      <c r="C2173" s="1">
        <v>45382.458333333336</v>
      </c>
      <c r="D2173">
        <v>3528.58</v>
      </c>
      <c r="E2173" t="s">
        <v>16</v>
      </c>
      <c r="F2173" t="s">
        <v>27</v>
      </c>
      <c r="G2173" t="s">
        <v>35</v>
      </c>
      <c r="H2173" t="s">
        <v>36</v>
      </c>
      <c r="I2173" t="s">
        <v>36</v>
      </c>
      <c r="J2173" t="s">
        <v>51</v>
      </c>
      <c r="K2173">
        <v>0</v>
      </c>
      <c r="L2173">
        <v>1</v>
      </c>
      <c r="M2173">
        <v>1.85</v>
      </c>
      <c r="N2173">
        <v>0</v>
      </c>
      <c r="O2173" t="str">
        <f>IF(financial_fraud_data[[#This Row],[Risk_Score]]&gt;8,"High",IF(financial_fraud_data[[#This Row],[Risk_Score]]&gt;5,"Med","Low"))</f>
        <v>Low</v>
      </c>
      <c r="P2173" t="str">
        <f>TEXT(financial_fraud_data[[#This Row],[Transaction_Date]],"MMM")</f>
        <v>Mar</v>
      </c>
      <c r="Q2173" t="str">
        <f>IF(financial_fraud_data[[#This Row],[Is_Fraud]]=1,"Yes","No")</f>
        <v>No</v>
      </c>
    </row>
    <row r="2174" spans="1:17" x14ac:dyDescent="0.2">
      <c r="A2174" t="s">
        <v>2701</v>
      </c>
      <c r="B2174" t="s">
        <v>538</v>
      </c>
      <c r="C2174" s="1">
        <v>45382.5</v>
      </c>
      <c r="D2174">
        <v>8785.33</v>
      </c>
      <c r="E2174" t="s">
        <v>34</v>
      </c>
      <c r="F2174" t="s">
        <v>50</v>
      </c>
      <c r="G2174" t="s">
        <v>65</v>
      </c>
      <c r="H2174" t="s">
        <v>29</v>
      </c>
      <c r="I2174" t="s">
        <v>24</v>
      </c>
      <c r="J2174" t="s">
        <v>51</v>
      </c>
      <c r="K2174">
        <v>0</v>
      </c>
      <c r="L2174">
        <v>1</v>
      </c>
      <c r="M2174">
        <v>3.38</v>
      </c>
      <c r="N2174">
        <v>0</v>
      </c>
      <c r="O2174" t="str">
        <f>IF(financial_fraud_data[[#This Row],[Risk_Score]]&gt;8,"High",IF(financial_fraud_data[[#This Row],[Risk_Score]]&gt;5,"Med","Low"))</f>
        <v>Low</v>
      </c>
      <c r="P2174" t="str">
        <f>TEXT(financial_fraud_data[[#This Row],[Transaction_Date]],"MMM")</f>
        <v>Mar</v>
      </c>
      <c r="Q2174" t="str">
        <f>IF(financial_fraud_data[[#This Row],[Is_Fraud]]=1,"Yes","No")</f>
        <v>No</v>
      </c>
    </row>
    <row r="2175" spans="1:17" x14ac:dyDescent="0.2">
      <c r="A2175" t="s">
        <v>2702</v>
      </c>
      <c r="B2175" t="s">
        <v>2051</v>
      </c>
      <c r="C2175" s="1">
        <v>45382.541666666664</v>
      </c>
      <c r="D2175">
        <v>42794.080000000002</v>
      </c>
      <c r="E2175" t="s">
        <v>16</v>
      </c>
      <c r="F2175" t="s">
        <v>50</v>
      </c>
      <c r="G2175" t="s">
        <v>18</v>
      </c>
      <c r="H2175" t="s">
        <v>23</v>
      </c>
      <c r="I2175" t="s">
        <v>19</v>
      </c>
      <c r="J2175" t="s">
        <v>20</v>
      </c>
      <c r="K2175">
        <v>0</v>
      </c>
      <c r="L2175">
        <v>0</v>
      </c>
      <c r="M2175">
        <v>5.28</v>
      </c>
      <c r="N2175">
        <v>1</v>
      </c>
      <c r="O2175" t="str">
        <f>IF(financial_fraud_data[[#This Row],[Risk_Score]]&gt;8,"High",IF(financial_fraud_data[[#This Row],[Risk_Score]]&gt;5,"Med","Low"))</f>
        <v>Med</v>
      </c>
      <c r="P2175" t="str">
        <f>TEXT(financial_fraud_data[[#This Row],[Transaction_Date]],"MMM")</f>
        <v>Mar</v>
      </c>
      <c r="Q2175" t="str">
        <f>IF(financial_fraud_data[[#This Row],[Is_Fraud]]=1,"Yes","No")</f>
        <v>Yes</v>
      </c>
    </row>
    <row r="2176" spans="1:17" x14ac:dyDescent="0.2">
      <c r="A2176" t="s">
        <v>2703</v>
      </c>
      <c r="B2176" t="s">
        <v>1349</v>
      </c>
      <c r="C2176" s="1">
        <v>45382.583333333336</v>
      </c>
      <c r="D2176">
        <v>11397.62</v>
      </c>
      <c r="E2176" t="s">
        <v>42</v>
      </c>
      <c r="F2176" t="s">
        <v>47</v>
      </c>
      <c r="G2176" t="s">
        <v>35</v>
      </c>
      <c r="H2176" t="s">
        <v>29</v>
      </c>
      <c r="I2176" t="s">
        <v>29</v>
      </c>
      <c r="J2176" t="s">
        <v>37</v>
      </c>
      <c r="K2176">
        <v>1</v>
      </c>
      <c r="L2176">
        <v>2</v>
      </c>
      <c r="M2176">
        <v>6.14</v>
      </c>
      <c r="N2176">
        <v>1</v>
      </c>
      <c r="O2176" t="str">
        <f>IF(financial_fraud_data[[#This Row],[Risk_Score]]&gt;8,"High",IF(financial_fraud_data[[#This Row],[Risk_Score]]&gt;5,"Med","Low"))</f>
        <v>Med</v>
      </c>
      <c r="P2176" t="str">
        <f>TEXT(financial_fraud_data[[#This Row],[Transaction_Date]],"MMM")</f>
        <v>Mar</v>
      </c>
      <c r="Q2176" t="str">
        <f>IF(financial_fraud_data[[#This Row],[Is_Fraud]]=1,"Yes","No")</f>
        <v>Yes</v>
      </c>
    </row>
    <row r="2177" spans="1:17" x14ac:dyDescent="0.2">
      <c r="A2177" t="s">
        <v>2704</v>
      </c>
      <c r="B2177" t="s">
        <v>543</v>
      </c>
      <c r="C2177" s="1">
        <v>45382.625</v>
      </c>
      <c r="D2177">
        <v>41860.199999999997</v>
      </c>
      <c r="E2177" t="s">
        <v>34</v>
      </c>
      <c r="F2177" t="s">
        <v>47</v>
      </c>
      <c r="G2177" t="s">
        <v>18</v>
      </c>
      <c r="H2177" t="s">
        <v>36</v>
      </c>
      <c r="I2177" t="s">
        <v>36</v>
      </c>
      <c r="J2177" t="s">
        <v>37</v>
      </c>
      <c r="K2177">
        <v>0</v>
      </c>
      <c r="L2177">
        <v>1</v>
      </c>
      <c r="M2177">
        <v>5.69</v>
      </c>
      <c r="N2177">
        <v>1</v>
      </c>
      <c r="O2177" t="str">
        <f>IF(financial_fraud_data[[#This Row],[Risk_Score]]&gt;8,"High",IF(financial_fraud_data[[#This Row],[Risk_Score]]&gt;5,"Med","Low"))</f>
        <v>Med</v>
      </c>
      <c r="P2177" t="str">
        <f>TEXT(financial_fraud_data[[#This Row],[Transaction_Date]],"MMM")</f>
        <v>Mar</v>
      </c>
      <c r="Q2177" t="str">
        <f>IF(financial_fraud_data[[#This Row],[Is_Fraud]]=1,"Yes","No")</f>
        <v>Yes</v>
      </c>
    </row>
    <row r="2178" spans="1:17" x14ac:dyDescent="0.2">
      <c r="A2178" t="s">
        <v>2705</v>
      </c>
      <c r="B2178" t="s">
        <v>2706</v>
      </c>
      <c r="C2178" s="1">
        <v>45382.666666666664</v>
      </c>
      <c r="D2178">
        <v>13999.84</v>
      </c>
      <c r="E2178" t="s">
        <v>80</v>
      </c>
      <c r="F2178" t="s">
        <v>27</v>
      </c>
      <c r="G2178" t="s">
        <v>35</v>
      </c>
      <c r="H2178" t="s">
        <v>19</v>
      </c>
      <c r="I2178" t="s">
        <v>23</v>
      </c>
      <c r="J2178" t="s">
        <v>20</v>
      </c>
      <c r="K2178">
        <v>0</v>
      </c>
      <c r="L2178">
        <v>2</v>
      </c>
      <c r="M2178">
        <v>5.4</v>
      </c>
      <c r="N2178">
        <v>1</v>
      </c>
      <c r="O2178" t="str">
        <f>IF(financial_fraud_data[[#This Row],[Risk_Score]]&gt;8,"High",IF(financial_fraud_data[[#This Row],[Risk_Score]]&gt;5,"Med","Low"))</f>
        <v>Med</v>
      </c>
      <c r="P2178" t="str">
        <f>TEXT(financial_fraud_data[[#This Row],[Transaction_Date]],"MMM")</f>
        <v>Mar</v>
      </c>
      <c r="Q2178" t="str">
        <f>IF(financial_fraud_data[[#This Row],[Is_Fraud]]=1,"Yes","No")</f>
        <v>Yes</v>
      </c>
    </row>
    <row r="2179" spans="1:17" x14ac:dyDescent="0.2">
      <c r="A2179" t="s">
        <v>2707</v>
      </c>
      <c r="B2179" t="s">
        <v>1373</v>
      </c>
      <c r="C2179" s="1">
        <v>45382.708333333336</v>
      </c>
      <c r="D2179">
        <v>32161.95</v>
      </c>
      <c r="E2179" t="s">
        <v>34</v>
      </c>
      <c r="F2179" t="s">
        <v>27</v>
      </c>
      <c r="G2179" t="s">
        <v>35</v>
      </c>
      <c r="H2179" t="s">
        <v>29</v>
      </c>
      <c r="I2179" t="s">
        <v>23</v>
      </c>
      <c r="J2179" t="s">
        <v>37</v>
      </c>
      <c r="K2179">
        <v>0</v>
      </c>
      <c r="L2179">
        <v>4</v>
      </c>
      <c r="M2179">
        <v>10.220000000000001</v>
      </c>
      <c r="N2179">
        <v>1</v>
      </c>
      <c r="O2179" t="str">
        <f>IF(financial_fraud_data[[#This Row],[Risk_Score]]&gt;8,"High",IF(financial_fraud_data[[#This Row],[Risk_Score]]&gt;5,"Med","Low"))</f>
        <v>High</v>
      </c>
      <c r="P2179" t="str">
        <f>TEXT(financial_fraud_data[[#This Row],[Transaction_Date]],"MMM")</f>
        <v>Mar</v>
      </c>
      <c r="Q2179" t="str">
        <f>IF(financial_fraud_data[[#This Row],[Is_Fraud]]=1,"Yes","No")</f>
        <v>Yes</v>
      </c>
    </row>
    <row r="2180" spans="1:17" x14ac:dyDescent="0.2">
      <c r="A2180" t="s">
        <v>2708</v>
      </c>
      <c r="B2180" t="s">
        <v>1631</v>
      </c>
      <c r="C2180" s="1">
        <v>45382.75</v>
      </c>
      <c r="D2180">
        <v>34722.82</v>
      </c>
      <c r="E2180" t="s">
        <v>42</v>
      </c>
      <c r="F2180" t="s">
        <v>50</v>
      </c>
      <c r="G2180" t="s">
        <v>65</v>
      </c>
      <c r="H2180" t="s">
        <v>19</v>
      </c>
      <c r="I2180" t="s">
        <v>29</v>
      </c>
      <c r="J2180" t="s">
        <v>37</v>
      </c>
      <c r="K2180">
        <v>0</v>
      </c>
      <c r="L2180">
        <v>2</v>
      </c>
      <c r="M2180">
        <v>7.47</v>
      </c>
      <c r="N2180">
        <v>1</v>
      </c>
      <c r="O2180" t="str">
        <f>IF(financial_fraud_data[[#This Row],[Risk_Score]]&gt;8,"High",IF(financial_fraud_data[[#This Row],[Risk_Score]]&gt;5,"Med","Low"))</f>
        <v>Med</v>
      </c>
      <c r="P2180" t="str">
        <f>TEXT(financial_fraud_data[[#This Row],[Transaction_Date]],"MMM")</f>
        <v>Mar</v>
      </c>
      <c r="Q2180" t="str">
        <f>IF(financial_fraud_data[[#This Row],[Is_Fraud]]=1,"Yes","No")</f>
        <v>Yes</v>
      </c>
    </row>
    <row r="2181" spans="1:17" x14ac:dyDescent="0.2">
      <c r="A2181" t="s">
        <v>2709</v>
      </c>
      <c r="B2181" t="s">
        <v>729</v>
      </c>
      <c r="C2181" s="1">
        <v>45382.791666666664</v>
      </c>
      <c r="D2181">
        <v>25657.1</v>
      </c>
      <c r="E2181" t="s">
        <v>42</v>
      </c>
      <c r="F2181" t="s">
        <v>47</v>
      </c>
      <c r="G2181" t="s">
        <v>56</v>
      </c>
      <c r="H2181" t="s">
        <v>19</v>
      </c>
      <c r="I2181" t="s">
        <v>23</v>
      </c>
      <c r="J2181" t="s">
        <v>37</v>
      </c>
      <c r="K2181">
        <v>0</v>
      </c>
      <c r="L2181">
        <v>3</v>
      </c>
      <c r="M2181">
        <v>8.07</v>
      </c>
      <c r="N2181">
        <v>1</v>
      </c>
      <c r="O2181" t="str">
        <f>IF(financial_fraud_data[[#This Row],[Risk_Score]]&gt;8,"High",IF(financial_fraud_data[[#This Row],[Risk_Score]]&gt;5,"Med","Low"))</f>
        <v>High</v>
      </c>
      <c r="P2181" t="str">
        <f>TEXT(financial_fraud_data[[#This Row],[Transaction_Date]],"MMM")</f>
        <v>Mar</v>
      </c>
      <c r="Q2181" t="str">
        <f>IF(financial_fraud_data[[#This Row],[Is_Fraud]]=1,"Yes","No")</f>
        <v>Yes</v>
      </c>
    </row>
    <row r="2182" spans="1:17" x14ac:dyDescent="0.2">
      <c r="A2182" t="s">
        <v>2710</v>
      </c>
      <c r="B2182" t="s">
        <v>77</v>
      </c>
      <c r="C2182" s="1">
        <v>45382.833333333336</v>
      </c>
      <c r="D2182">
        <v>15300.27</v>
      </c>
      <c r="E2182" t="s">
        <v>42</v>
      </c>
      <c r="F2182" t="s">
        <v>27</v>
      </c>
      <c r="G2182" t="s">
        <v>35</v>
      </c>
      <c r="H2182" t="s">
        <v>36</v>
      </c>
      <c r="I2182" t="s">
        <v>19</v>
      </c>
      <c r="J2182" t="s">
        <v>37</v>
      </c>
      <c r="K2182">
        <v>0</v>
      </c>
      <c r="L2182">
        <v>2</v>
      </c>
      <c r="M2182">
        <v>5.53</v>
      </c>
      <c r="N2182">
        <v>1</v>
      </c>
      <c r="O2182" t="str">
        <f>IF(financial_fraud_data[[#This Row],[Risk_Score]]&gt;8,"High",IF(financial_fraud_data[[#This Row],[Risk_Score]]&gt;5,"Med","Low"))</f>
        <v>Med</v>
      </c>
      <c r="P2182" t="str">
        <f>TEXT(financial_fraud_data[[#This Row],[Transaction_Date]],"MMM")</f>
        <v>Mar</v>
      </c>
      <c r="Q2182" t="str">
        <f>IF(financial_fraud_data[[#This Row],[Is_Fraud]]=1,"Yes","No")</f>
        <v>Yes</v>
      </c>
    </row>
    <row r="2183" spans="1:17" x14ac:dyDescent="0.2">
      <c r="A2183" t="s">
        <v>2711</v>
      </c>
      <c r="B2183" t="s">
        <v>286</v>
      </c>
      <c r="C2183" s="1">
        <v>45382.875</v>
      </c>
      <c r="D2183">
        <v>10671.59</v>
      </c>
      <c r="E2183" t="s">
        <v>42</v>
      </c>
      <c r="F2183" t="s">
        <v>27</v>
      </c>
      <c r="G2183" t="s">
        <v>35</v>
      </c>
      <c r="H2183" t="s">
        <v>36</v>
      </c>
      <c r="I2183" t="s">
        <v>24</v>
      </c>
      <c r="J2183" t="s">
        <v>37</v>
      </c>
      <c r="K2183">
        <v>0</v>
      </c>
      <c r="L2183">
        <v>1</v>
      </c>
      <c r="M2183">
        <v>3.57</v>
      </c>
      <c r="N2183">
        <v>0</v>
      </c>
      <c r="O2183" t="str">
        <f>IF(financial_fraud_data[[#This Row],[Risk_Score]]&gt;8,"High",IF(financial_fraud_data[[#This Row],[Risk_Score]]&gt;5,"Med","Low"))</f>
        <v>Low</v>
      </c>
      <c r="P2183" t="str">
        <f>TEXT(financial_fraud_data[[#This Row],[Transaction_Date]],"MMM")</f>
        <v>Mar</v>
      </c>
      <c r="Q2183" t="str">
        <f>IF(financial_fraud_data[[#This Row],[Is_Fraud]]=1,"Yes","No")</f>
        <v>No</v>
      </c>
    </row>
    <row r="2184" spans="1:17" x14ac:dyDescent="0.2">
      <c r="A2184" t="s">
        <v>2712</v>
      </c>
      <c r="B2184" t="s">
        <v>1191</v>
      </c>
      <c r="C2184" s="1">
        <v>45382.916666666664</v>
      </c>
      <c r="D2184">
        <v>1707.81</v>
      </c>
      <c r="E2184" t="s">
        <v>42</v>
      </c>
      <c r="F2184" t="s">
        <v>17</v>
      </c>
      <c r="G2184" t="s">
        <v>65</v>
      </c>
      <c r="H2184" t="s">
        <v>23</v>
      </c>
      <c r="I2184" t="s">
        <v>29</v>
      </c>
      <c r="J2184" t="s">
        <v>37</v>
      </c>
      <c r="K2184">
        <v>0</v>
      </c>
      <c r="L2184">
        <v>2</v>
      </c>
      <c r="M2184">
        <v>4.17</v>
      </c>
      <c r="N2184">
        <v>0</v>
      </c>
      <c r="O2184" t="str">
        <f>IF(financial_fraud_data[[#This Row],[Risk_Score]]&gt;8,"High",IF(financial_fraud_data[[#This Row],[Risk_Score]]&gt;5,"Med","Low"))</f>
        <v>Low</v>
      </c>
      <c r="P2184" t="str">
        <f>TEXT(financial_fraud_data[[#This Row],[Transaction_Date]],"MMM")</f>
        <v>Mar</v>
      </c>
      <c r="Q2184" t="str">
        <f>IF(financial_fraud_data[[#This Row],[Is_Fraud]]=1,"Yes","No")</f>
        <v>No</v>
      </c>
    </row>
    <row r="2185" spans="1:17" x14ac:dyDescent="0.2">
      <c r="A2185" t="s">
        <v>2713</v>
      </c>
      <c r="B2185" t="s">
        <v>703</v>
      </c>
      <c r="C2185" s="1">
        <v>45382.958333333336</v>
      </c>
      <c r="D2185">
        <v>15232.12</v>
      </c>
      <c r="E2185" t="s">
        <v>80</v>
      </c>
      <c r="F2185" t="s">
        <v>27</v>
      </c>
      <c r="G2185" t="s">
        <v>56</v>
      </c>
      <c r="H2185" t="s">
        <v>24</v>
      </c>
      <c r="I2185" t="s">
        <v>36</v>
      </c>
      <c r="J2185" t="s">
        <v>37</v>
      </c>
      <c r="K2185">
        <v>0</v>
      </c>
      <c r="L2185">
        <v>2</v>
      </c>
      <c r="M2185">
        <v>5.52</v>
      </c>
      <c r="N2185">
        <v>1</v>
      </c>
      <c r="O2185" t="str">
        <f>IF(financial_fraud_data[[#This Row],[Risk_Score]]&gt;8,"High",IF(financial_fraud_data[[#This Row],[Risk_Score]]&gt;5,"Med","Low"))</f>
        <v>Med</v>
      </c>
      <c r="P2185" t="str">
        <f>TEXT(financial_fraud_data[[#This Row],[Transaction_Date]],"MMM")</f>
        <v>Mar</v>
      </c>
      <c r="Q2185" t="str">
        <f>IF(financial_fraud_data[[#This Row],[Is_Fraud]]=1,"Yes","No")</f>
        <v>Yes</v>
      </c>
    </row>
    <row r="2186" spans="1:17" x14ac:dyDescent="0.2">
      <c r="A2186" t="s">
        <v>2714</v>
      </c>
      <c r="B2186" t="s">
        <v>930</v>
      </c>
      <c r="C2186" s="1">
        <v>45383</v>
      </c>
      <c r="D2186">
        <v>32675.48</v>
      </c>
      <c r="E2186" t="s">
        <v>16</v>
      </c>
      <c r="F2186" t="s">
        <v>50</v>
      </c>
      <c r="G2186" t="s">
        <v>28</v>
      </c>
      <c r="H2186" t="s">
        <v>29</v>
      </c>
      <c r="I2186" t="s">
        <v>24</v>
      </c>
      <c r="J2186" t="s">
        <v>37</v>
      </c>
      <c r="K2186">
        <v>0</v>
      </c>
      <c r="L2186">
        <v>3</v>
      </c>
      <c r="M2186">
        <v>8.77</v>
      </c>
      <c r="N2186">
        <v>1</v>
      </c>
      <c r="O2186" t="str">
        <f>IF(financial_fraud_data[[#This Row],[Risk_Score]]&gt;8,"High",IF(financial_fraud_data[[#This Row],[Risk_Score]]&gt;5,"Med","Low"))</f>
        <v>High</v>
      </c>
      <c r="P2186" t="str">
        <f>TEXT(financial_fraud_data[[#This Row],[Transaction_Date]],"MMM")</f>
        <v>Apr</v>
      </c>
      <c r="Q2186" t="str">
        <f>IF(financial_fraud_data[[#This Row],[Is_Fraud]]=1,"Yes","No")</f>
        <v>Yes</v>
      </c>
    </row>
    <row r="2187" spans="1:17" x14ac:dyDescent="0.2">
      <c r="A2187" t="s">
        <v>2715</v>
      </c>
      <c r="B2187" t="s">
        <v>345</v>
      </c>
      <c r="C2187" s="1">
        <v>45383.041666666664</v>
      </c>
      <c r="D2187">
        <v>46918.33</v>
      </c>
      <c r="E2187" t="s">
        <v>42</v>
      </c>
      <c r="F2187" t="s">
        <v>47</v>
      </c>
      <c r="G2187" t="s">
        <v>28</v>
      </c>
      <c r="H2187" t="s">
        <v>36</v>
      </c>
      <c r="I2187" t="s">
        <v>23</v>
      </c>
      <c r="J2187" t="s">
        <v>51</v>
      </c>
      <c r="K2187">
        <v>0</v>
      </c>
      <c r="L2187">
        <v>3</v>
      </c>
      <c r="M2187">
        <v>10.19</v>
      </c>
      <c r="N2187">
        <v>1</v>
      </c>
      <c r="O2187" t="str">
        <f>IF(financial_fraud_data[[#This Row],[Risk_Score]]&gt;8,"High",IF(financial_fraud_data[[#This Row],[Risk_Score]]&gt;5,"Med","Low"))</f>
        <v>High</v>
      </c>
      <c r="P2187" t="str">
        <f>TEXT(financial_fraud_data[[#This Row],[Transaction_Date]],"MMM")</f>
        <v>Apr</v>
      </c>
      <c r="Q2187" t="str">
        <f>IF(financial_fraud_data[[#This Row],[Is_Fraud]]=1,"Yes","No")</f>
        <v>Yes</v>
      </c>
    </row>
    <row r="2188" spans="1:17" x14ac:dyDescent="0.2">
      <c r="A2188" t="s">
        <v>2716</v>
      </c>
      <c r="B2188" t="s">
        <v>1843</v>
      </c>
      <c r="C2188" s="1">
        <v>45383.083333333336</v>
      </c>
      <c r="D2188">
        <v>43566.66</v>
      </c>
      <c r="E2188" t="s">
        <v>42</v>
      </c>
      <c r="F2188" t="s">
        <v>27</v>
      </c>
      <c r="G2188" t="s">
        <v>56</v>
      </c>
      <c r="H2188" t="s">
        <v>29</v>
      </c>
      <c r="I2188" t="s">
        <v>23</v>
      </c>
      <c r="J2188" t="s">
        <v>20</v>
      </c>
      <c r="K2188">
        <v>0</v>
      </c>
      <c r="L2188">
        <v>0</v>
      </c>
      <c r="M2188">
        <v>5.36</v>
      </c>
      <c r="N2188">
        <v>1</v>
      </c>
      <c r="O2188" t="str">
        <f>IF(financial_fraud_data[[#This Row],[Risk_Score]]&gt;8,"High",IF(financial_fraud_data[[#This Row],[Risk_Score]]&gt;5,"Med","Low"))</f>
        <v>Med</v>
      </c>
      <c r="P2188" t="str">
        <f>TEXT(financial_fraud_data[[#This Row],[Transaction_Date]],"MMM")</f>
        <v>Apr</v>
      </c>
      <c r="Q2188" t="str">
        <f>IF(financial_fraud_data[[#This Row],[Is_Fraud]]=1,"Yes","No")</f>
        <v>Yes</v>
      </c>
    </row>
    <row r="2189" spans="1:17" x14ac:dyDescent="0.2">
      <c r="A2189" t="s">
        <v>2717</v>
      </c>
      <c r="B2189" t="s">
        <v>380</v>
      </c>
      <c r="C2189" s="1">
        <v>45383.125</v>
      </c>
      <c r="D2189">
        <v>38314.94</v>
      </c>
      <c r="E2189" t="s">
        <v>34</v>
      </c>
      <c r="F2189" t="s">
        <v>17</v>
      </c>
      <c r="G2189" t="s">
        <v>18</v>
      </c>
      <c r="H2189" t="s">
        <v>19</v>
      </c>
      <c r="I2189" t="s">
        <v>36</v>
      </c>
      <c r="J2189" t="s">
        <v>37</v>
      </c>
      <c r="K2189">
        <v>0</v>
      </c>
      <c r="L2189">
        <v>1</v>
      </c>
      <c r="M2189">
        <v>6.33</v>
      </c>
      <c r="N2189">
        <v>1</v>
      </c>
      <c r="O2189" t="str">
        <f>IF(financial_fraud_data[[#This Row],[Risk_Score]]&gt;8,"High",IF(financial_fraud_data[[#This Row],[Risk_Score]]&gt;5,"Med","Low"))</f>
        <v>Med</v>
      </c>
      <c r="P2189" t="str">
        <f>TEXT(financial_fraud_data[[#This Row],[Transaction_Date]],"MMM")</f>
        <v>Apr</v>
      </c>
      <c r="Q2189" t="str">
        <f>IF(financial_fraud_data[[#This Row],[Is_Fraud]]=1,"Yes","No")</f>
        <v>Yes</v>
      </c>
    </row>
    <row r="2190" spans="1:17" x14ac:dyDescent="0.2">
      <c r="A2190" t="s">
        <v>2718</v>
      </c>
      <c r="B2190" t="s">
        <v>474</v>
      </c>
      <c r="C2190" s="1">
        <v>45383.166666666664</v>
      </c>
      <c r="D2190">
        <v>39432.94</v>
      </c>
      <c r="E2190" t="s">
        <v>80</v>
      </c>
      <c r="F2190" t="s">
        <v>47</v>
      </c>
      <c r="G2190" t="s">
        <v>65</v>
      </c>
      <c r="H2190" t="s">
        <v>24</v>
      </c>
      <c r="I2190" t="s">
        <v>19</v>
      </c>
      <c r="J2190" t="s">
        <v>20</v>
      </c>
      <c r="K2190">
        <v>0</v>
      </c>
      <c r="L2190">
        <v>0</v>
      </c>
      <c r="M2190">
        <v>4.9400000000000004</v>
      </c>
      <c r="N2190">
        <v>0</v>
      </c>
      <c r="O2190" t="str">
        <f>IF(financial_fraud_data[[#This Row],[Risk_Score]]&gt;8,"High",IF(financial_fraud_data[[#This Row],[Risk_Score]]&gt;5,"Med","Low"))</f>
        <v>Low</v>
      </c>
      <c r="P2190" t="str">
        <f>TEXT(financial_fraud_data[[#This Row],[Transaction_Date]],"MMM")</f>
        <v>Apr</v>
      </c>
      <c r="Q2190" t="str">
        <f>IF(financial_fraud_data[[#This Row],[Is_Fraud]]=1,"Yes","No")</f>
        <v>No</v>
      </c>
    </row>
    <row r="2191" spans="1:17" x14ac:dyDescent="0.2">
      <c r="A2191" t="s">
        <v>2719</v>
      </c>
      <c r="B2191" t="s">
        <v>1235</v>
      </c>
      <c r="C2191" s="1">
        <v>45383.208333333336</v>
      </c>
      <c r="D2191">
        <v>33266</v>
      </c>
      <c r="E2191" t="s">
        <v>80</v>
      </c>
      <c r="F2191" t="s">
        <v>27</v>
      </c>
      <c r="G2191" t="s">
        <v>56</v>
      </c>
      <c r="H2191" t="s">
        <v>23</v>
      </c>
      <c r="I2191" t="s">
        <v>36</v>
      </c>
      <c r="J2191" t="s">
        <v>37</v>
      </c>
      <c r="K2191">
        <v>0</v>
      </c>
      <c r="L2191">
        <v>3</v>
      </c>
      <c r="M2191">
        <v>8.83</v>
      </c>
      <c r="N2191">
        <v>1</v>
      </c>
      <c r="O2191" t="str">
        <f>IF(financial_fraud_data[[#This Row],[Risk_Score]]&gt;8,"High",IF(financial_fraud_data[[#This Row],[Risk_Score]]&gt;5,"Med","Low"))</f>
        <v>High</v>
      </c>
      <c r="P2191" t="str">
        <f>TEXT(financial_fraud_data[[#This Row],[Transaction_Date]],"MMM")</f>
        <v>Apr</v>
      </c>
      <c r="Q2191" t="str">
        <f>IF(financial_fraud_data[[#This Row],[Is_Fraud]]=1,"Yes","No")</f>
        <v>Yes</v>
      </c>
    </row>
    <row r="2192" spans="1:17" x14ac:dyDescent="0.2">
      <c r="A2192" t="s">
        <v>2720</v>
      </c>
      <c r="B2192" t="s">
        <v>431</v>
      </c>
      <c r="C2192" s="1">
        <v>45383.25</v>
      </c>
      <c r="D2192">
        <v>13051.33</v>
      </c>
      <c r="E2192" t="s">
        <v>16</v>
      </c>
      <c r="F2192" t="s">
        <v>17</v>
      </c>
      <c r="G2192" t="s">
        <v>28</v>
      </c>
      <c r="H2192" t="s">
        <v>29</v>
      </c>
      <c r="I2192" t="s">
        <v>29</v>
      </c>
      <c r="J2192" t="s">
        <v>37</v>
      </c>
      <c r="K2192">
        <v>0</v>
      </c>
      <c r="L2192">
        <v>2</v>
      </c>
      <c r="M2192">
        <v>4.3099999999999996</v>
      </c>
      <c r="N2192">
        <v>0</v>
      </c>
      <c r="O2192" t="str">
        <f>IF(financial_fraud_data[[#This Row],[Risk_Score]]&gt;8,"High",IF(financial_fraud_data[[#This Row],[Risk_Score]]&gt;5,"Med","Low"))</f>
        <v>Low</v>
      </c>
      <c r="P2192" t="str">
        <f>TEXT(financial_fraud_data[[#This Row],[Transaction_Date]],"MMM")</f>
        <v>Apr</v>
      </c>
      <c r="Q2192" t="str">
        <f>IF(financial_fraud_data[[#This Row],[Is_Fraud]]=1,"Yes","No")</f>
        <v>No</v>
      </c>
    </row>
    <row r="2193" spans="1:17" x14ac:dyDescent="0.2">
      <c r="A2193" t="s">
        <v>2721</v>
      </c>
      <c r="B2193" t="s">
        <v>1286</v>
      </c>
      <c r="C2193" s="1">
        <v>45383.291666666664</v>
      </c>
      <c r="D2193">
        <v>45364.39</v>
      </c>
      <c r="E2193" t="s">
        <v>80</v>
      </c>
      <c r="F2193" t="s">
        <v>27</v>
      </c>
      <c r="G2193" t="s">
        <v>35</v>
      </c>
      <c r="H2193" t="s">
        <v>24</v>
      </c>
      <c r="I2193" t="s">
        <v>36</v>
      </c>
      <c r="J2193" t="s">
        <v>51</v>
      </c>
      <c r="K2193">
        <v>0</v>
      </c>
      <c r="L2193">
        <v>3</v>
      </c>
      <c r="M2193">
        <v>10.039999999999999</v>
      </c>
      <c r="N2193">
        <v>1</v>
      </c>
      <c r="O2193" t="str">
        <f>IF(financial_fraud_data[[#This Row],[Risk_Score]]&gt;8,"High",IF(financial_fraud_data[[#This Row],[Risk_Score]]&gt;5,"Med","Low"))</f>
        <v>High</v>
      </c>
      <c r="P2193" t="str">
        <f>TEXT(financial_fraud_data[[#This Row],[Transaction_Date]],"MMM")</f>
        <v>Apr</v>
      </c>
      <c r="Q2193" t="str">
        <f>IF(financial_fraud_data[[#This Row],[Is_Fraud]]=1,"Yes","No")</f>
        <v>Yes</v>
      </c>
    </row>
    <row r="2194" spans="1:17" x14ac:dyDescent="0.2">
      <c r="A2194" t="s">
        <v>2722</v>
      </c>
      <c r="B2194" t="s">
        <v>497</v>
      </c>
      <c r="C2194" s="1">
        <v>45383.333333333336</v>
      </c>
      <c r="D2194">
        <v>33553.08</v>
      </c>
      <c r="E2194" t="s">
        <v>34</v>
      </c>
      <c r="F2194" t="s">
        <v>47</v>
      </c>
      <c r="G2194" t="s">
        <v>28</v>
      </c>
      <c r="H2194" t="s">
        <v>23</v>
      </c>
      <c r="I2194" t="s">
        <v>23</v>
      </c>
      <c r="J2194" t="s">
        <v>20</v>
      </c>
      <c r="K2194">
        <v>0</v>
      </c>
      <c r="L2194">
        <v>4</v>
      </c>
      <c r="M2194">
        <v>9.36</v>
      </c>
      <c r="N2194">
        <v>1</v>
      </c>
      <c r="O2194" t="str">
        <f>IF(financial_fraud_data[[#This Row],[Risk_Score]]&gt;8,"High",IF(financial_fraud_data[[#This Row],[Risk_Score]]&gt;5,"Med","Low"))</f>
        <v>High</v>
      </c>
      <c r="P2194" t="str">
        <f>TEXT(financial_fraud_data[[#This Row],[Transaction_Date]],"MMM")</f>
        <v>Apr</v>
      </c>
      <c r="Q2194" t="str">
        <f>IF(financial_fraud_data[[#This Row],[Is_Fraud]]=1,"Yes","No")</f>
        <v>Yes</v>
      </c>
    </row>
    <row r="2195" spans="1:17" x14ac:dyDescent="0.2">
      <c r="A2195" t="s">
        <v>2723</v>
      </c>
      <c r="B2195" t="s">
        <v>435</v>
      </c>
      <c r="C2195" s="1">
        <v>45383.375</v>
      </c>
      <c r="D2195">
        <v>28044.01</v>
      </c>
      <c r="E2195" t="s">
        <v>34</v>
      </c>
      <c r="F2195" t="s">
        <v>47</v>
      </c>
      <c r="G2195" t="s">
        <v>35</v>
      </c>
      <c r="H2195" t="s">
        <v>29</v>
      </c>
      <c r="I2195" t="s">
        <v>19</v>
      </c>
      <c r="J2195" t="s">
        <v>20</v>
      </c>
      <c r="K2195">
        <v>0</v>
      </c>
      <c r="L2195">
        <v>2</v>
      </c>
      <c r="M2195">
        <v>6.8</v>
      </c>
      <c r="N2195">
        <v>1</v>
      </c>
      <c r="O2195" t="str">
        <f>IF(financial_fraud_data[[#This Row],[Risk_Score]]&gt;8,"High",IF(financial_fraud_data[[#This Row],[Risk_Score]]&gt;5,"Med","Low"))</f>
        <v>Med</v>
      </c>
      <c r="P2195" t="str">
        <f>TEXT(financial_fraud_data[[#This Row],[Transaction_Date]],"MMM")</f>
        <v>Apr</v>
      </c>
      <c r="Q2195" t="str">
        <f>IF(financial_fraud_data[[#This Row],[Is_Fraud]]=1,"Yes","No")</f>
        <v>Yes</v>
      </c>
    </row>
    <row r="2196" spans="1:17" x14ac:dyDescent="0.2">
      <c r="A2196" t="s">
        <v>2724</v>
      </c>
      <c r="B2196" t="s">
        <v>217</v>
      </c>
      <c r="C2196" s="1">
        <v>45383.416666666664</v>
      </c>
      <c r="D2196">
        <v>5593.92</v>
      </c>
      <c r="E2196" t="s">
        <v>16</v>
      </c>
      <c r="F2196" t="s">
        <v>47</v>
      </c>
      <c r="G2196" t="s">
        <v>65</v>
      </c>
      <c r="H2196" t="s">
        <v>24</v>
      </c>
      <c r="I2196" t="s">
        <v>19</v>
      </c>
      <c r="J2196" t="s">
        <v>51</v>
      </c>
      <c r="K2196">
        <v>0</v>
      </c>
      <c r="L2196">
        <v>0</v>
      </c>
      <c r="M2196">
        <v>1.56</v>
      </c>
      <c r="N2196">
        <v>0</v>
      </c>
      <c r="O2196" t="str">
        <f>IF(financial_fraud_data[[#This Row],[Risk_Score]]&gt;8,"High",IF(financial_fraud_data[[#This Row],[Risk_Score]]&gt;5,"Med","Low"))</f>
        <v>Low</v>
      </c>
      <c r="P2196" t="str">
        <f>TEXT(financial_fraud_data[[#This Row],[Transaction_Date]],"MMM")</f>
        <v>Apr</v>
      </c>
      <c r="Q2196" t="str">
        <f>IF(financial_fraud_data[[#This Row],[Is_Fraud]]=1,"Yes","No")</f>
        <v>No</v>
      </c>
    </row>
    <row r="2197" spans="1:17" x14ac:dyDescent="0.2">
      <c r="A2197" t="s">
        <v>2725</v>
      </c>
      <c r="B2197" t="s">
        <v>1099</v>
      </c>
      <c r="C2197" s="1">
        <v>45383.458333333336</v>
      </c>
      <c r="D2197">
        <v>22380.42</v>
      </c>
      <c r="E2197" t="s">
        <v>34</v>
      </c>
      <c r="F2197" t="s">
        <v>50</v>
      </c>
      <c r="G2197" t="s">
        <v>35</v>
      </c>
      <c r="H2197" t="s">
        <v>36</v>
      </c>
      <c r="I2197" t="s">
        <v>36</v>
      </c>
      <c r="J2197" t="s">
        <v>51</v>
      </c>
      <c r="K2197">
        <v>0</v>
      </c>
      <c r="L2197">
        <v>2</v>
      </c>
      <c r="M2197">
        <v>5.24</v>
      </c>
      <c r="N2197">
        <v>1</v>
      </c>
      <c r="O2197" t="str">
        <f>IF(financial_fraud_data[[#This Row],[Risk_Score]]&gt;8,"High",IF(financial_fraud_data[[#This Row],[Risk_Score]]&gt;5,"Med","Low"))</f>
        <v>Med</v>
      </c>
      <c r="P2197" t="str">
        <f>TEXT(financial_fraud_data[[#This Row],[Transaction_Date]],"MMM")</f>
        <v>Apr</v>
      </c>
      <c r="Q2197" t="str">
        <f>IF(financial_fraud_data[[#This Row],[Is_Fraud]]=1,"Yes","No")</f>
        <v>Yes</v>
      </c>
    </row>
    <row r="2198" spans="1:17" x14ac:dyDescent="0.2">
      <c r="A2198" t="s">
        <v>2726</v>
      </c>
      <c r="B2198" t="s">
        <v>767</v>
      </c>
      <c r="C2198" s="1">
        <v>45383.5</v>
      </c>
      <c r="D2198">
        <v>23044.9</v>
      </c>
      <c r="E2198" t="s">
        <v>42</v>
      </c>
      <c r="F2198" t="s">
        <v>27</v>
      </c>
      <c r="G2198" t="s">
        <v>56</v>
      </c>
      <c r="H2198" t="s">
        <v>29</v>
      </c>
      <c r="I2198" t="s">
        <v>29</v>
      </c>
      <c r="J2198" t="s">
        <v>20</v>
      </c>
      <c r="K2198">
        <v>0</v>
      </c>
      <c r="L2198">
        <v>4</v>
      </c>
      <c r="M2198">
        <v>8.3000000000000007</v>
      </c>
      <c r="N2198">
        <v>1</v>
      </c>
      <c r="O2198" t="str">
        <f>IF(financial_fraud_data[[#This Row],[Risk_Score]]&gt;8,"High",IF(financial_fraud_data[[#This Row],[Risk_Score]]&gt;5,"Med","Low"))</f>
        <v>High</v>
      </c>
      <c r="P2198" t="str">
        <f>TEXT(financial_fraud_data[[#This Row],[Transaction_Date]],"MMM")</f>
        <v>Apr</v>
      </c>
      <c r="Q2198" t="str">
        <f>IF(financial_fraud_data[[#This Row],[Is_Fraud]]=1,"Yes","No")</f>
        <v>Yes</v>
      </c>
    </row>
    <row r="2199" spans="1:17" x14ac:dyDescent="0.2">
      <c r="A2199" t="s">
        <v>2727</v>
      </c>
      <c r="B2199" t="s">
        <v>508</v>
      </c>
      <c r="C2199" s="1">
        <v>45383.541666666664</v>
      </c>
      <c r="D2199">
        <v>43234.95</v>
      </c>
      <c r="E2199" t="s">
        <v>42</v>
      </c>
      <c r="F2199" t="s">
        <v>50</v>
      </c>
      <c r="G2199" t="s">
        <v>35</v>
      </c>
      <c r="H2199" t="s">
        <v>24</v>
      </c>
      <c r="I2199" t="s">
        <v>23</v>
      </c>
      <c r="J2199" t="s">
        <v>37</v>
      </c>
      <c r="K2199">
        <v>0</v>
      </c>
      <c r="L2199">
        <v>3</v>
      </c>
      <c r="M2199">
        <v>9.82</v>
      </c>
      <c r="N2199">
        <v>1</v>
      </c>
      <c r="O2199" t="str">
        <f>IF(financial_fraud_data[[#This Row],[Risk_Score]]&gt;8,"High",IF(financial_fraud_data[[#This Row],[Risk_Score]]&gt;5,"Med","Low"))</f>
        <v>High</v>
      </c>
      <c r="P2199" t="str">
        <f>TEXT(financial_fraud_data[[#This Row],[Transaction_Date]],"MMM")</f>
        <v>Apr</v>
      </c>
      <c r="Q2199" t="str">
        <f>IF(financial_fraud_data[[#This Row],[Is_Fraud]]=1,"Yes","No")</f>
        <v>Yes</v>
      </c>
    </row>
    <row r="2200" spans="1:17" x14ac:dyDescent="0.2">
      <c r="A2200" t="s">
        <v>2728</v>
      </c>
      <c r="B2200" t="s">
        <v>835</v>
      </c>
      <c r="C2200" s="1">
        <v>45383.583333333336</v>
      </c>
      <c r="D2200">
        <v>27355.08</v>
      </c>
      <c r="E2200" t="s">
        <v>34</v>
      </c>
      <c r="F2200" t="s">
        <v>47</v>
      </c>
      <c r="G2200" t="s">
        <v>18</v>
      </c>
      <c r="H2200" t="s">
        <v>23</v>
      </c>
      <c r="I2200" t="s">
        <v>24</v>
      </c>
      <c r="J2200" t="s">
        <v>37</v>
      </c>
      <c r="K2200">
        <v>0</v>
      </c>
      <c r="L2200">
        <v>1</v>
      </c>
      <c r="M2200">
        <v>5.24</v>
      </c>
      <c r="N2200">
        <v>1</v>
      </c>
      <c r="O2200" t="str">
        <f>IF(financial_fraud_data[[#This Row],[Risk_Score]]&gt;8,"High",IF(financial_fraud_data[[#This Row],[Risk_Score]]&gt;5,"Med","Low"))</f>
        <v>Med</v>
      </c>
      <c r="P2200" t="str">
        <f>TEXT(financial_fraud_data[[#This Row],[Transaction_Date]],"MMM")</f>
        <v>Apr</v>
      </c>
      <c r="Q2200" t="str">
        <f>IF(financial_fraud_data[[#This Row],[Is_Fraud]]=1,"Yes","No")</f>
        <v>Yes</v>
      </c>
    </row>
    <row r="2201" spans="1:17" x14ac:dyDescent="0.2">
      <c r="A2201" t="s">
        <v>2729</v>
      </c>
      <c r="B2201" t="s">
        <v>333</v>
      </c>
      <c r="C2201" s="1">
        <v>45383.625</v>
      </c>
      <c r="D2201">
        <v>19051.009999999998</v>
      </c>
      <c r="E2201" t="s">
        <v>16</v>
      </c>
      <c r="F2201" t="s">
        <v>17</v>
      </c>
      <c r="G2201" t="s">
        <v>56</v>
      </c>
      <c r="H2201" t="s">
        <v>24</v>
      </c>
      <c r="I2201" t="s">
        <v>19</v>
      </c>
      <c r="J2201" t="s">
        <v>20</v>
      </c>
      <c r="K2201">
        <v>0</v>
      </c>
      <c r="L2201">
        <v>1</v>
      </c>
      <c r="M2201">
        <v>4.41</v>
      </c>
      <c r="N2201">
        <v>0</v>
      </c>
      <c r="O2201" t="str">
        <f>IF(financial_fraud_data[[#This Row],[Risk_Score]]&gt;8,"High",IF(financial_fraud_data[[#This Row],[Risk_Score]]&gt;5,"Med","Low"))</f>
        <v>Low</v>
      </c>
      <c r="P2201" t="str">
        <f>TEXT(financial_fraud_data[[#This Row],[Transaction_Date]],"MMM")</f>
        <v>Apr</v>
      </c>
      <c r="Q2201" t="str">
        <f>IF(financial_fraud_data[[#This Row],[Is_Fraud]]=1,"Yes","No")</f>
        <v>No</v>
      </c>
    </row>
    <row r="2202" spans="1:17" x14ac:dyDescent="0.2">
      <c r="A2202" t="s">
        <v>2730</v>
      </c>
      <c r="B2202" t="s">
        <v>703</v>
      </c>
      <c r="C2202" s="1">
        <v>45383.666666666664</v>
      </c>
      <c r="D2202">
        <v>48841.18</v>
      </c>
      <c r="E2202" t="s">
        <v>80</v>
      </c>
      <c r="F2202" t="s">
        <v>27</v>
      </c>
      <c r="G2202" t="s">
        <v>65</v>
      </c>
      <c r="H2202" t="s">
        <v>36</v>
      </c>
      <c r="I2202" t="s">
        <v>36</v>
      </c>
      <c r="J2202" t="s">
        <v>37</v>
      </c>
      <c r="K2202">
        <v>0</v>
      </c>
      <c r="L2202">
        <v>1</v>
      </c>
      <c r="M2202">
        <v>6.38</v>
      </c>
      <c r="N2202">
        <v>1</v>
      </c>
      <c r="O2202" t="str">
        <f>IF(financial_fraud_data[[#This Row],[Risk_Score]]&gt;8,"High",IF(financial_fraud_data[[#This Row],[Risk_Score]]&gt;5,"Med","Low"))</f>
        <v>Med</v>
      </c>
      <c r="P2202" t="str">
        <f>TEXT(financial_fraud_data[[#This Row],[Transaction_Date]],"MMM")</f>
        <v>Apr</v>
      </c>
      <c r="Q2202" t="str">
        <f>IF(financial_fraud_data[[#This Row],[Is_Fraud]]=1,"Yes","No")</f>
        <v>Yes</v>
      </c>
    </row>
    <row r="2203" spans="1:17" x14ac:dyDescent="0.2">
      <c r="A2203" t="s">
        <v>2731</v>
      </c>
      <c r="B2203" t="s">
        <v>1063</v>
      </c>
      <c r="C2203" s="1">
        <v>45383.708333333336</v>
      </c>
      <c r="D2203">
        <v>5580.49</v>
      </c>
      <c r="E2203" t="s">
        <v>16</v>
      </c>
      <c r="F2203" t="s">
        <v>50</v>
      </c>
      <c r="G2203" t="s">
        <v>56</v>
      </c>
      <c r="H2203" t="s">
        <v>29</v>
      </c>
      <c r="I2203" t="s">
        <v>29</v>
      </c>
      <c r="J2203" t="s">
        <v>51</v>
      </c>
      <c r="K2203">
        <v>0</v>
      </c>
      <c r="L2203">
        <v>3</v>
      </c>
      <c r="M2203">
        <v>5.0599999999999996</v>
      </c>
      <c r="N2203">
        <v>1</v>
      </c>
      <c r="O2203" t="str">
        <f>IF(financial_fraud_data[[#This Row],[Risk_Score]]&gt;8,"High",IF(financial_fraud_data[[#This Row],[Risk_Score]]&gt;5,"Med","Low"))</f>
        <v>Med</v>
      </c>
      <c r="P2203" t="str">
        <f>TEXT(financial_fraud_data[[#This Row],[Transaction_Date]],"MMM")</f>
        <v>Apr</v>
      </c>
      <c r="Q2203" t="str">
        <f>IF(financial_fraud_data[[#This Row],[Is_Fraud]]=1,"Yes","No")</f>
        <v>Yes</v>
      </c>
    </row>
    <row r="2204" spans="1:17" x14ac:dyDescent="0.2">
      <c r="A2204" t="s">
        <v>2732</v>
      </c>
      <c r="B2204" t="s">
        <v>510</v>
      </c>
      <c r="C2204" s="1">
        <v>45383.75</v>
      </c>
      <c r="D2204">
        <v>21156.29</v>
      </c>
      <c r="E2204" t="s">
        <v>80</v>
      </c>
      <c r="F2204" t="s">
        <v>27</v>
      </c>
      <c r="G2204" t="s">
        <v>18</v>
      </c>
      <c r="H2204" t="s">
        <v>29</v>
      </c>
      <c r="I2204" t="s">
        <v>29</v>
      </c>
      <c r="J2204" t="s">
        <v>51</v>
      </c>
      <c r="K2204">
        <v>0</v>
      </c>
      <c r="L2204">
        <v>1</v>
      </c>
      <c r="M2204">
        <v>3.62</v>
      </c>
      <c r="N2204">
        <v>0</v>
      </c>
      <c r="O2204" t="str">
        <f>IF(financial_fraud_data[[#This Row],[Risk_Score]]&gt;8,"High",IF(financial_fraud_data[[#This Row],[Risk_Score]]&gt;5,"Med","Low"))</f>
        <v>Low</v>
      </c>
      <c r="P2204" t="str">
        <f>TEXT(financial_fraud_data[[#This Row],[Transaction_Date]],"MMM")</f>
        <v>Apr</v>
      </c>
      <c r="Q2204" t="str">
        <f>IF(financial_fraud_data[[#This Row],[Is_Fraud]]=1,"Yes","No")</f>
        <v>No</v>
      </c>
    </row>
    <row r="2205" spans="1:17" x14ac:dyDescent="0.2">
      <c r="A2205" t="s">
        <v>2733</v>
      </c>
      <c r="B2205" t="s">
        <v>437</v>
      </c>
      <c r="C2205" s="1">
        <v>45383.791666666664</v>
      </c>
      <c r="D2205">
        <v>2149.13</v>
      </c>
      <c r="E2205" t="s">
        <v>34</v>
      </c>
      <c r="F2205" t="s">
        <v>17</v>
      </c>
      <c r="G2205" t="s">
        <v>65</v>
      </c>
      <c r="H2205" t="s">
        <v>29</v>
      </c>
      <c r="I2205" t="s">
        <v>23</v>
      </c>
      <c r="J2205" t="s">
        <v>51</v>
      </c>
      <c r="K2205">
        <v>0</v>
      </c>
      <c r="L2205">
        <v>4</v>
      </c>
      <c r="M2205">
        <v>7.21</v>
      </c>
      <c r="N2205">
        <v>1</v>
      </c>
      <c r="O2205" t="str">
        <f>IF(financial_fraud_data[[#This Row],[Risk_Score]]&gt;8,"High",IF(financial_fraud_data[[#This Row],[Risk_Score]]&gt;5,"Med","Low"))</f>
        <v>Med</v>
      </c>
      <c r="P2205" t="str">
        <f>TEXT(financial_fraud_data[[#This Row],[Transaction_Date]],"MMM")</f>
        <v>Apr</v>
      </c>
      <c r="Q2205" t="str">
        <f>IF(financial_fraud_data[[#This Row],[Is_Fraud]]=1,"Yes","No")</f>
        <v>Yes</v>
      </c>
    </row>
    <row r="2206" spans="1:17" x14ac:dyDescent="0.2">
      <c r="A2206" t="s">
        <v>2734</v>
      </c>
      <c r="B2206" t="s">
        <v>261</v>
      </c>
      <c r="C2206" s="1">
        <v>45383.833333333336</v>
      </c>
      <c r="D2206">
        <v>37008.21</v>
      </c>
      <c r="E2206" t="s">
        <v>34</v>
      </c>
      <c r="F2206" t="s">
        <v>50</v>
      </c>
      <c r="G2206" t="s">
        <v>28</v>
      </c>
      <c r="H2206" t="s">
        <v>36</v>
      </c>
      <c r="I2206" t="s">
        <v>19</v>
      </c>
      <c r="J2206" t="s">
        <v>20</v>
      </c>
      <c r="K2206">
        <v>0</v>
      </c>
      <c r="L2206">
        <v>3</v>
      </c>
      <c r="M2206">
        <v>9.1999999999999993</v>
      </c>
      <c r="N2206">
        <v>1</v>
      </c>
      <c r="O2206" t="str">
        <f>IF(financial_fraud_data[[#This Row],[Risk_Score]]&gt;8,"High",IF(financial_fraud_data[[#This Row],[Risk_Score]]&gt;5,"Med","Low"))</f>
        <v>High</v>
      </c>
      <c r="P2206" t="str">
        <f>TEXT(financial_fraud_data[[#This Row],[Transaction_Date]],"MMM")</f>
        <v>Apr</v>
      </c>
      <c r="Q2206" t="str">
        <f>IF(financial_fraud_data[[#This Row],[Is_Fraud]]=1,"Yes","No")</f>
        <v>Yes</v>
      </c>
    </row>
    <row r="2207" spans="1:17" x14ac:dyDescent="0.2">
      <c r="A2207" t="s">
        <v>2735</v>
      </c>
      <c r="B2207" t="s">
        <v>1574</v>
      </c>
      <c r="C2207" s="1">
        <v>45383.875</v>
      </c>
      <c r="D2207">
        <v>45907.92</v>
      </c>
      <c r="E2207" t="s">
        <v>42</v>
      </c>
      <c r="F2207" t="s">
        <v>47</v>
      </c>
      <c r="G2207" t="s">
        <v>18</v>
      </c>
      <c r="H2207" t="s">
        <v>23</v>
      </c>
      <c r="I2207" t="s">
        <v>23</v>
      </c>
      <c r="J2207" t="s">
        <v>20</v>
      </c>
      <c r="K2207">
        <v>0</v>
      </c>
      <c r="L2207">
        <v>1</v>
      </c>
      <c r="M2207">
        <v>6.09</v>
      </c>
      <c r="N2207">
        <v>1</v>
      </c>
      <c r="O2207" t="str">
        <f>IF(financial_fraud_data[[#This Row],[Risk_Score]]&gt;8,"High",IF(financial_fraud_data[[#This Row],[Risk_Score]]&gt;5,"Med","Low"))</f>
        <v>Med</v>
      </c>
      <c r="P2207" t="str">
        <f>TEXT(financial_fraud_data[[#This Row],[Transaction_Date]],"MMM")</f>
        <v>Apr</v>
      </c>
      <c r="Q2207" t="str">
        <f>IF(financial_fraud_data[[#This Row],[Is_Fraud]]=1,"Yes","No")</f>
        <v>Yes</v>
      </c>
    </row>
    <row r="2208" spans="1:17" x14ac:dyDescent="0.2">
      <c r="A2208" t="s">
        <v>2736</v>
      </c>
      <c r="B2208" t="s">
        <v>755</v>
      </c>
      <c r="C2208" s="1">
        <v>45383.916666666664</v>
      </c>
      <c r="D2208">
        <v>14037.86</v>
      </c>
      <c r="E2208" t="s">
        <v>80</v>
      </c>
      <c r="F2208" t="s">
        <v>50</v>
      </c>
      <c r="G2208" t="s">
        <v>65</v>
      </c>
      <c r="H2208" t="s">
        <v>29</v>
      </c>
      <c r="I2208" t="s">
        <v>24</v>
      </c>
      <c r="J2208" t="s">
        <v>20</v>
      </c>
      <c r="K2208">
        <v>0</v>
      </c>
      <c r="L2208">
        <v>0</v>
      </c>
      <c r="M2208">
        <v>2.4</v>
      </c>
      <c r="N2208">
        <v>0</v>
      </c>
      <c r="O2208" t="str">
        <f>IF(financial_fraud_data[[#This Row],[Risk_Score]]&gt;8,"High",IF(financial_fraud_data[[#This Row],[Risk_Score]]&gt;5,"Med","Low"))</f>
        <v>Low</v>
      </c>
      <c r="P2208" t="str">
        <f>TEXT(financial_fraud_data[[#This Row],[Transaction_Date]],"MMM")</f>
        <v>Apr</v>
      </c>
      <c r="Q2208" t="str">
        <f>IF(financial_fraud_data[[#This Row],[Is_Fraud]]=1,"Yes","No")</f>
        <v>No</v>
      </c>
    </row>
    <row r="2209" spans="1:17" x14ac:dyDescent="0.2">
      <c r="A2209" t="s">
        <v>2737</v>
      </c>
      <c r="B2209" t="s">
        <v>224</v>
      </c>
      <c r="C2209" s="1">
        <v>45383.958333333336</v>
      </c>
      <c r="D2209">
        <v>42924.17</v>
      </c>
      <c r="E2209" t="s">
        <v>16</v>
      </c>
      <c r="F2209" t="s">
        <v>27</v>
      </c>
      <c r="G2209" t="s">
        <v>35</v>
      </c>
      <c r="H2209" t="s">
        <v>23</v>
      </c>
      <c r="I2209" t="s">
        <v>24</v>
      </c>
      <c r="J2209" t="s">
        <v>37</v>
      </c>
      <c r="K2209">
        <v>0</v>
      </c>
      <c r="L2209">
        <v>3</v>
      </c>
      <c r="M2209">
        <v>9.7899999999999991</v>
      </c>
      <c r="N2209">
        <v>1</v>
      </c>
      <c r="O2209" t="str">
        <f>IF(financial_fraud_data[[#This Row],[Risk_Score]]&gt;8,"High",IF(financial_fraud_data[[#This Row],[Risk_Score]]&gt;5,"Med","Low"))</f>
        <v>High</v>
      </c>
      <c r="P2209" t="str">
        <f>TEXT(financial_fraud_data[[#This Row],[Transaction_Date]],"MMM")</f>
        <v>Apr</v>
      </c>
      <c r="Q2209" t="str">
        <f>IF(financial_fraud_data[[#This Row],[Is_Fraud]]=1,"Yes","No")</f>
        <v>Yes</v>
      </c>
    </row>
    <row r="2210" spans="1:17" x14ac:dyDescent="0.2">
      <c r="A2210" t="s">
        <v>2738</v>
      </c>
      <c r="B2210" t="s">
        <v>1636</v>
      </c>
      <c r="C2210" s="1">
        <v>45384</v>
      </c>
      <c r="D2210">
        <v>14646.3</v>
      </c>
      <c r="E2210" t="s">
        <v>34</v>
      </c>
      <c r="F2210" t="s">
        <v>27</v>
      </c>
      <c r="G2210" t="s">
        <v>56</v>
      </c>
      <c r="H2210" t="s">
        <v>24</v>
      </c>
      <c r="I2210" t="s">
        <v>24</v>
      </c>
      <c r="J2210" t="s">
        <v>20</v>
      </c>
      <c r="K2210">
        <v>0</v>
      </c>
      <c r="L2210">
        <v>3</v>
      </c>
      <c r="M2210">
        <v>5.96</v>
      </c>
      <c r="N2210">
        <v>1</v>
      </c>
      <c r="O2210" t="str">
        <f>IF(financial_fraud_data[[#This Row],[Risk_Score]]&gt;8,"High",IF(financial_fraud_data[[#This Row],[Risk_Score]]&gt;5,"Med","Low"))</f>
        <v>Med</v>
      </c>
      <c r="P2210" t="str">
        <f>TEXT(financial_fraud_data[[#This Row],[Transaction_Date]],"MMM")</f>
        <v>Apr</v>
      </c>
      <c r="Q2210" t="str">
        <f>IF(financial_fraud_data[[#This Row],[Is_Fraud]]=1,"Yes","No")</f>
        <v>Yes</v>
      </c>
    </row>
    <row r="2211" spans="1:17" x14ac:dyDescent="0.2">
      <c r="A2211" t="s">
        <v>2739</v>
      </c>
      <c r="B2211" t="s">
        <v>816</v>
      </c>
      <c r="C2211" s="1">
        <v>45384.041666666664</v>
      </c>
      <c r="D2211">
        <v>45542.97</v>
      </c>
      <c r="E2211" t="s">
        <v>16</v>
      </c>
      <c r="F2211" t="s">
        <v>27</v>
      </c>
      <c r="G2211" t="s">
        <v>65</v>
      </c>
      <c r="H2211" t="s">
        <v>23</v>
      </c>
      <c r="I2211" t="s">
        <v>29</v>
      </c>
      <c r="J2211" t="s">
        <v>20</v>
      </c>
      <c r="K2211">
        <v>0</v>
      </c>
      <c r="L2211">
        <v>2</v>
      </c>
      <c r="M2211">
        <v>8.5500000000000007</v>
      </c>
      <c r="N2211">
        <v>1</v>
      </c>
      <c r="O2211" t="str">
        <f>IF(financial_fraud_data[[#This Row],[Risk_Score]]&gt;8,"High",IF(financial_fraud_data[[#This Row],[Risk_Score]]&gt;5,"Med","Low"))</f>
        <v>High</v>
      </c>
      <c r="P2211" t="str">
        <f>TEXT(financial_fraud_data[[#This Row],[Transaction_Date]],"MMM")</f>
        <v>Apr</v>
      </c>
      <c r="Q2211" t="str">
        <f>IF(financial_fraud_data[[#This Row],[Is_Fraud]]=1,"Yes","No")</f>
        <v>Yes</v>
      </c>
    </row>
    <row r="2212" spans="1:17" x14ac:dyDescent="0.2">
      <c r="A2212" t="s">
        <v>2740</v>
      </c>
      <c r="B2212" t="s">
        <v>1017</v>
      </c>
      <c r="C2212" s="1">
        <v>45384.083333333336</v>
      </c>
      <c r="D2212">
        <v>37710.400000000001</v>
      </c>
      <c r="E2212" t="s">
        <v>42</v>
      </c>
      <c r="F2212" t="s">
        <v>27</v>
      </c>
      <c r="G2212" t="s">
        <v>56</v>
      </c>
      <c r="H2212" t="s">
        <v>23</v>
      </c>
      <c r="I2212" t="s">
        <v>19</v>
      </c>
      <c r="J2212" t="s">
        <v>51</v>
      </c>
      <c r="K2212">
        <v>0</v>
      </c>
      <c r="L2212">
        <v>1</v>
      </c>
      <c r="M2212">
        <v>6.27</v>
      </c>
      <c r="N2212">
        <v>1</v>
      </c>
      <c r="O2212" t="str">
        <f>IF(financial_fraud_data[[#This Row],[Risk_Score]]&gt;8,"High",IF(financial_fraud_data[[#This Row],[Risk_Score]]&gt;5,"Med","Low"))</f>
        <v>Med</v>
      </c>
      <c r="P2212" t="str">
        <f>TEXT(financial_fraud_data[[#This Row],[Transaction_Date]],"MMM")</f>
        <v>Apr</v>
      </c>
      <c r="Q2212" t="str">
        <f>IF(financial_fraud_data[[#This Row],[Is_Fraud]]=1,"Yes","No")</f>
        <v>Yes</v>
      </c>
    </row>
    <row r="2213" spans="1:17" x14ac:dyDescent="0.2">
      <c r="A2213" t="s">
        <v>2741</v>
      </c>
      <c r="B2213" t="s">
        <v>891</v>
      </c>
      <c r="C2213" s="1">
        <v>45384.125</v>
      </c>
      <c r="D2213">
        <v>40255.089999999997</v>
      </c>
      <c r="E2213" t="s">
        <v>80</v>
      </c>
      <c r="F2213" t="s">
        <v>47</v>
      </c>
      <c r="G2213" t="s">
        <v>35</v>
      </c>
      <c r="H2213" t="s">
        <v>29</v>
      </c>
      <c r="I2213" t="s">
        <v>23</v>
      </c>
      <c r="J2213" t="s">
        <v>37</v>
      </c>
      <c r="K2213">
        <v>0</v>
      </c>
      <c r="L2213">
        <v>0</v>
      </c>
      <c r="M2213">
        <v>5.03</v>
      </c>
      <c r="N2213">
        <v>1</v>
      </c>
      <c r="O2213" t="str">
        <f>IF(financial_fraud_data[[#This Row],[Risk_Score]]&gt;8,"High",IF(financial_fraud_data[[#This Row],[Risk_Score]]&gt;5,"Med","Low"))</f>
        <v>Med</v>
      </c>
      <c r="P2213" t="str">
        <f>TEXT(financial_fraud_data[[#This Row],[Transaction_Date]],"MMM")</f>
        <v>Apr</v>
      </c>
      <c r="Q2213" t="str">
        <f>IF(financial_fraud_data[[#This Row],[Is_Fraud]]=1,"Yes","No")</f>
        <v>Yes</v>
      </c>
    </row>
    <row r="2214" spans="1:17" x14ac:dyDescent="0.2">
      <c r="A2214" t="s">
        <v>2742</v>
      </c>
      <c r="B2214" t="s">
        <v>193</v>
      </c>
      <c r="C2214" s="1">
        <v>45384.166666666664</v>
      </c>
      <c r="D2214">
        <v>949.43</v>
      </c>
      <c r="E2214" t="s">
        <v>80</v>
      </c>
      <c r="F2214" t="s">
        <v>50</v>
      </c>
      <c r="G2214" t="s">
        <v>65</v>
      </c>
      <c r="H2214" t="s">
        <v>19</v>
      </c>
      <c r="I2214" t="s">
        <v>23</v>
      </c>
      <c r="J2214" t="s">
        <v>37</v>
      </c>
      <c r="K2214">
        <v>1</v>
      </c>
      <c r="L2214">
        <v>4</v>
      </c>
      <c r="M2214">
        <v>9.09</v>
      </c>
      <c r="N2214">
        <v>1</v>
      </c>
      <c r="O2214" t="str">
        <f>IF(financial_fraud_data[[#This Row],[Risk_Score]]&gt;8,"High",IF(financial_fraud_data[[#This Row],[Risk_Score]]&gt;5,"Med","Low"))</f>
        <v>High</v>
      </c>
      <c r="P2214" t="str">
        <f>TEXT(financial_fraud_data[[#This Row],[Transaction_Date]],"MMM")</f>
        <v>Apr</v>
      </c>
      <c r="Q2214" t="str">
        <f>IF(financial_fraud_data[[#This Row],[Is_Fraud]]=1,"Yes","No")</f>
        <v>Yes</v>
      </c>
    </row>
    <row r="2215" spans="1:17" x14ac:dyDescent="0.2">
      <c r="A2215" t="s">
        <v>2743</v>
      </c>
      <c r="B2215" t="s">
        <v>974</v>
      </c>
      <c r="C2215" s="1">
        <v>45384.208333333336</v>
      </c>
      <c r="D2215">
        <v>48142.38</v>
      </c>
      <c r="E2215" t="s">
        <v>34</v>
      </c>
      <c r="F2215" t="s">
        <v>47</v>
      </c>
      <c r="G2215" t="s">
        <v>28</v>
      </c>
      <c r="H2215" t="s">
        <v>19</v>
      </c>
      <c r="I2215" t="s">
        <v>24</v>
      </c>
      <c r="J2215" t="s">
        <v>51</v>
      </c>
      <c r="K2215">
        <v>0</v>
      </c>
      <c r="L2215">
        <v>3</v>
      </c>
      <c r="M2215">
        <v>10.31</v>
      </c>
      <c r="N2215">
        <v>1</v>
      </c>
      <c r="O2215" t="str">
        <f>IF(financial_fraud_data[[#This Row],[Risk_Score]]&gt;8,"High",IF(financial_fraud_data[[#This Row],[Risk_Score]]&gt;5,"Med","Low"))</f>
        <v>High</v>
      </c>
      <c r="P2215" t="str">
        <f>TEXT(financial_fraud_data[[#This Row],[Transaction_Date]],"MMM")</f>
        <v>Apr</v>
      </c>
      <c r="Q2215" t="str">
        <f>IF(financial_fraud_data[[#This Row],[Is_Fraud]]=1,"Yes","No")</f>
        <v>Yes</v>
      </c>
    </row>
    <row r="2216" spans="1:17" x14ac:dyDescent="0.2">
      <c r="A2216" t="s">
        <v>2744</v>
      </c>
      <c r="B2216" t="s">
        <v>883</v>
      </c>
      <c r="C2216" s="1">
        <v>45384.25</v>
      </c>
      <c r="D2216">
        <v>36347.22</v>
      </c>
      <c r="E2216" t="s">
        <v>80</v>
      </c>
      <c r="F2216" t="s">
        <v>47</v>
      </c>
      <c r="G2216" t="s">
        <v>18</v>
      </c>
      <c r="H2216" t="s">
        <v>36</v>
      </c>
      <c r="I2216" t="s">
        <v>19</v>
      </c>
      <c r="J2216" t="s">
        <v>37</v>
      </c>
      <c r="K2216">
        <v>0</v>
      </c>
      <c r="L2216">
        <v>4</v>
      </c>
      <c r="M2216">
        <v>10.63</v>
      </c>
      <c r="N2216">
        <v>1</v>
      </c>
      <c r="O2216" t="str">
        <f>IF(financial_fraud_data[[#This Row],[Risk_Score]]&gt;8,"High",IF(financial_fraud_data[[#This Row],[Risk_Score]]&gt;5,"Med","Low"))</f>
        <v>High</v>
      </c>
      <c r="P2216" t="str">
        <f>TEXT(financial_fraud_data[[#This Row],[Transaction_Date]],"MMM")</f>
        <v>Apr</v>
      </c>
      <c r="Q2216" t="str">
        <f>IF(financial_fraud_data[[#This Row],[Is_Fraud]]=1,"Yes","No")</f>
        <v>Yes</v>
      </c>
    </row>
    <row r="2217" spans="1:17" x14ac:dyDescent="0.2">
      <c r="A2217" t="s">
        <v>2745</v>
      </c>
      <c r="B2217" t="s">
        <v>123</v>
      </c>
      <c r="C2217" s="1">
        <v>45384.291666666664</v>
      </c>
      <c r="D2217">
        <v>15272.32</v>
      </c>
      <c r="E2217" t="s">
        <v>34</v>
      </c>
      <c r="F2217" t="s">
        <v>47</v>
      </c>
      <c r="G2217" t="s">
        <v>65</v>
      </c>
      <c r="H2217" t="s">
        <v>36</v>
      </c>
      <c r="I2217" t="s">
        <v>19</v>
      </c>
      <c r="J2217" t="s">
        <v>20</v>
      </c>
      <c r="K2217">
        <v>0</v>
      </c>
      <c r="L2217">
        <v>4</v>
      </c>
      <c r="M2217">
        <v>8.5299999999999994</v>
      </c>
      <c r="N2217">
        <v>1</v>
      </c>
      <c r="O2217" t="str">
        <f>IF(financial_fraud_data[[#This Row],[Risk_Score]]&gt;8,"High",IF(financial_fraud_data[[#This Row],[Risk_Score]]&gt;5,"Med","Low"))</f>
        <v>High</v>
      </c>
      <c r="P2217" t="str">
        <f>TEXT(financial_fraud_data[[#This Row],[Transaction_Date]],"MMM")</f>
        <v>Apr</v>
      </c>
      <c r="Q2217" t="str">
        <f>IF(financial_fraud_data[[#This Row],[Is_Fraud]]=1,"Yes","No")</f>
        <v>Yes</v>
      </c>
    </row>
    <row r="2218" spans="1:17" x14ac:dyDescent="0.2">
      <c r="A2218" t="s">
        <v>2746</v>
      </c>
      <c r="B2218" t="s">
        <v>419</v>
      </c>
      <c r="C2218" s="1">
        <v>45384.333333333336</v>
      </c>
      <c r="D2218">
        <v>41478.26</v>
      </c>
      <c r="E2218" t="s">
        <v>42</v>
      </c>
      <c r="F2218" t="s">
        <v>27</v>
      </c>
      <c r="G2218" t="s">
        <v>35</v>
      </c>
      <c r="H2218" t="s">
        <v>19</v>
      </c>
      <c r="I2218" t="s">
        <v>36</v>
      </c>
      <c r="J2218" t="s">
        <v>37</v>
      </c>
      <c r="K2218">
        <v>0</v>
      </c>
      <c r="L2218">
        <v>4</v>
      </c>
      <c r="M2218">
        <v>11.15</v>
      </c>
      <c r="N2218">
        <v>1</v>
      </c>
      <c r="O2218" t="str">
        <f>IF(financial_fraud_data[[#This Row],[Risk_Score]]&gt;8,"High",IF(financial_fraud_data[[#This Row],[Risk_Score]]&gt;5,"Med","Low"))</f>
        <v>High</v>
      </c>
      <c r="P2218" t="str">
        <f>TEXT(financial_fraud_data[[#This Row],[Transaction_Date]],"MMM")</f>
        <v>Apr</v>
      </c>
      <c r="Q2218" t="str">
        <f>IF(financial_fraud_data[[#This Row],[Is_Fraud]]=1,"Yes","No")</f>
        <v>Yes</v>
      </c>
    </row>
    <row r="2219" spans="1:17" x14ac:dyDescent="0.2">
      <c r="A2219" t="s">
        <v>2747</v>
      </c>
      <c r="B2219" t="s">
        <v>474</v>
      </c>
      <c r="C2219" s="1">
        <v>45384.375</v>
      </c>
      <c r="D2219">
        <v>14111.98</v>
      </c>
      <c r="E2219" t="s">
        <v>80</v>
      </c>
      <c r="F2219" t="s">
        <v>27</v>
      </c>
      <c r="G2219" t="s">
        <v>65</v>
      </c>
      <c r="H2219" t="s">
        <v>24</v>
      </c>
      <c r="I2219" t="s">
        <v>19</v>
      </c>
      <c r="J2219" t="s">
        <v>51</v>
      </c>
      <c r="K2219">
        <v>0</v>
      </c>
      <c r="L2219">
        <v>2</v>
      </c>
      <c r="M2219">
        <v>5.41</v>
      </c>
      <c r="N2219">
        <v>1</v>
      </c>
      <c r="O2219" t="str">
        <f>IF(financial_fraud_data[[#This Row],[Risk_Score]]&gt;8,"High",IF(financial_fraud_data[[#This Row],[Risk_Score]]&gt;5,"Med","Low"))</f>
        <v>Med</v>
      </c>
      <c r="P2219" t="str">
        <f>TEXT(financial_fraud_data[[#This Row],[Transaction_Date]],"MMM")</f>
        <v>Apr</v>
      </c>
      <c r="Q2219" t="str">
        <f>IF(financial_fraud_data[[#This Row],[Is_Fraud]]=1,"Yes","No")</f>
        <v>Yes</v>
      </c>
    </row>
    <row r="2220" spans="1:17" x14ac:dyDescent="0.2">
      <c r="A2220" t="s">
        <v>2748</v>
      </c>
      <c r="B2220" t="s">
        <v>649</v>
      </c>
      <c r="C2220" s="1">
        <v>45384.416666666664</v>
      </c>
      <c r="D2220">
        <v>43644.05</v>
      </c>
      <c r="E2220" t="s">
        <v>34</v>
      </c>
      <c r="F2220" t="s">
        <v>27</v>
      </c>
      <c r="G2220" t="s">
        <v>56</v>
      </c>
      <c r="H2220" t="s">
        <v>29</v>
      </c>
      <c r="I2220" t="s">
        <v>19</v>
      </c>
      <c r="J2220" t="s">
        <v>37</v>
      </c>
      <c r="K2220">
        <v>0</v>
      </c>
      <c r="L2220">
        <v>4</v>
      </c>
      <c r="M2220">
        <v>11.36</v>
      </c>
      <c r="N2220">
        <v>1</v>
      </c>
      <c r="O2220" t="str">
        <f>IF(financial_fraud_data[[#This Row],[Risk_Score]]&gt;8,"High",IF(financial_fraud_data[[#This Row],[Risk_Score]]&gt;5,"Med","Low"))</f>
        <v>High</v>
      </c>
      <c r="P2220" t="str">
        <f>TEXT(financial_fraud_data[[#This Row],[Transaction_Date]],"MMM")</f>
        <v>Apr</v>
      </c>
      <c r="Q2220" t="str">
        <f>IF(financial_fraud_data[[#This Row],[Is_Fraud]]=1,"Yes","No")</f>
        <v>Yes</v>
      </c>
    </row>
    <row r="2221" spans="1:17" x14ac:dyDescent="0.2">
      <c r="A2221" t="s">
        <v>2749</v>
      </c>
      <c r="B2221" t="s">
        <v>1693</v>
      </c>
      <c r="C2221" s="1">
        <v>45384.458333333336</v>
      </c>
      <c r="D2221">
        <v>5673.39</v>
      </c>
      <c r="E2221" t="s">
        <v>16</v>
      </c>
      <c r="F2221" t="s">
        <v>50</v>
      </c>
      <c r="G2221" t="s">
        <v>65</v>
      </c>
      <c r="H2221" t="s">
        <v>29</v>
      </c>
      <c r="I2221" t="s">
        <v>23</v>
      </c>
      <c r="J2221" t="s">
        <v>51</v>
      </c>
      <c r="K2221">
        <v>0</v>
      </c>
      <c r="L2221">
        <v>1</v>
      </c>
      <c r="M2221">
        <v>3.07</v>
      </c>
      <c r="N2221">
        <v>0</v>
      </c>
      <c r="O2221" t="str">
        <f>IF(financial_fraud_data[[#This Row],[Risk_Score]]&gt;8,"High",IF(financial_fraud_data[[#This Row],[Risk_Score]]&gt;5,"Med","Low"))</f>
        <v>Low</v>
      </c>
      <c r="P2221" t="str">
        <f>TEXT(financial_fraud_data[[#This Row],[Transaction_Date]],"MMM")</f>
        <v>Apr</v>
      </c>
      <c r="Q2221" t="str">
        <f>IF(financial_fraud_data[[#This Row],[Is_Fraud]]=1,"Yes","No")</f>
        <v>No</v>
      </c>
    </row>
    <row r="2222" spans="1:17" x14ac:dyDescent="0.2">
      <c r="A2222" t="s">
        <v>2750</v>
      </c>
      <c r="B2222" t="s">
        <v>879</v>
      </c>
      <c r="C2222" s="1">
        <v>45384.5</v>
      </c>
      <c r="D2222">
        <v>35199.11</v>
      </c>
      <c r="E2222" t="s">
        <v>34</v>
      </c>
      <c r="F2222" t="s">
        <v>17</v>
      </c>
      <c r="G2222" t="s">
        <v>28</v>
      </c>
      <c r="H2222" t="s">
        <v>24</v>
      </c>
      <c r="I2222" t="s">
        <v>19</v>
      </c>
      <c r="J2222" t="s">
        <v>20</v>
      </c>
      <c r="K2222">
        <v>1</v>
      </c>
      <c r="L2222">
        <v>1</v>
      </c>
      <c r="M2222">
        <v>8.02</v>
      </c>
      <c r="N2222">
        <v>1</v>
      </c>
      <c r="O2222" t="str">
        <f>IF(financial_fraud_data[[#This Row],[Risk_Score]]&gt;8,"High",IF(financial_fraud_data[[#This Row],[Risk_Score]]&gt;5,"Med","Low"))</f>
        <v>High</v>
      </c>
      <c r="P2222" t="str">
        <f>TEXT(financial_fraud_data[[#This Row],[Transaction_Date]],"MMM")</f>
        <v>Apr</v>
      </c>
      <c r="Q2222" t="str">
        <f>IF(financial_fraud_data[[#This Row],[Is_Fraud]]=1,"Yes","No")</f>
        <v>Yes</v>
      </c>
    </row>
    <row r="2223" spans="1:17" x14ac:dyDescent="0.2">
      <c r="A2223" t="s">
        <v>2751</v>
      </c>
      <c r="B2223" t="s">
        <v>879</v>
      </c>
      <c r="C2223" s="1">
        <v>45384.541666666664</v>
      </c>
      <c r="D2223">
        <v>27057.89</v>
      </c>
      <c r="E2223" t="s">
        <v>80</v>
      </c>
      <c r="F2223" t="s">
        <v>27</v>
      </c>
      <c r="G2223" t="s">
        <v>65</v>
      </c>
      <c r="H2223" t="s">
        <v>24</v>
      </c>
      <c r="I2223" t="s">
        <v>19</v>
      </c>
      <c r="J2223" t="s">
        <v>20</v>
      </c>
      <c r="K2223">
        <v>0</v>
      </c>
      <c r="L2223">
        <v>0</v>
      </c>
      <c r="M2223">
        <v>3.71</v>
      </c>
      <c r="N2223">
        <v>0</v>
      </c>
      <c r="O2223" t="str">
        <f>IF(financial_fraud_data[[#This Row],[Risk_Score]]&gt;8,"High",IF(financial_fraud_data[[#This Row],[Risk_Score]]&gt;5,"Med","Low"))</f>
        <v>Low</v>
      </c>
      <c r="P2223" t="str">
        <f>TEXT(financial_fraud_data[[#This Row],[Transaction_Date]],"MMM")</f>
        <v>Apr</v>
      </c>
      <c r="Q2223" t="str">
        <f>IF(financial_fraud_data[[#This Row],[Is_Fraud]]=1,"Yes","No")</f>
        <v>No</v>
      </c>
    </row>
    <row r="2224" spans="1:17" x14ac:dyDescent="0.2">
      <c r="A2224" t="s">
        <v>2752</v>
      </c>
      <c r="B2224" t="s">
        <v>376</v>
      </c>
      <c r="C2224" s="1">
        <v>45384.583333333336</v>
      </c>
      <c r="D2224">
        <v>4871.8999999999996</v>
      </c>
      <c r="E2224" t="s">
        <v>42</v>
      </c>
      <c r="F2224" t="s">
        <v>50</v>
      </c>
      <c r="G2224" t="s">
        <v>18</v>
      </c>
      <c r="H2224" t="s">
        <v>19</v>
      </c>
      <c r="I2224" t="s">
        <v>23</v>
      </c>
      <c r="J2224" t="s">
        <v>51</v>
      </c>
      <c r="K2224">
        <v>0</v>
      </c>
      <c r="L2224">
        <v>0</v>
      </c>
      <c r="M2224">
        <v>1.49</v>
      </c>
      <c r="N2224">
        <v>0</v>
      </c>
      <c r="O2224" t="str">
        <f>IF(financial_fraud_data[[#This Row],[Risk_Score]]&gt;8,"High",IF(financial_fraud_data[[#This Row],[Risk_Score]]&gt;5,"Med","Low"))</f>
        <v>Low</v>
      </c>
      <c r="P2224" t="str">
        <f>TEXT(financial_fraud_data[[#This Row],[Transaction_Date]],"MMM")</f>
        <v>Apr</v>
      </c>
      <c r="Q2224" t="str">
        <f>IF(financial_fraud_data[[#This Row],[Is_Fraud]]=1,"Yes","No")</f>
        <v>No</v>
      </c>
    </row>
    <row r="2225" spans="1:17" x14ac:dyDescent="0.2">
      <c r="A2225" t="s">
        <v>2753</v>
      </c>
      <c r="B2225" t="s">
        <v>376</v>
      </c>
      <c r="C2225" s="1">
        <v>45384.625</v>
      </c>
      <c r="D2225">
        <v>12132.6</v>
      </c>
      <c r="E2225" t="s">
        <v>80</v>
      </c>
      <c r="F2225" t="s">
        <v>27</v>
      </c>
      <c r="G2225" t="s">
        <v>65</v>
      </c>
      <c r="H2225" t="s">
        <v>36</v>
      </c>
      <c r="I2225" t="s">
        <v>19</v>
      </c>
      <c r="J2225" t="s">
        <v>20</v>
      </c>
      <c r="K2225">
        <v>0</v>
      </c>
      <c r="L2225">
        <v>4</v>
      </c>
      <c r="M2225">
        <v>8.2100000000000009</v>
      </c>
      <c r="N2225">
        <v>1</v>
      </c>
      <c r="O2225" t="str">
        <f>IF(financial_fraud_data[[#This Row],[Risk_Score]]&gt;8,"High",IF(financial_fraud_data[[#This Row],[Risk_Score]]&gt;5,"Med","Low"))</f>
        <v>High</v>
      </c>
      <c r="P2225" t="str">
        <f>TEXT(financial_fraud_data[[#This Row],[Transaction_Date]],"MMM")</f>
        <v>Apr</v>
      </c>
      <c r="Q2225" t="str">
        <f>IF(financial_fraud_data[[#This Row],[Is_Fraud]]=1,"Yes","No")</f>
        <v>Yes</v>
      </c>
    </row>
    <row r="2226" spans="1:17" x14ac:dyDescent="0.2">
      <c r="A2226" t="s">
        <v>2754</v>
      </c>
      <c r="B2226" t="s">
        <v>999</v>
      </c>
      <c r="C2226" s="1">
        <v>45384.666666666664</v>
      </c>
      <c r="D2226">
        <v>669.58</v>
      </c>
      <c r="E2226" t="s">
        <v>80</v>
      </c>
      <c r="F2226" t="s">
        <v>27</v>
      </c>
      <c r="G2226" t="s">
        <v>56</v>
      </c>
      <c r="H2226" t="s">
        <v>24</v>
      </c>
      <c r="I2226" t="s">
        <v>23</v>
      </c>
      <c r="J2226" t="s">
        <v>20</v>
      </c>
      <c r="K2226">
        <v>0</v>
      </c>
      <c r="L2226">
        <v>4</v>
      </c>
      <c r="M2226">
        <v>7.07</v>
      </c>
      <c r="N2226">
        <v>1</v>
      </c>
      <c r="O2226" t="str">
        <f>IF(financial_fraud_data[[#This Row],[Risk_Score]]&gt;8,"High",IF(financial_fraud_data[[#This Row],[Risk_Score]]&gt;5,"Med","Low"))</f>
        <v>Med</v>
      </c>
      <c r="P2226" t="str">
        <f>TEXT(financial_fraud_data[[#This Row],[Transaction_Date]],"MMM")</f>
        <v>Apr</v>
      </c>
      <c r="Q2226" t="str">
        <f>IF(financial_fraud_data[[#This Row],[Is_Fraud]]=1,"Yes","No")</f>
        <v>Yes</v>
      </c>
    </row>
    <row r="2227" spans="1:17" x14ac:dyDescent="0.2">
      <c r="A2227" t="s">
        <v>2755</v>
      </c>
      <c r="B2227" t="s">
        <v>1268</v>
      </c>
      <c r="C2227" s="1">
        <v>45384.708333333336</v>
      </c>
      <c r="D2227">
        <v>23464.959999999999</v>
      </c>
      <c r="E2227" t="s">
        <v>34</v>
      </c>
      <c r="F2227" t="s">
        <v>47</v>
      </c>
      <c r="G2227" t="s">
        <v>65</v>
      </c>
      <c r="H2227" t="s">
        <v>36</v>
      </c>
      <c r="I2227" t="s">
        <v>36</v>
      </c>
      <c r="J2227" t="s">
        <v>37</v>
      </c>
      <c r="K2227">
        <v>0</v>
      </c>
      <c r="L2227">
        <v>2</v>
      </c>
      <c r="M2227">
        <v>5.35</v>
      </c>
      <c r="N2227">
        <v>1</v>
      </c>
      <c r="O2227" t="str">
        <f>IF(financial_fraud_data[[#This Row],[Risk_Score]]&gt;8,"High",IF(financial_fraud_data[[#This Row],[Risk_Score]]&gt;5,"Med","Low"))</f>
        <v>Med</v>
      </c>
      <c r="P2227" t="str">
        <f>TEXT(financial_fraud_data[[#This Row],[Transaction_Date]],"MMM")</f>
        <v>Apr</v>
      </c>
      <c r="Q2227" t="str">
        <f>IF(financial_fraud_data[[#This Row],[Is_Fraud]]=1,"Yes","No")</f>
        <v>Yes</v>
      </c>
    </row>
    <row r="2228" spans="1:17" x14ac:dyDescent="0.2">
      <c r="A2228" t="s">
        <v>2756</v>
      </c>
      <c r="B2228" t="s">
        <v>1653</v>
      </c>
      <c r="C2228" s="1">
        <v>45384.75</v>
      </c>
      <c r="D2228">
        <v>15098.2</v>
      </c>
      <c r="E2228" t="s">
        <v>16</v>
      </c>
      <c r="F2228" t="s">
        <v>47</v>
      </c>
      <c r="G2228" t="s">
        <v>28</v>
      </c>
      <c r="H2228" t="s">
        <v>23</v>
      </c>
      <c r="I2228" t="s">
        <v>29</v>
      </c>
      <c r="J2228" t="s">
        <v>20</v>
      </c>
      <c r="K2228">
        <v>0</v>
      </c>
      <c r="L2228">
        <v>4</v>
      </c>
      <c r="M2228">
        <v>8.51</v>
      </c>
      <c r="N2228">
        <v>1</v>
      </c>
      <c r="O2228" t="str">
        <f>IF(financial_fraud_data[[#This Row],[Risk_Score]]&gt;8,"High",IF(financial_fraud_data[[#This Row],[Risk_Score]]&gt;5,"Med","Low"))</f>
        <v>High</v>
      </c>
      <c r="P2228" t="str">
        <f>TEXT(financial_fraud_data[[#This Row],[Transaction_Date]],"MMM")</f>
        <v>Apr</v>
      </c>
      <c r="Q2228" t="str">
        <f>IF(financial_fraud_data[[#This Row],[Is_Fraud]]=1,"Yes","No")</f>
        <v>Yes</v>
      </c>
    </row>
    <row r="2229" spans="1:17" x14ac:dyDescent="0.2">
      <c r="A2229" t="s">
        <v>2757</v>
      </c>
      <c r="B2229" t="s">
        <v>514</v>
      </c>
      <c r="C2229" s="1">
        <v>45384.791666666664</v>
      </c>
      <c r="D2229">
        <v>29937.96</v>
      </c>
      <c r="E2229" t="s">
        <v>80</v>
      </c>
      <c r="F2229" t="s">
        <v>47</v>
      </c>
      <c r="G2229" t="s">
        <v>35</v>
      </c>
      <c r="H2229" t="s">
        <v>29</v>
      </c>
      <c r="I2229" t="s">
        <v>23</v>
      </c>
      <c r="J2229" t="s">
        <v>51</v>
      </c>
      <c r="K2229">
        <v>0</v>
      </c>
      <c r="L2229">
        <v>4</v>
      </c>
      <c r="M2229">
        <v>9.99</v>
      </c>
      <c r="N2229">
        <v>1</v>
      </c>
      <c r="O2229" t="str">
        <f>IF(financial_fraud_data[[#This Row],[Risk_Score]]&gt;8,"High",IF(financial_fraud_data[[#This Row],[Risk_Score]]&gt;5,"Med","Low"))</f>
        <v>High</v>
      </c>
      <c r="P2229" t="str">
        <f>TEXT(financial_fraud_data[[#This Row],[Transaction_Date]],"MMM")</f>
        <v>Apr</v>
      </c>
      <c r="Q2229" t="str">
        <f>IF(financial_fraud_data[[#This Row],[Is_Fraud]]=1,"Yes","No")</f>
        <v>Yes</v>
      </c>
    </row>
    <row r="2230" spans="1:17" x14ac:dyDescent="0.2">
      <c r="A2230" t="s">
        <v>2758</v>
      </c>
      <c r="B2230" t="s">
        <v>359</v>
      </c>
      <c r="C2230" s="1">
        <v>45384.833333333336</v>
      </c>
      <c r="D2230">
        <v>14897.03</v>
      </c>
      <c r="E2230" t="s">
        <v>16</v>
      </c>
      <c r="F2230" t="s">
        <v>50</v>
      </c>
      <c r="G2230" t="s">
        <v>65</v>
      </c>
      <c r="H2230" t="s">
        <v>19</v>
      </c>
      <c r="I2230" t="s">
        <v>23</v>
      </c>
      <c r="J2230" t="s">
        <v>20</v>
      </c>
      <c r="K2230">
        <v>0</v>
      </c>
      <c r="L2230">
        <v>4</v>
      </c>
      <c r="M2230">
        <v>8.49</v>
      </c>
      <c r="N2230">
        <v>1</v>
      </c>
      <c r="O2230" t="str">
        <f>IF(financial_fraud_data[[#This Row],[Risk_Score]]&gt;8,"High",IF(financial_fraud_data[[#This Row],[Risk_Score]]&gt;5,"Med","Low"))</f>
        <v>High</v>
      </c>
      <c r="P2230" t="str">
        <f>TEXT(financial_fraud_data[[#This Row],[Transaction_Date]],"MMM")</f>
        <v>Apr</v>
      </c>
      <c r="Q2230" t="str">
        <f>IF(financial_fraud_data[[#This Row],[Is_Fraud]]=1,"Yes","No")</f>
        <v>Yes</v>
      </c>
    </row>
    <row r="2231" spans="1:17" x14ac:dyDescent="0.2">
      <c r="A2231" t="s">
        <v>2759</v>
      </c>
      <c r="B2231" t="s">
        <v>504</v>
      </c>
      <c r="C2231" s="1">
        <v>45384.875</v>
      </c>
      <c r="D2231">
        <v>15030.96</v>
      </c>
      <c r="E2231" t="s">
        <v>34</v>
      </c>
      <c r="F2231" t="s">
        <v>17</v>
      </c>
      <c r="G2231" t="s">
        <v>65</v>
      </c>
      <c r="H2231" t="s">
        <v>29</v>
      </c>
      <c r="I2231" t="s">
        <v>19</v>
      </c>
      <c r="J2231" t="s">
        <v>37</v>
      </c>
      <c r="K2231">
        <v>0</v>
      </c>
      <c r="L2231">
        <v>3</v>
      </c>
      <c r="M2231">
        <v>7</v>
      </c>
      <c r="N2231">
        <v>1</v>
      </c>
      <c r="O2231" t="str">
        <f>IF(financial_fraud_data[[#This Row],[Risk_Score]]&gt;8,"High",IF(financial_fraud_data[[#This Row],[Risk_Score]]&gt;5,"Med","Low"))</f>
        <v>Med</v>
      </c>
      <c r="P2231" t="str">
        <f>TEXT(financial_fraud_data[[#This Row],[Transaction_Date]],"MMM")</f>
        <v>Apr</v>
      </c>
      <c r="Q2231" t="str">
        <f>IF(financial_fraud_data[[#This Row],[Is_Fraud]]=1,"Yes","No")</f>
        <v>Yes</v>
      </c>
    </row>
    <row r="2232" spans="1:17" x14ac:dyDescent="0.2">
      <c r="A2232" t="s">
        <v>2760</v>
      </c>
      <c r="B2232" t="s">
        <v>655</v>
      </c>
      <c r="C2232" s="1">
        <v>45384.916666666664</v>
      </c>
      <c r="D2232">
        <v>37172.5</v>
      </c>
      <c r="E2232" t="s">
        <v>16</v>
      </c>
      <c r="F2232" t="s">
        <v>17</v>
      </c>
      <c r="G2232" t="s">
        <v>18</v>
      </c>
      <c r="H2232" t="s">
        <v>19</v>
      </c>
      <c r="I2232" t="s">
        <v>23</v>
      </c>
      <c r="J2232" t="s">
        <v>51</v>
      </c>
      <c r="K2232">
        <v>0</v>
      </c>
      <c r="L2232">
        <v>3</v>
      </c>
      <c r="M2232">
        <v>9.2200000000000006</v>
      </c>
      <c r="N2232">
        <v>1</v>
      </c>
      <c r="O2232" t="str">
        <f>IF(financial_fraud_data[[#This Row],[Risk_Score]]&gt;8,"High",IF(financial_fraud_data[[#This Row],[Risk_Score]]&gt;5,"Med","Low"))</f>
        <v>High</v>
      </c>
      <c r="P2232" t="str">
        <f>TEXT(financial_fraud_data[[#This Row],[Transaction_Date]],"MMM")</f>
        <v>Apr</v>
      </c>
      <c r="Q2232" t="str">
        <f>IF(financial_fraud_data[[#This Row],[Is_Fraud]]=1,"Yes","No")</f>
        <v>Yes</v>
      </c>
    </row>
    <row r="2233" spans="1:17" x14ac:dyDescent="0.2">
      <c r="A2233" t="s">
        <v>2761</v>
      </c>
      <c r="B2233" t="s">
        <v>1255</v>
      </c>
      <c r="C2233" s="1">
        <v>45384.958333333336</v>
      </c>
      <c r="D2233">
        <v>2454.73</v>
      </c>
      <c r="E2233" t="s">
        <v>34</v>
      </c>
      <c r="F2233" t="s">
        <v>50</v>
      </c>
      <c r="G2233" t="s">
        <v>28</v>
      </c>
      <c r="H2233" t="s">
        <v>23</v>
      </c>
      <c r="I2233" t="s">
        <v>24</v>
      </c>
      <c r="J2233" t="s">
        <v>20</v>
      </c>
      <c r="K2233">
        <v>0</v>
      </c>
      <c r="L2233">
        <v>2</v>
      </c>
      <c r="M2233">
        <v>4.25</v>
      </c>
      <c r="N2233">
        <v>0</v>
      </c>
      <c r="O2233" t="str">
        <f>IF(financial_fraud_data[[#This Row],[Risk_Score]]&gt;8,"High",IF(financial_fraud_data[[#This Row],[Risk_Score]]&gt;5,"Med","Low"))</f>
        <v>Low</v>
      </c>
      <c r="P2233" t="str">
        <f>TEXT(financial_fraud_data[[#This Row],[Transaction_Date]],"MMM")</f>
        <v>Apr</v>
      </c>
      <c r="Q2233" t="str">
        <f>IF(financial_fraud_data[[#This Row],[Is_Fraud]]=1,"Yes","No")</f>
        <v>No</v>
      </c>
    </row>
    <row r="2234" spans="1:17" x14ac:dyDescent="0.2">
      <c r="A2234" t="s">
        <v>2762</v>
      </c>
      <c r="B2234" t="s">
        <v>22</v>
      </c>
      <c r="C2234" s="1">
        <v>45385</v>
      </c>
      <c r="D2234">
        <v>45149.61</v>
      </c>
      <c r="E2234" t="s">
        <v>42</v>
      </c>
      <c r="F2234" t="s">
        <v>27</v>
      </c>
      <c r="G2234" t="s">
        <v>35</v>
      </c>
      <c r="H2234" t="s">
        <v>29</v>
      </c>
      <c r="I2234" t="s">
        <v>24</v>
      </c>
      <c r="J2234" t="s">
        <v>20</v>
      </c>
      <c r="K2234">
        <v>0</v>
      </c>
      <c r="L2234">
        <v>2</v>
      </c>
      <c r="M2234">
        <v>8.51</v>
      </c>
      <c r="N2234">
        <v>1</v>
      </c>
      <c r="O2234" t="str">
        <f>IF(financial_fraud_data[[#This Row],[Risk_Score]]&gt;8,"High",IF(financial_fraud_data[[#This Row],[Risk_Score]]&gt;5,"Med","Low"))</f>
        <v>High</v>
      </c>
      <c r="P2234" t="str">
        <f>TEXT(financial_fraud_data[[#This Row],[Transaction_Date]],"MMM")</f>
        <v>Apr</v>
      </c>
      <c r="Q2234" t="str">
        <f>IF(financial_fraud_data[[#This Row],[Is_Fraud]]=1,"Yes","No")</f>
        <v>Yes</v>
      </c>
    </row>
    <row r="2235" spans="1:17" x14ac:dyDescent="0.2">
      <c r="A2235" t="s">
        <v>2763</v>
      </c>
      <c r="B2235" t="s">
        <v>688</v>
      </c>
      <c r="C2235" s="1">
        <v>45385.041666666664</v>
      </c>
      <c r="D2235">
        <v>42620.58</v>
      </c>
      <c r="E2235" t="s">
        <v>16</v>
      </c>
      <c r="F2235" t="s">
        <v>50</v>
      </c>
      <c r="G2235" t="s">
        <v>56</v>
      </c>
      <c r="H2235" t="s">
        <v>23</v>
      </c>
      <c r="I2235" t="s">
        <v>36</v>
      </c>
      <c r="J2235" t="s">
        <v>20</v>
      </c>
      <c r="K2235">
        <v>0</v>
      </c>
      <c r="L2235">
        <v>1</v>
      </c>
      <c r="M2235">
        <v>6.76</v>
      </c>
      <c r="N2235">
        <v>1</v>
      </c>
      <c r="O2235" t="str">
        <f>IF(financial_fraud_data[[#This Row],[Risk_Score]]&gt;8,"High",IF(financial_fraud_data[[#This Row],[Risk_Score]]&gt;5,"Med","Low"))</f>
        <v>Med</v>
      </c>
      <c r="P2235" t="str">
        <f>TEXT(financial_fraud_data[[#This Row],[Transaction_Date]],"MMM")</f>
        <v>Apr</v>
      </c>
      <c r="Q2235" t="str">
        <f>IF(financial_fraud_data[[#This Row],[Is_Fraud]]=1,"Yes","No")</f>
        <v>Yes</v>
      </c>
    </row>
    <row r="2236" spans="1:17" x14ac:dyDescent="0.2">
      <c r="A2236" t="s">
        <v>2764</v>
      </c>
      <c r="B2236" t="s">
        <v>2765</v>
      </c>
      <c r="C2236" s="1">
        <v>45385.083333333336</v>
      </c>
      <c r="D2236">
        <v>33406.839999999997</v>
      </c>
      <c r="E2236" t="s">
        <v>16</v>
      </c>
      <c r="F2236" t="s">
        <v>27</v>
      </c>
      <c r="G2236" t="s">
        <v>65</v>
      </c>
      <c r="H2236" t="s">
        <v>19</v>
      </c>
      <c r="I2236" t="s">
        <v>23</v>
      </c>
      <c r="J2236" t="s">
        <v>51</v>
      </c>
      <c r="K2236">
        <v>0</v>
      </c>
      <c r="L2236">
        <v>2</v>
      </c>
      <c r="M2236">
        <v>7.34</v>
      </c>
      <c r="N2236">
        <v>1</v>
      </c>
      <c r="O2236" t="str">
        <f>IF(financial_fraud_data[[#This Row],[Risk_Score]]&gt;8,"High",IF(financial_fraud_data[[#This Row],[Risk_Score]]&gt;5,"Med","Low"))</f>
        <v>Med</v>
      </c>
      <c r="P2236" t="str">
        <f>TEXT(financial_fraud_data[[#This Row],[Transaction_Date]],"MMM")</f>
        <v>Apr</v>
      </c>
      <c r="Q2236" t="str">
        <f>IF(financial_fraud_data[[#This Row],[Is_Fraud]]=1,"Yes","No")</f>
        <v>Yes</v>
      </c>
    </row>
    <row r="2237" spans="1:17" x14ac:dyDescent="0.2">
      <c r="A2237" t="s">
        <v>2766</v>
      </c>
      <c r="B2237" t="s">
        <v>219</v>
      </c>
      <c r="C2237" s="1">
        <v>45385.125</v>
      </c>
      <c r="D2237">
        <v>29681.42</v>
      </c>
      <c r="E2237" t="s">
        <v>42</v>
      </c>
      <c r="F2237" t="s">
        <v>50</v>
      </c>
      <c r="G2237" t="s">
        <v>35</v>
      </c>
      <c r="H2237" t="s">
        <v>24</v>
      </c>
      <c r="I2237" t="s">
        <v>19</v>
      </c>
      <c r="J2237" t="s">
        <v>37</v>
      </c>
      <c r="K2237">
        <v>0</v>
      </c>
      <c r="L2237">
        <v>1</v>
      </c>
      <c r="M2237">
        <v>5.47</v>
      </c>
      <c r="N2237">
        <v>1</v>
      </c>
      <c r="O2237" t="str">
        <f>IF(financial_fraud_data[[#This Row],[Risk_Score]]&gt;8,"High",IF(financial_fraud_data[[#This Row],[Risk_Score]]&gt;5,"Med","Low"))</f>
        <v>Med</v>
      </c>
      <c r="P2237" t="str">
        <f>TEXT(financial_fraud_data[[#This Row],[Transaction_Date]],"MMM")</f>
        <v>Apr</v>
      </c>
      <c r="Q2237" t="str">
        <f>IF(financial_fraud_data[[#This Row],[Is_Fraud]]=1,"Yes","No")</f>
        <v>Yes</v>
      </c>
    </row>
    <row r="2238" spans="1:17" x14ac:dyDescent="0.2">
      <c r="A2238" t="s">
        <v>2767</v>
      </c>
      <c r="B2238" t="s">
        <v>77</v>
      </c>
      <c r="C2238" s="1">
        <v>45385.166666666664</v>
      </c>
      <c r="D2238">
        <v>44620.51</v>
      </c>
      <c r="E2238" t="s">
        <v>16</v>
      </c>
      <c r="F2238" t="s">
        <v>50</v>
      </c>
      <c r="G2238" t="s">
        <v>56</v>
      </c>
      <c r="H2238" t="s">
        <v>29</v>
      </c>
      <c r="I2238" t="s">
        <v>19</v>
      </c>
      <c r="J2238" t="s">
        <v>51</v>
      </c>
      <c r="K2238">
        <v>0</v>
      </c>
      <c r="L2238">
        <v>4</v>
      </c>
      <c r="M2238">
        <v>11.46</v>
      </c>
      <c r="N2238">
        <v>1</v>
      </c>
      <c r="O2238" t="str">
        <f>IF(financial_fraud_data[[#This Row],[Risk_Score]]&gt;8,"High",IF(financial_fraud_data[[#This Row],[Risk_Score]]&gt;5,"Med","Low"))</f>
        <v>High</v>
      </c>
      <c r="P2238" t="str">
        <f>TEXT(financial_fraud_data[[#This Row],[Transaction_Date]],"MMM")</f>
        <v>Apr</v>
      </c>
      <c r="Q2238" t="str">
        <f>IF(financial_fraud_data[[#This Row],[Is_Fraud]]=1,"Yes","No")</f>
        <v>Yes</v>
      </c>
    </row>
    <row r="2239" spans="1:17" x14ac:dyDescent="0.2">
      <c r="A2239" t="s">
        <v>2768</v>
      </c>
      <c r="B2239" t="s">
        <v>1352</v>
      </c>
      <c r="C2239" s="1">
        <v>45385.208333333336</v>
      </c>
      <c r="D2239">
        <v>9307.24</v>
      </c>
      <c r="E2239" t="s">
        <v>42</v>
      </c>
      <c r="F2239" t="s">
        <v>50</v>
      </c>
      <c r="G2239" t="s">
        <v>28</v>
      </c>
      <c r="H2239" t="s">
        <v>23</v>
      </c>
      <c r="I2239" t="s">
        <v>29</v>
      </c>
      <c r="J2239" t="s">
        <v>51</v>
      </c>
      <c r="K2239">
        <v>0</v>
      </c>
      <c r="L2239">
        <v>2</v>
      </c>
      <c r="M2239">
        <v>4.93</v>
      </c>
      <c r="N2239">
        <v>0</v>
      </c>
      <c r="O2239" t="str">
        <f>IF(financial_fraud_data[[#This Row],[Risk_Score]]&gt;8,"High",IF(financial_fraud_data[[#This Row],[Risk_Score]]&gt;5,"Med","Low"))</f>
        <v>Low</v>
      </c>
      <c r="P2239" t="str">
        <f>TEXT(financial_fraud_data[[#This Row],[Transaction_Date]],"MMM")</f>
        <v>Apr</v>
      </c>
      <c r="Q2239" t="str">
        <f>IF(financial_fraud_data[[#This Row],[Is_Fraud]]=1,"Yes","No")</f>
        <v>No</v>
      </c>
    </row>
    <row r="2240" spans="1:17" x14ac:dyDescent="0.2">
      <c r="A2240" t="s">
        <v>2769</v>
      </c>
      <c r="B2240" t="s">
        <v>123</v>
      </c>
      <c r="C2240" s="1">
        <v>45385.25</v>
      </c>
      <c r="D2240">
        <v>3994.51</v>
      </c>
      <c r="E2240" t="s">
        <v>80</v>
      </c>
      <c r="F2240" t="s">
        <v>17</v>
      </c>
      <c r="G2240" t="s">
        <v>28</v>
      </c>
      <c r="H2240" t="s">
        <v>29</v>
      </c>
      <c r="I2240" t="s">
        <v>36</v>
      </c>
      <c r="J2240" t="s">
        <v>37</v>
      </c>
      <c r="K2240">
        <v>0</v>
      </c>
      <c r="L2240">
        <v>2</v>
      </c>
      <c r="M2240">
        <v>4.4000000000000004</v>
      </c>
      <c r="N2240">
        <v>0</v>
      </c>
      <c r="O2240" t="str">
        <f>IF(financial_fraud_data[[#This Row],[Risk_Score]]&gt;8,"High",IF(financial_fraud_data[[#This Row],[Risk_Score]]&gt;5,"Med","Low"))</f>
        <v>Low</v>
      </c>
      <c r="P2240" t="str">
        <f>TEXT(financial_fraud_data[[#This Row],[Transaction_Date]],"MMM")</f>
        <v>Apr</v>
      </c>
      <c r="Q2240" t="str">
        <f>IF(financial_fraud_data[[#This Row],[Is_Fraud]]=1,"Yes","No")</f>
        <v>No</v>
      </c>
    </row>
    <row r="2241" spans="1:17" x14ac:dyDescent="0.2">
      <c r="A2241" t="s">
        <v>2770</v>
      </c>
      <c r="B2241" t="s">
        <v>255</v>
      </c>
      <c r="C2241" s="1">
        <v>45385.291666666664</v>
      </c>
      <c r="D2241">
        <v>12013.53</v>
      </c>
      <c r="E2241" t="s">
        <v>34</v>
      </c>
      <c r="F2241" t="s">
        <v>47</v>
      </c>
      <c r="G2241" t="s">
        <v>35</v>
      </c>
      <c r="H2241" t="s">
        <v>29</v>
      </c>
      <c r="I2241" t="s">
        <v>19</v>
      </c>
      <c r="J2241" t="s">
        <v>51</v>
      </c>
      <c r="K2241">
        <v>0</v>
      </c>
      <c r="L2241">
        <v>2</v>
      </c>
      <c r="M2241">
        <v>5.2</v>
      </c>
      <c r="N2241">
        <v>1</v>
      </c>
      <c r="O2241" t="str">
        <f>IF(financial_fraud_data[[#This Row],[Risk_Score]]&gt;8,"High",IF(financial_fraud_data[[#This Row],[Risk_Score]]&gt;5,"Med","Low"))</f>
        <v>Med</v>
      </c>
      <c r="P2241" t="str">
        <f>TEXT(financial_fraud_data[[#This Row],[Transaction_Date]],"MMM")</f>
        <v>Apr</v>
      </c>
      <c r="Q2241" t="str">
        <f>IF(financial_fraud_data[[#This Row],[Is_Fraud]]=1,"Yes","No")</f>
        <v>Yes</v>
      </c>
    </row>
    <row r="2242" spans="1:17" x14ac:dyDescent="0.2">
      <c r="A2242" t="s">
        <v>2771</v>
      </c>
      <c r="B2242" t="s">
        <v>863</v>
      </c>
      <c r="C2242" s="1">
        <v>45385.333333333336</v>
      </c>
      <c r="D2242">
        <v>39739.19</v>
      </c>
      <c r="E2242" t="s">
        <v>42</v>
      </c>
      <c r="F2242" t="s">
        <v>50</v>
      </c>
      <c r="G2242" t="s">
        <v>56</v>
      </c>
      <c r="H2242" t="s">
        <v>29</v>
      </c>
      <c r="I2242" t="s">
        <v>29</v>
      </c>
      <c r="J2242" t="s">
        <v>51</v>
      </c>
      <c r="K2242">
        <v>0</v>
      </c>
      <c r="L2242">
        <v>1</v>
      </c>
      <c r="M2242">
        <v>5.47</v>
      </c>
      <c r="N2242">
        <v>1</v>
      </c>
      <c r="O2242" t="str">
        <f>IF(financial_fraud_data[[#This Row],[Risk_Score]]&gt;8,"High",IF(financial_fraud_data[[#This Row],[Risk_Score]]&gt;5,"Med","Low"))</f>
        <v>Med</v>
      </c>
      <c r="P2242" t="str">
        <f>TEXT(financial_fraud_data[[#This Row],[Transaction_Date]],"MMM")</f>
        <v>Apr</v>
      </c>
      <c r="Q2242" t="str">
        <f>IF(financial_fraud_data[[#This Row],[Is_Fraud]]=1,"Yes","No")</f>
        <v>Yes</v>
      </c>
    </row>
    <row r="2243" spans="1:17" x14ac:dyDescent="0.2">
      <c r="A2243" t="s">
        <v>2772</v>
      </c>
      <c r="B2243" t="s">
        <v>1661</v>
      </c>
      <c r="C2243" s="1">
        <v>45385.375</v>
      </c>
      <c r="D2243">
        <v>1781.78</v>
      </c>
      <c r="E2243" t="s">
        <v>16</v>
      </c>
      <c r="F2243" t="s">
        <v>17</v>
      </c>
      <c r="G2243" t="s">
        <v>28</v>
      </c>
      <c r="H2243" t="s">
        <v>36</v>
      </c>
      <c r="I2243" t="s">
        <v>19</v>
      </c>
      <c r="J2243" t="s">
        <v>20</v>
      </c>
      <c r="K2243">
        <v>0</v>
      </c>
      <c r="L2243">
        <v>1</v>
      </c>
      <c r="M2243">
        <v>2.68</v>
      </c>
      <c r="N2243">
        <v>0</v>
      </c>
      <c r="O2243" t="str">
        <f>IF(financial_fraud_data[[#This Row],[Risk_Score]]&gt;8,"High",IF(financial_fraud_data[[#This Row],[Risk_Score]]&gt;5,"Med","Low"))</f>
        <v>Low</v>
      </c>
      <c r="P2243" t="str">
        <f>TEXT(financial_fraud_data[[#This Row],[Transaction_Date]],"MMM")</f>
        <v>Apr</v>
      </c>
      <c r="Q2243" t="str">
        <f>IF(financial_fraud_data[[#This Row],[Is_Fraud]]=1,"Yes","No")</f>
        <v>No</v>
      </c>
    </row>
    <row r="2244" spans="1:17" x14ac:dyDescent="0.2">
      <c r="A2244" t="s">
        <v>2773</v>
      </c>
      <c r="B2244" t="s">
        <v>131</v>
      </c>
      <c r="C2244" s="1">
        <v>45385.416666666664</v>
      </c>
      <c r="D2244">
        <v>29161.200000000001</v>
      </c>
      <c r="E2244" t="s">
        <v>42</v>
      </c>
      <c r="F2244" t="s">
        <v>47</v>
      </c>
      <c r="G2244" t="s">
        <v>35</v>
      </c>
      <c r="H2244" t="s">
        <v>23</v>
      </c>
      <c r="I2244" t="s">
        <v>29</v>
      </c>
      <c r="J2244" t="s">
        <v>51</v>
      </c>
      <c r="K2244">
        <v>1</v>
      </c>
      <c r="L2244">
        <v>0</v>
      </c>
      <c r="M2244">
        <v>5.92</v>
      </c>
      <c r="N2244">
        <v>1</v>
      </c>
      <c r="O2244" t="str">
        <f>IF(financial_fraud_data[[#This Row],[Risk_Score]]&gt;8,"High",IF(financial_fraud_data[[#This Row],[Risk_Score]]&gt;5,"Med","Low"))</f>
        <v>Med</v>
      </c>
      <c r="P2244" t="str">
        <f>TEXT(financial_fraud_data[[#This Row],[Transaction_Date]],"MMM")</f>
        <v>Apr</v>
      </c>
      <c r="Q2244" t="str">
        <f>IF(financial_fraud_data[[#This Row],[Is_Fraud]]=1,"Yes","No")</f>
        <v>Yes</v>
      </c>
    </row>
    <row r="2245" spans="1:17" x14ac:dyDescent="0.2">
      <c r="A2245" t="s">
        <v>2774</v>
      </c>
      <c r="B2245" t="s">
        <v>243</v>
      </c>
      <c r="C2245" s="1">
        <v>45385.458333333336</v>
      </c>
      <c r="D2245">
        <v>49772.1</v>
      </c>
      <c r="E2245" t="s">
        <v>16</v>
      </c>
      <c r="F2245" t="s">
        <v>47</v>
      </c>
      <c r="G2245" t="s">
        <v>28</v>
      </c>
      <c r="H2245" t="s">
        <v>23</v>
      </c>
      <c r="I2245" t="s">
        <v>24</v>
      </c>
      <c r="J2245" t="s">
        <v>20</v>
      </c>
      <c r="K2245">
        <v>0</v>
      </c>
      <c r="L2245">
        <v>1</v>
      </c>
      <c r="M2245">
        <v>7.48</v>
      </c>
      <c r="N2245">
        <v>1</v>
      </c>
      <c r="O2245" t="str">
        <f>IF(financial_fraud_data[[#This Row],[Risk_Score]]&gt;8,"High",IF(financial_fraud_data[[#This Row],[Risk_Score]]&gt;5,"Med","Low"))</f>
        <v>Med</v>
      </c>
      <c r="P2245" t="str">
        <f>TEXT(financial_fraud_data[[#This Row],[Transaction_Date]],"MMM")</f>
        <v>Apr</v>
      </c>
      <c r="Q2245" t="str">
        <f>IF(financial_fraud_data[[#This Row],[Is_Fraud]]=1,"Yes","No")</f>
        <v>Yes</v>
      </c>
    </row>
    <row r="2246" spans="1:17" x14ac:dyDescent="0.2">
      <c r="A2246" t="s">
        <v>2775</v>
      </c>
      <c r="B2246" t="s">
        <v>638</v>
      </c>
      <c r="C2246" s="1">
        <v>45385.5</v>
      </c>
      <c r="D2246">
        <v>42792.02</v>
      </c>
      <c r="E2246" t="s">
        <v>80</v>
      </c>
      <c r="F2246" t="s">
        <v>50</v>
      </c>
      <c r="G2246" t="s">
        <v>28</v>
      </c>
      <c r="H2246" t="s">
        <v>29</v>
      </c>
      <c r="I2246" t="s">
        <v>24</v>
      </c>
      <c r="J2246" t="s">
        <v>51</v>
      </c>
      <c r="K2246">
        <v>0</v>
      </c>
      <c r="L2246">
        <v>1</v>
      </c>
      <c r="M2246">
        <v>6.78</v>
      </c>
      <c r="N2246">
        <v>1</v>
      </c>
      <c r="O2246" t="str">
        <f>IF(financial_fraud_data[[#This Row],[Risk_Score]]&gt;8,"High",IF(financial_fraud_data[[#This Row],[Risk_Score]]&gt;5,"Med","Low"))</f>
        <v>Med</v>
      </c>
      <c r="P2246" t="str">
        <f>TEXT(financial_fraud_data[[#This Row],[Transaction_Date]],"MMM")</f>
        <v>Apr</v>
      </c>
      <c r="Q2246" t="str">
        <f>IF(financial_fraud_data[[#This Row],[Is_Fraud]]=1,"Yes","No")</f>
        <v>Yes</v>
      </c>
    </row>
    <row r="2247" spans="1:17" x14ac:dyDescent="0.2">
      <c r="A2247" t="s">
        <v>2776</v>
      </c>
      <c r="B2247" t="s">
        <v>53</v>
      </c>
      <c r="C2247" s="1">
        <v>45385.541666666664</v>
      </c>
      <c r="D2247">
        <v>26096.21</v>
      </c>
      <c r="E2247" t="s">
        <v>42</v>
      </c>
      <c r="F2247" t="s">
        <v>27</v>
      </c>
      <c r="G2247" t="s">
        <v>28</v>
      </c>
      <c r="H2247" t="s">
        <v>24</v>
      </c>
      <c r="I2247" t="s">
        <v>19</v>
      </c>
      <c r="J2247" t="s">
        <v>20</v>
      </c>
      <c r="K2247">
        <v>0</v>
      </c>
      <c r="L2247">
        <v>3</v>
      </c>
      <c r="M2247">
        <v>8.11</v>
      </c>
      <c r="N2247">
        <v>1</v>
      </c>
      <c r="O2247" t="str">
        <f>IF(financial_fraud_data[[#This Row],[Risk_Score]]&gt;8,"High",IF(financial_fraud_data[[#This Row],[Risk_Score]]&gt;5,"Med","Low"))</f>
        <v>High</v>
      </c>
      <c r="P2247" t="str">
        <f>TEXT(financial_fraud_data[[#This Row],[Transaction_Date]],"MMM")</f>
        <v>Apr</v>
      </c>
      <c r="Q2247" t="str">
        <f>IF(financial_fraud_data[[#This Row],[Is_Fraud]]=1,"Yes","No")</f>
        <v>Yes</v>
      </c>
    </row>
    <row r="2248" spans="1:17" x14ac:dyDescent="0.2">
      <c r="A2248" t="s">
        <v>2777</v>
      </c>
      <c r="B2248" t="s">
        <v>770</v>
      </c>
      <c r="C2248" s="1">
        <v>45385.583333333336</v>
      </c>
      <c r="D2248">
        <v>3228.86</v>
      </c>
      <c r="E2248" t="s">
        <v>80</v>
      </c>
      <c r="F2248" t="s">
        <v>27</v>
      </c>
      <c r="G2248" t="s">
        <v>18</v>
      </c>
      <c r="H2248" t="s">
        <v>29</v>
      </c>
      <c r="I2248" t="s">
        <v>36</v>
      </c>
      <c r="J2248" t="s">
        <v>20</v>
      </c>
      <c r="K2248">
        <v>0</v>
      </c>
      <c r="L2248">
        <v>2</v>
      </c>
      <c r="M2248">
        <v>4.32</v>
      </c>
      <c r="N2248">
        <v>0</v>
      </c>
      <c r="O2248" t="str">
        <f>IF(financial_fraud_data[[#This Row],[Risk_Score]]&gt;8,"High",IF(financial_fraud_data[[#This Row],[Risk_Score]]&gt;5,"Med","Low"))</f>
        <v>Low</v>
      </c>
      <c r="P2248" t="str">
        <f>TEXT(financial_fraud_data[[#This Row],[Transaction_Date]],"MMM")</f>
        <v>Apr</v>
      </c>
      <c r="Q2248" t="str">
        <f>IF(financial_fraud_data[[#This Row],[Is_Fraud]]=1,"Yes","No")</f>
        <v>No</v>
      </c>
    </row>
    <row r="2249" spans="1:17" x14ac:dyDescent="0.2">
      <c r="A2249" t="s">
        <v>2778</v>
      </c>
      <c r="B2249" t="s">
        <v>1446</v>
      </c>
      <c r="C2249" s="1">
        <v>45385.625</v>
      </c>
      <c r="D2249">
        <v>41577.11</v>
      </c>
      <c r="E2249" t="s">
        <v>34</v>
      </c>
      <c r="F2249" t="s">
        <v>27</v>
      </c>
      <c r="G2249" t="s">
        <v>56</v>
      </c>
      <c r="H2249" t="s">
        <v>36</v>
      </c>
      <c r="I2249" t="s">
        <v>23</v>
      </c>
      <c r="J2249" t="s">
        <v>20</v>
      </c>
      <c r="K2249">
        <v>0</v>
      </c>
      <c r="L2249">
        <v>1</v>
      </c>
      <c r="M2249">
        <v>6.66</v>
      </c>
      <c r="N2249">
        <v>1</v>
      </c>
      <c r="O2249" t="str">
        <f>IF(financial_fraud_data[[#This Row],[Risk_Score]]&gt;8,"High",IF(financial_fraud_data[[#This Row],[Risk_Score]]&gt;5,"Med","Low"))</f>
        <v>Med</v>
      </c>
      <c r="P2249" t="str">
        <f>TEXT(financial_fraud_data[[#This Row],[Transaction_Date]],"MMM")</f>
        <v>Apr</v>
      </c>
      <c r="Q2249" t="str">
        <f>IF(financial_fraud_data[[#This Row],[Is_Fraud]]=1,"Yes","No")</f>
        <v>Yes</v>
      </c>
    </row>
    <row r="2250" spans="1:17" x14ac:dyDescent="0.2">
      <c r="A2250" t="s">
        <v>2779</v>
      </c>
      <c r="B2250" t="s">
        <v>1060</v>
      </c>
      <c r="C2250" s="1">
        <v>45385.666666666664</v>
      </c>
      <c r="D2250">
        <v>29968.98</v>
      </c>
      <c r="E2250" t="s">
        <v>16</v>
      </c>
      <c r="F2250" t="s">
        <v>50</v>
      </c>
      <c r="G2250" t="s">
        <v>35</v>
      </c>
      <c r="H2250" t="s">
        <v>19</v>
      </c>
      <c r="I2250" t="s">
        <v>36</v>
      </c>
      <c r="J2250" t="s">
        <v>37</v>
      </c>
      <c r="K2250">
        <v>0</v>
      </c>
      <c r="L2250">
        <v>2</v>
      </c>
      <c r="M2250">
        <v>7</v>
      </c>
      <c r="N2250">
        <v>1</v>
      </c>
      <c r="O2250" t="str">
        <f>IF(financial_fraud_data[[#This Row],[Risk_Score]]&gt;8,"High",IF(financial_fraud_data[[#This Row],[Risk_Score]]&gt;5,"Med","Low"))</f>
        <v>Med</v>
      </c>
      <c r="P2250" t="str">
        <f>TEXT(financial_fraud_data[[#This Row],[Transaction_Date]],"MMM")</f>
        <v>Apr</v>
      </c>
      <c r="Q2250" t="str">
        <f>IF(financial_fraud_data[[#This Row],[Is_Fraud]]=1,"Yes","No")</f>
        <v>Yes</v>
      </c>
    </row>
    <row r="2251" spans="1:17" x14ac:dyDescent="0.2">
      <c r="A2251" t="s">
        <v>2780</v>
      </c>
      <c r="B2251" t="s">
        <v>816</v>
      </c>
      <c r="C2251" s="1">
        <v>45385.708333333336</v>
      </c>
      <c r="D2251">
        <v>5790.9</v>
      </c>
      <c r="E2251" t="s">
        <v>16</v>
      </c>
      <c r="F2251" t="s">
        <v>27</v>
      </c>
      <c r="G2251" t="s">
        <v>35</v>
      </c>
      <c r="H2251" t="s">
        <v>36</v>
      </c>
      <c r="I2251" t="s">
        <v>36</v>
      </c>
      <c r="J2251" t="s">
        <v>51</v>
      </c>
      <c r="K2251">
        <v>0</v>
      </c>
      <c r="L2251">
        <v>2</v>
      </c>
      <c r="M2251">
        <v>3.58</v>
      </c>
      <c r="N2251">
        <v>0</v>
      </c>
      <c r="O2251" t="str">
        <f>IF(financial_fraud_data[[#This Row],[Risk_Score]]&gt;8,"High",IF(financial_fraud_data[[#This Row],[Risk_Score]]&gt;5,"Med","Low"))</f>
        <v>Low</v>
      </c>
      <c r="P2251" t="str">
        <f>TEXT(financial_fraud_data[[#This Row],[Transaction_Date]],"MMM")</f>
        <v>Apr</v>
      </c>
      <c r="Q2251" t="str">
        <f>IF(financial_fraud_data[[#This Row],[Is_Fraud]]=1,"Yes","No")</f>
        <v>No</v>
      </c>
    </row>
    <row r="2252" spans="1:17" x14ac:dyDescent="0.2">
      <c r="A2252" t="s">
        <v>2781</v>
      </c>
      <c r="B2252" t="s">
        <v>541</v>
      </c>
      <c r="C2252" s="1">
        <v>45385.75</v>
      </c>
      <c r="D2252">
        <v>4738.17</v>
      </c>
      <c r="E2252" t="s">
        <v>80</v>
      </c>
      <c r="F2252" t="s">
        <v>17</v>
      </c>
      <c r="G2252" t="s">
        <v>56</v>
      </c>
      <c r="H2252" t="s">
        <v>24</v>
      </c>
      <c r="I2252" t="s">
        <v>23</v>
      </c>
      <c r="J2252" t="s">
        <v>51</v>
      </c>
      <c r="K2252">
        <v>1</v>
      </c>
      <c r="L2252">
        <v>3</v>
      </c>
      <c r="M2252">
        <v>7.97</v>
      </c>
      <c r="N2252">
        <v>1</v>
      </c>
      <c r="O2252" t="str">
        <f>IF(financial_fraud_data[[#This Row],[Risk_Score]]&gt;8,"High",IF(financial_fraud_data[[#This Row],[Risk_Score]]&gt;5,"Med","Low"))</f>
        <v>Med</v>
      </c>
      <c r="P2252" t="str">
        <f>TEXT(financial_fraud_data[[#This Row],[Transaction_Date]],"MMM")</f>
        <v>Apr</v>
      </c>
      <c r="Q2252" t="str">
        <f>IF(financial_fraud_data[[#This Row],[Is_Fraud]]=1,"Yes","No")</f>
        <v>Yes</v>
      </c>
    </row>
    <row r="2253" spans="1:17" x14ac:dyDescent="0.2">
      <c r="A2253" t="s">
        <v>2782</v>
      </c>
      <c r="B2253" t="s">
        <v>69</v>
      </c>
      <c r="C2253" s="1">
        <v>45385.791666666664</v>
      </c>
      <c r="D2253">
        <v>45485.86</v>
      </c>
      <c r="E2253" t="s">
        <v>34</v>
      </c>
      <c r="F2253" t="s">
        <v>17</v>
      </c>
      <c r="G2253" t="s">
        <v>56</v>
      </c>
      <c r="H2253" t="s">
        <v>29</v>
      </c>
      <c r="I2253" t="s">
        <v>24</v>
      </c>
      <c r="J2253" t="s">
        <v>51</v>
      </c>
      <c r="K2253">
        <v>0</v>
      </c>
      <c r="L2253">
        <v>2</v>
      </c>
      <c r="M2253">
        <v>8.5500000000000007</v>
      </c>
      <c r="N2253">
        <v>1</v>
      </c>
      <c r="O2253" t="str">
        <f>IF(financial_fraud_data[[#This Row],[Risk_Score]]&gt;8,"High",IF(financial_fraud_data[[#This Row],[Risk_Score]]&gt;5,"Med","Low"))</f>
        <v>High</v>
      </c>
      <c r="P2253" t="str">
        <f>TEXT(financial_fraud_data[[#This Row],[Transaction_Date]],"MMM")</f>
        <v>Apr</v>
      </c>
      <c r="Q2253" t="str">
        <f>IF(financial_fraud_data[[#This Row],[Is_Fraud]]=1,"Yes","No")</f>
        <v>Yes</v>
      </c>
    </row>
    <row r="2254" spans="1:17" x14ac:dyDescent="0.2">
      <c r="A2254" t="s">
        <v>2783</v>
      </c>
      <c r="B2254" t="s">
        <v>751</v>
      </c>
      <c r="C2254" s="1">
        <v>45385.833333333336</v>
      </c>
      <c r="D2254">
        <v>33476.550000000003</v>
      </c>
      <c r="E2254" t="s">
        <v>42</v>
      </c>
      <c r="F2254" t="s">
        <v>17</v>
      </c>
      <c r="G2254" t="s">
        <v>56</v>
      </c>
      <c r="H2254" t="s">
        <v>23</v>
      </c>
      <c r="I2254" t="s">
        <v>24</v>
      </c>
      <c r="J2254" t="s">
        <v>37</v>
      </c>
      <c r="K2254">
        <v>0</v>
      </c>
      <c r="L2254">
        <v>1</v>
      </c>
      <c r="M2254">
        <v>5.85</v>
      </c>
      <c r="N2254">
        <v>1</v>
      </c>
      <c r="O2254" t="str">
        <f>IF(financial_fraud_data[[#This Row],[Risk_Score]]&gt;8,"High",IF(financial_fraud_data[[#This Row],[Risk_Score]]&gt;5,"Med","Low"))</f>
        <v>Med</v>
      </c>
      <c r="P2254" t="str">
        <f>TEXT(financial_fraud_data[[#This Row],[Transaction_Date]],"MMM")</f>
        <v>Apr</v>
      </c>
      <c r="Q2254" t="str">
        <f>IF(financial_fraud_data[[#This Row],[Is_Fraud]]=1,"Yes","No")</f>
        <v>Yes</v>
      </c>
    </row>
    <row r="2255" spans="1:17" x14ac:dyDescent="0.2">
      <c r="A2255" t="s">
        <v>2784</v>
      </c>
      <c r="B2255" t="s">
        <v>265</v>
      </c>
      <c r="C2255" s="1">
        <v>45385.875</v>
      </c>
      <c r="D2255">
        <v>41472.879999999997</v>
      </c>
      <c r="E2255" t="s">
        <v>42</v>
      </c>
      <c r="F2255" t="s">
        <v>17</v>
      </c>
      <c r="G2255" t="s">
        <v>56</v>
      </c>
      <c r="H2255" t="s">
        <v>29</v>
      </c>
      <c r="I2255" t="s">
        <v>23</v>
      </c>
      <c r="J2255" t="s">
        <v>20</v>
      </c>
      <c r="K2255">
        <v>1</v>
      </c>
      <c r="L2255">
        <v>2</v>
      </c>
      <c r="M2255">
        <v>10.15</v>
      </c>
      <c r="N2255">
        <v>1</v>
      </c>
      <c r="O2255" t="str">
        <f>IF(financial_fraud_data[[#This Row],[Risk_Score]]&gt;8,"High",IF(financial_fraud_data[[#This Row],[Risk_Score]]&gt;5,"Med","Low"))</f>
        <v>High</v>
      </c>
      <c r="P2255" t="str">
        <f>TEXT(financial_fraud_data[[#This Row],[Transaction_Date]],"MMM")</f>
        <v>Apr</v>
      </c>
      <c r="Q2255" t="str">
        <f>IF(financial_fraud_data[[#This Row],[Is_Fraud]]=1,"Yes","No")</f>
        <v>Yes</v>
      </c>
    </row>
    <row r="2256" spans="1:17" x14ac:dyDescent="0.2">
      <c r="A2256" t="s">
        <v>2785</v>
      </c>
      <c r="B2256" t="s">
        <v>794</v>
      </c>
      <c r="C2256" s="1">
        <v>45385.916666666664</v>
      </c>
      <c r="D2256">
        <v>43955</v>
      </c>
      <c r="E2256" t="s">
        <v>16</v>
      </c>
      <c r="F2256" t="s">
        <v>47</v>
      </c>
      <c r="G2256" t="s">
        <v>65</v>
      </c>
      <c r="H2256" t="s">
        <v>24</v>
      </c>
      <c r="I2256" t="s">
        <v>29</v>
      </c>
      <c r="J2256" t="s">
        <v>51</v>
      </c>
      <c r="K2256">
        <v>1</v>
      </c>
      <c r="L2256">
        <v>0</v>
      </c>
      <c r="M2256">
        <v>7.4</v>
      </c>
      <c r="N2256">
        <v>1</v>
      </c>
      <c r="O2256" t="str">
        <f>IF(financial_fraud_data[[#This Row],[Risk_Score]]&gt;8,"High",IF(financial_fraud_data[[#This Row],[Risk_Score]]&gt;5,"Med","Low"))</f>
        <v>Med</v>
      </c>
      <c r="P2256" t="str">
        <f>TEXT(financial_fraud_data[[#This Row],[Transaction_Date]],"MMM")</f>
        <v>Apr</v>
      </c>
      <c r="Q2256" t="str">
        <f>IF(financial_fraud_data[[#This Row],[Is_Fraud]]=1,"Yes","No")</f>
        <v>Yes</v>
      </c>
    </row>
    <row r="2257" spans="1:17" x14ac:dyDescent="0.2">
      <c r="A2257" t="s">
        <v>2786</v>
      </c>
      <c r="B2257" t="s">
        <v>1255</v>
      </c>
      <c r="C2257" s="1">
        <v>45385.958333333336</v>
      </c>
      <c r="D2257">
        <v>28610.03</v>
      </c>
      <c r="E2257" t="s">
        <v>80</v>
      </c>
      <c r="F2257" t="s">
        <v>17</v>
      </c>
      <c r="G2257" t="s">
        <v>35</v>
      </c>
      <c r="H2257" t="s">
        <v>23</v>
      </c>
      <c r="I2257" t="s">
        <v>36</v>
      </c>
      <c r="J2257" t="s">
        <v>37</v>
      </c>
      <c r="K2257">
        <v>0</v>
      </c>
      <c r="L2257">
        <v>0</v>
      </c>
      <c r="M2257">
        <v>3.86</v>
      </c>
      <c r="N2257">
        <v>0</v>
      </c>
      <c r="O2257" t="str">
        <f>IF(financial_fraud_data[[#This Row],[Risk_Score]]&gt;8,"High",IF(financial_fraud_data[[#This Row],[Risk_Score]]&gt;5,"Med","Low"))</f>
        <v>Low</v>
      </c>
      <c r="P2257" t="str">
        <f>TEXT(financial_fraud_data[[#This Row],[Transaction_Date]],"MMM")</f>
        <v>Apr</v>
      </c>
      <c r="Q2257" t="str">
        <f>IF(financial_fraud_data[[#This Row],[Is_Fraud]]=1,"Yes","No")</f>
        <v>No</v>
      </c>
    </row>
    <row r="2258" spans="1:17" x14ac:dyDescent="0.2">
      <c r="A2258" t="s">
        <v>2787</v>
      </c>
      <c r="B2258" t="s">
        <v>146</v>
      </c>
      <c r="C2258" s="1">
        <v>45386</v>
      </c>
      <c r="D2258">
        <v>25896.45</v>
      </c>
      <c r="E2258" t="s">
        <v>80</v>
      </c>
      <c r="F2258" t="s">
        <v>27</v>
      </c>
      <c r="G2258" t="s">
        <v>65</v>
      </c>
      <c r="H2258" t="s">
        <v>36</v>
      </c>
      <c r="I2258" t="s">
        <v>19</v>
      </c>
      <c r="J2258" t="s">
        <v>37</v>
      </c>
      <c r="K2258">
        <v>0</v>
      </c>
      <c r="L2258">
        <v>3</v>
      </c>
      <c r="M2258">
        <v>8.09</v>
      </c>
      <c r="N2258">
        <v>1</v>
      </c>
      <c r="O2258" t="str">
        <f>IF(financial_fraud_data[[#This Row],[Risk_Score]]&gt;8,"High",IF(financial_fraud_data[[#This Row],[Risk_Score]]&gt;5,"Med","Low"))</f>
        <v>High</v>
      </c>
      <c r="P2258" t="str">
        <f>TEXT(financial_fraud_data[[#This Row],[Transaction_Date]],"MMM")</f>
        <v>Apr</v>
      </c>
      <c r="Q2258" t="str">
        <f>IF(financial_fraud_data[[#This Row],[Is_Fraud]]=1,"Yes","No")</f>
        <v>Yes</v>
      </c>
    </row>
    <row r="2259" spans="1:17" x14ac:dyDescent="0.2">
      <c r="A2259" t="s">
        <v>2788</v>
      </c>
      <c r="B2259" t="s">
        <v>276</v>
      </c>
      <c r="C2259" s="1">
        <v>45386.041666666664</v>
      </c>
      <c r="D2259">
        <v>21549.85</v>
      </c>
      <c r="E2259" t="s">
        <v>42</v>
      </c>
      <c r="F2259" t="s">
        <v>50</v>
      </c>
      <c r="G2259" t="s">
        <v>28</v>
      </c>
      <c r="H2259" t="s">
        <v>19</v>
      </c>
      <c r="I2259" t="s">
        <v>24</v>
      </c>
      <c r="J2259" t="s">
        <v>51</v>
      </c>
      <c r="K2259">
        <v>0</v>
      </c>
      <c r="L2259">
        <v>1</v>
      </c>
      <c r="M2259">
        <v>4.6500000000000004</v>
      </c>
      <c r="N2259">
        <v>0</v>
      </c>
      <c r="O2259" t="str">
        <f>IF(financial_fraud_data[[#This Row],[Risk_Score]]&gt;8,"High",IF(financial_fraud_data[[#This Row],[Risk_Score]]&gt;5,"Med","Low"))</f>
        <v>Low</v>
      </c>
      <c r="P2259" t="str">
        <f>TEXT(financial_fraud_data[[#This Row],[Transaction_Date]],"MMM")</f>
        <v>Apr</v>
      </c>
      <c r="Q2259" t="str">
        <f>IF(financial_fraud_data[[#This Row],[Is_Fraud]]=1,"Yes","No")</f>
        <v>No</v>
      </c>
    </row>
    <row r="2260" spans="1:17" x14ac:dyDescent="0.2">
      <c r="A2260" t="s">
        <v>2789</v>
      </c>
      <c r="B2260" t="s">
        <v>1595</v>
      </c>
      <c r="C2260" s="1">
        <v>45386.083333333336</v>
      </c>
      <c r="D2260">
        <v>15881.48</v>
      </c>
      <c r="E2260" t="s">
        <v>34</v>
      </c>
      <c r="F2260" t="s">
        <v>27</v>
      </c>
      <c r="G2260" t="s">
        <v>28</v>
      </c>
      <c r="H2260" t="s">
        <v>19</v>
      </c>
      <c r="I2260" t="s">
        <v>19</v>
      </c>
      <c r="J2260" t="s">
        <v>20</v>
      </c>
      <c r="K2260">
        <v>0</v>
      </c>
      <c r="L2260">
        <v>3</v>
      </c>
      <c r="M2260">
        <v>6.09</v>
      </c>
      <c r="N2260">
        <v>1</v>
      </c>
      <c r="O2260" t="str">
        <f>IF(financial_fraud_data[[#This Row],[Risk_Score]]&gt;8,"High",IF(financial_fraud_data[[#This Row],[Risk_Score]]&gt;5,"Med","Low"))</f>
        <v>Med</v>
      </c>
      <c r="P2260" t="str">
        <f>TEXT(financial_fraud_data[[#This Row],[Transaction_Date]],"MMM")</f>
        <v>Apr</v>
      </c>
      <c r="Q2260" t="str">
        <f>IF(financial_fraud_data[[#This Row],[Is_Fraud]]=1,"Yes","No")</f>
        <v>Yes</v>
      </c>
    </row>
    <row r="2261" spans="1:17" x14ac:dyDescent="0.2">
      <c r="A2261" t="s">
        <v>2790</v>
      </c>
      <c r="B2261" t="s">
        <v>1003</v>
      </c>
      <c r="C2261" s="1">
        <v>45386.125</v>
      </c>
      <c r="D2261">
        <v>21758.07</v>
      </c>
      <c r="E2261" t="s">
        <v>34</v>
      </c>
      <c r="F2261" t="s">
        <v>17</v>
      </c>
      <c r="G2261" t="s">
        <v>35</v>
      </c>
      <c r="H2261" t="s">
        <v>29</v>
      </c>
      <c r="I2261" t="s">
        <v>23</v>
      </c>
      <c r="J2261" t="s">
        <v>37</v>
      </c>
      <c r="K2261">
        <v>0</v>
      </c>
      <c r="L2261">
        <v>0</v>
      </c>
      <c r="M2261">
        <v>3.18</v>
      </c>
      <c r="N2261">
        <v>0</v>
      </c>
      <c r="O2261" t="str">
        <f>IF(financial_fraud_data[[#This Row],[Risk_Score]]&gt;8,"High",IF(financial_fraud_data[[#This Row],[Risk_Score]]&gt;5,"Med","Low"))</f>
        <v>Low</v>
      </c>
      <c r="P2261" t="str">
        <f>TEXT(financial_fraud_data[[#This Row],[Transaction_Date]],"MMM")</f>
        <v>Apr</v>
      </c>
      <c r="Q2261" t="str">
        <f>IF(financial_fraud_data[[#This Row],[Is_Fraud]]=1,"Yes","No")</f>
        <v>No</v>
      </c>
    </row>
    <row r="2262" spans="1:17" x14ac:dyDescent="0.2">
      <c r="A2262" t="s">
        <v>2791</v>
      </c>
      <c r="B2262" t="s">
        <v>1017</v>
      </c>
      <c r="C2262" s="1">
        <v>45386.166666666664</v>
      </c>
      <c r="D2262">
        <v>38705.29</v>
      </c>
      <c r="E2262" t="s">
        <v>42</v>
      </c>
      <c r="F2262" t="s">
        <v>47</v>
      </c>
      <c r="G2262" t="s">
        <v>28</v>
      </c>
      <c r="H2262" t="s">
        <v>36</v>
      </c>
      <c r="I2262" t="s">
        <v>19</v>
      </c>
      <c r="J2262" t="s">
        <v>51</v>
      </c>
      <c r="K2262">
        <v>0</v>
      </c>
      <c r="L2262">
        <v>1</v>
      </c>
      <c r="M2262">
        <v>6.37</v>
      </c>
      <c r="N2262">
        <v>1</v>
      </c>
      <c r="O2262" t="str">
        <f>IF(financial_fraud_data[[#This Row],[Risk_Score]]&gt;8,"High",IF(financial_fraud_data[[#This Row],[Risk_Score]]&gt;5,"Med","Low"))</f>
        <v>Med</v>
      </c>
      <c r="P2262" t="str">
        <f>TEXT(financial_fraud_data[[#This Row],[Transaction_Date]],"MMM")</f>
        <v>Apr</v>
      </c>
      <c r="Q2262" t="str">
        <f>IF(financial_fraud_data[[#This Row],[Is_Fraud]]=1,"Yes","No")</f>
        <v>Yes</v>
      </c>
    </row>
    <row r="2263" spans="1:17" x14ac:dyDescent="0.2">
      <c r="A2263" t="s">
        <v>2792</v>
      </c>
      <c r="B2263" t="s">
        <v>289</v>
      </c>
      <c r="C2263" s="1">
        <v>45386.208333333336</v>
      </c>
      <c r="D2263">
        <v>30116.080000000002</v>
      </c>
      <c r="E2263" t="s">
        <v>42</v>
      </c>
      <c r="F2263" t="s">
        <v>17</v>
      </c>
      <c r="G2263" t="s">
        <v>56</v>
      </c>
      <c r="H2263" t="s">
        <v>24</v>
      </c>
      <c r="I2263" t="s">
        <v>19</v>
      </c>
      <c r="J2263" t="s">
        <v>20</v>
      </c>
      <c r="K2263">
        <v>0</v>
      </c>
      <c r="L2263">
        <v>2</v>
      </c>
      <c r="M2263">
        <v>7.01</v>
      </c>
      <c r="N2263">
        <v>1</v>
      </c>
      <c r="O2263" t="str">
        <f>IF(financial_fraud_data[[#This Row],[Risk_Score]]&gt;8,"High",IF(financial_fraud_data[[#This Row],[Risk_Score]]&gt;5,"Med","Low"))</f>
        <v>Med</v>
      </c>
      <c r="P2263" t="str">
        <f>TEXT(financial_fraud_data[[#This Row],[Transaction_Date]],"MMM")</f>
        <v>Apr</v>
      </c>
      <c r="Q2263" t="str">
        <f>IF(financial_fraud_data[[#This Row],[Is_Fraud]]=1,"Yes","No")</f>
        <v>Yes</v>
      </c>
    </row>
    <row r="2264" spans="1:17" x14ac:dyDescent="0.2">
      <c r="A2264" t="s">
        <v>2793</v>
      </c>
      <c r="B2264" t="s">
        <v>380</v>
      </c>
      <c r="C2264" s="1">
        <v>45386.25</v>
      </c>
      <c r="D2264">
        <v>44631.54</v>
      </c>
      <c r="E2264" t="s">
        <v>80</v>
      </c>
      <c r="F2264" t="s">
        <v>50</v>
      </c>
      <c r="G2264" t="s">
        <v>65</v>
      </c>
      <c r="H2264" t="s">
        <v>19</v>
      </c>
      <c r="I2264" t="s">
        <v>36</v>
      </c>
      <c r="J2264" t="s">
        <v>37</v>
      </c>
      <c r="K2264">
        <v>0</v>
      </c>
      <c r="L2264">
        <v>1</v>
      </c>
      <c r="M2264">
        <v>6.96</v>
      </c>
      <c r="N2264">
        <v>1</v>
      </c>
      <c r="O2264" t="str">
        <f>IF(financial_fraud_data[[#This Row],[Risk_Score]]&gt;8,"High",IF(financial_fraud_data[[#This Row],[Risk_Score]]&gt;5,"Med","Low"))</f>
        <v>Med</v>
      </c>
      <c r="P2264" t="str">
        <f>TEXT(financial_fraud_data[[#This Row],[Transaction_Date]],"MMM")</f>
        <v>Apr</v>
      </c>
      <c r="Q2264" t="str">
        <f>IF(financial_fraud_data[[#This Row],[Is_Fraud]]=1,"Yes","No")</f>
        <v>Yes</v>
      </c>
    </row>
    <row r="2265" spans="1:17" x14ac:dyDescent="0.2">
      <c r="A2265" t="s">
        <v>2794</v>
      </c>
      <c r="B2265" t="s">
        <v>380</v>
      </c>
      <c r="C2265" s="1">
        <v>45386.291666666664</v>
      </c>
      <c r="D2265">
        <v>22196.83</v>
      </c>
      <c r="E2265" t="s">
        <v>34</v>
      </c>
      <c r="F2265" t="s">
        <v>27</v>
      </c>
      <c r="G2265" t="s">
        <v>56</v>
      </c>
      <c r="H2265" t="s">
        <v>36</v>
      </c>
      <c r="I2265" t="s">
        <v>23</v>
      </c>
      <c r="J2265" t="s">
        <v>37</v>
      </c>
      <c r="K2265">
        <v>0</v>
      </c>
      <c r="L2265">
        <v>4</v>
      </c>
      <c r="M2265">
        <v>9.2200000000000006</v>
      </c>
      <c r="N2265">
        <v>1</v>
      </c>
      <c r="O2265" t="str">
        <f>IF(financial_fraud_data[[#This Row],[Risk_Score]]&gt;8,"High",IF(financial_fraud_data[[#This Row],[Risk_Score]]&gt;5,"Med","Low"))</f>
        <v>High</v>
      </c>
      <c r="P2265" t="str">
        <f>TEXT(financial_fraud_data[[#This Row],[Transaction_Date]],"MMM")</f>
        <v>Apr</v>
      </c>
      <c r="Q2265" t="str">
        <f>IF(financial_fraud_data[[#This Row],[Is_Fraud]]=1,"Yes","No")</f>
        <v>Yes</v>
      </c>
    </row>
    <row r="2266" spans="1:17" x14ac:dyDescent="0.2">
      <c r="A2266" t="s">
        <v>2795</v>
      </c>
      <c r="B2266" t="s">
        <v>113</v>
      </c>
      <c r="C2266" s="1">
        <v>45386.333333333336</v>
      </c>
      <c r="D2266">
        <v>30374.12</v>
      </c>
      <c r="E2266" t="s">
        <v>42</v>
      </c>
      <c r="F2266" t="s">
        <v>50</v>
      </c>
      <c r="G2266" t="s">
        <v>28</v>
      </c>
      <c r="H2266" t="s">
        <v>29</v>
      </c>
      <c r="I2266" t="s">
        <v>19</v>
      </c>
      <c r="J2266" t="s">
        <v>51</v>
      </c>
      <c r="K2266">
        <v>0</v>
      </c>
      <c r="L2266">
        <v>1</v>
      </c>
      <c r="M2266">
        <v>5.54</v>
      </c>
      <c r="N2266">
        <v>1</v>
      </c>
      <c r="O2266" t="str">
        <f>IF(financial_fraud_data[[#This Row],[Risk_Score]]&gt;8,"High",IF(financial_fraud_data[[#This Row],[Risk_Score]]&gt;5,"Med","Low"))</f>
        <v>Med</v>
      </c>
      <c r="P2266" t="str">
        <f>TEXT(financial_fraud_data[[#This Row],[Transaction_Date]],"MMM")</f>
        <v>Apr</v>
      </c>
      <c r="Q2266" t="str">
        <f>IF(financial_fraud_data[[#This Row],[Is_Fraud]]=1,"Yes","No")</f>
        <v>Yes</v>
      </c>
    </row>
    <row r="2267" spans="1:17" x14ac:dyDescent="0.2">
      <c r="A2267" t="s">
        <v>2796</v>
      </c>
      <c r="B2267" t="s">
        <v>572</v>
      </c>
      <c r="C2267" s="1">
        <v>45386.375</v>
      </c>
      <c r="D2267">
        <v>31583.81</v>
      </c>
      <c r="E2267" t="s">
        <v>42</v>
      </c>
      <c r="F2267" t="s">
        <v>50</v>
      </c>
      <c r="G2267" t="s">
        <v>65</v>
      </c>
      <c r="H2267" t="s">
        <v>23</v>
      </c>
      <c r="I2267" t="s">
        <v>24</v>
      </c>
      <c r="J2267" t="s">
        <v>51</v>
      </c>
      <c r="K2267">
        <v>0</v>
      </c>
      <c r="L2267">
        <v>2</v>
      </c>
      <c r="M2267">
        <v>7.16</v>
      </c>
      <c r="N2267">
        <v>1</v>
      </c>
      <c r="O2267" t="str">
        <f>IF(financial_fraud_data[[#This Row],[Risk_Score]]&gt;8,"High",IF(financial_fraud_data[[#This Row],[Risk_Score]]&gt;5,"Med","Low"))</f>
        <v>Med</v>
      </c>
      <c r="P2267" t="str">
        <f>TEXT(financial_fraud_data[[#This Row],[Transaction_Date]],"MMM")</f>
        <v>Apr</v>
      </c>
      <c r="Q2267" t="str">
        <f>IF(financial_fraud_data[[#This Row],[Is_Fraud]]=1,"Yes","No")</f>
        <v>Yes</v>
      </c>
    </row>
    <row r="2268" spans="1:17" x14ac:dyDescent="0.2">
      <c r="A2268" t="s">
        <v>2797</v>
      </c>
      <c r="B2268" t="s">
        <v>1083</v>
      </c>
      <c r="C2268" s="1">
        <v>45386.416666666664</v>
      </c>
      <c r="D2268">
        <v>29605.27</v>
      </c>
      <c r="E2268" t="s">
        <v>16</v>
      </c>
      <c r="F2268" t="s">
        <v>50</v>
      </c>
      <c r="G2268" t="s">
        <v>56</v>
      </c>
      <c r="H2268" t="s">
        <v>29</v>
      </c>
      <c r="I2268" t="s">
        <v>23</v>
      </c>
      <c r="J2268" t="s">
        <v>20</v>
      </c>
      <c r="K2268">
        <v>0</v>
      </c>
      <c r="L2268">
        <v>4</v>
      </c>
      <c r="M2268">
        <v>9.9600000000000009</v>
      </c>
      <c r="N2268">
        <v>1</v>
      </c>
      <c r="O2268" t="str">
        <f>IF(financial_fraud_data[[#This Row],[Risk_Score]]&gt;8,"High",IF(financial_fraud_data[[#This Row],[Risk_Score]]&gt;5,"Med","Low"))</f>
        <v>High</v>
      </c>
      <c r="P2268" t="str">
        <f>TEXT(financial_fraud_data[[#This Row],[Transaction_Date]],"MMM")</f>
        <v>Apr</v>
      </c>
      <c r="Q2268" t="str">
        <f>IF(financial_fraud_data[[#This Row],[Is_Fraud]]=1,"Yes","No")</f>
        <v>Yes</v>
      </c>
    </row>
    <row r="2269" spans="1:17" x14ac:dyDescent="0.2">
      <c r="A2269" t="s">
        <v>2798</v>
      </c>
      <c r="B2269" t="s">
        <v>1387</v>
      </c>
      <c r="C2269" s="1">
        <v>45386.458333333336</v>
      </c>
      <c r="D2269">
        <v>35146.559999999998</v>
      </c>
      <c r="E2269" t="s">
        <v>42</v>
      </c>
      <c r="F2269" t="s">
        <v>27</v>
      </c>
      <c r="G2269" t="s">
        <v>35</v>
      </c>
      <c r="H2269" t="s">
        <v>29</v>
      </c>
      <c r="I2269" t="s">
        <v>24</v>
      </c>
      <c r="J2269" t="s">
        <v>51</v>
      </c>
      <c r="K2269">
        <v>0</v>
      </c>
      <c r="L2269">
        <v>3</v>
      </c>
      <c r="M2269">
        <v>9.01</v>
      </c>
      <c r="N2269">
        <v>1</v>
      </c>
      <c r="O2269" t="str">
        <f>IF(financial_fraud_data[[#This Row],[Risk_Score]]&gt;8,"High",IF(financial_fraud_data[[#This Row],[Risk_Score]]&gt;5,"Med","Low"))</f>
        <v>High</v>
      </c>
      <c r="P2269" t="str">
        <f>TEXT(financial_fraud_data[[#This Row],[Transaction_Date]],"MMM")</f>
        <v>Apr</v>
      </c>
      <c r="Q2269" t="str">
        <f>IF(financial_fraud_data[[#This Row],[Is_Fraud]]=1,"Yes","No")</f>
        <v>Yes</v>
      </c>
    </row>
    <row r="2270" spans="1:17" x14ac:dyDescent="0.2">
      <c r="A2270" t="s">
        <v>2799</v>
      </c>
      <c r="B2270" t="s">
        <v>1521</v>
      </c>
      <c r="C2270" s="1">
        <v>45386.5</v>
      </c>
      <c r="D2270">
        <v>11909.8</v>
      </c>
      <c r="E2270" t="s">
        <v>42</v>
      </c>
      <c r="F2270" t="s">
        <v>17</v>
      </c>
      <c r="G2270" t="s">
        <v>56</v>
      </c>
      <c r="H2270" t="s">
        <v>36</v>
      </c>
      <c r="I2270" t="s">
        <v>29</v>
      </c>
      <c r="J2270" t="s">
        <v>51</v>
      </c>
      <c r="K2270">
        <v>0</v>
      </c>
      <c r="L2270">
        <v>1</v>
      </c>
      <c r="M2270">
        <v>3.69</v>
      </c>
      <c r="N2270">
        <v>0</v>
      </c>
      <c r="O2270" t="str">
        <f>IF(financial_fraud_data[[#This Row],[Risk_Score]]&gt;8,"High",IF(financial_fraud_data[[#This Row],[Risk_Score]]&gt;5,"Med","Low"))</f>
        <v>Low</v>
      </c>
      <c r="P2270" t="str">
        <f>TEXT(financial_fraud_data[[#This Row],[Transaction_Date]],"MMM")</f>
        <v>Apr</v>
      </c>
      <c r="Q2270" t="str">
        <f>IF(financial_fraud_data[[#This Row],[Is_Fraud]]=1,"Yes","No")</f>
        <v>No</v>
      </c>
    </row>
    <row r="2271" spans="1:17" x14ac:dyDescent="0.2">
      <c r="A2271" t="s">
        <v>2800</v>
      </c>
      <c r="B2271" t="s">
        <v>75</v>
      </c>
      <c r="C2271" s="1">
        <v>45386.541666666664</v>
      </c>
      <c r="D2271">
        <v>25642.57</v>
      </c>
      <c r="E2271" t="s">
        <v>34</v>
      </c>
      <c r="F2271" t="s">
        <v>50</v>
      </c>
      <c r="G2271" t="s">
        <v>28</v>
      </c>
      <c r="H2271" t="s">
        <v>19</v>
      </c>
      <c r="I2271" t="s">
        <v>19</v>
      </c>
      <c r="J2271" t="s">
        <v>20</v>
      </c>
      <c r="K2271">
        <v>0</v>
      </c>
      <c r="L2271">
        <v>3</v>
      </c>
      <c r="M2271">
        <v>7.06</v>
      </c>
      <c r="N2271">
        <v>1</v>
      </c>
      <c r="O2271" t="str">
        <f>IF(financial_fraud_data[[#This Row],[Risk_Score]]&gt;8,"High",IF(financial_fraud_data[[#This Row],[Risk_Score]]&gt;5,"Med","Low"))</f>
        <v>Med</v>
      </c>
      <c r="P2271" t="str">
        <f>TEXT(financial_fraud_data[[#This Row],[Transaction_Date]],"MMM")</f>
        <v>Apr</v>
      </c>
      <c r="Q2271" t="str">
        <f>IF(financial_fraud_data[[#This Row],[Is_Fraud]]=1,"Yes","No")</f>
        <v>Yes</v>
      </c>
    </row>
    <row r="2272" spans="1:17" x14ac:dyDescent="0.2">
      <c r="A2272" t="s">
        <v>2801</v>
      </c>
      <c r="B2272" t="s">
        <v>1001</v>
      </c>
      <c r="C2272" s="1">
        <v>45386.583333333336</v>
      </c>
      <c r="D2272">
        <v>5256.03</v>
      </c>
      <c r="E2272" t="s">
        <v>80</v>
      </c>
      <c r="F2272" t="s">
        <v>27</v>
      </c>
      <c r="G2272" t="s">
        <v>65</v>
      </c>
      <c r="H2272" t="s">
        <v>36</v>
      </c>
      <c r="I2272" t="s">
        <v>23</v>
      </c>
      <c r="J2272" t="s">
        <v>51</v>
      </c>
      <c r="K2272">
        <v>0</v>
      </c>
      <c r="L2272">
        <v>1</v>
      </c>
      <c r="M2272">
        <v>3.03</v>
      </c>
      <c r="N2272">
        <v>0</v>
      </c>
      <c r="O2272" t="str">
        <f>IF(financial_fraud_data[[#This Row],[Risk_Score]]&gt;8,"High",IF(financial_fraud_data[[#This Row],[Risk_Score]]&gt;5,"Med","Low"))</f>
        <v>Low</v>
      </c>
      <c r="P2272" t="str">
        <f>TEXT(financial_fraud_data[[#This Row],[Transaction_Date]],"MMM")</f>
        <v>Apr</v>
      </c>
      <c r="Q2272" t="str">
        <f>IF(financial_fraud_data[[#This Row],[Is_Fraud]]=1,"Yes","No")</f>
        <v>No</v>
      </c>
    </row>
    <row r="2273" spans="1:17" x14ac:dyDescent="0.2">
      <c r="A2273" t="s">
        <v>2802</v>
      </c>
      <c r="B2273" t="s">
        <v>111</v>
      </c>
      <c r="C2273" s="1">
        <v>45386.625</v>
      </c>
      <c r="D2273">
        <v>19256.34</v>
      </c>
      <c r="E2273" t="s">
        <v>34</v>
      </c>
      <c r="F2273" t="s">
        <v>47</v>
      </c>
      <c r="G2273" t="s">
        <v>35</v>
      </c>
      <c r="H2273" t="s">
        <v>23</v>
      </c>
      <c r="I2273" t="s">
        <v>24</v>
      </c>
      <c r="J2273" t="s">
        <v>20</v>
      </c>
      <c r="K2273">
        <v>0</v>
      </c>
      <c r="L2273">
        <v>0</v>
      </c>
      <c r="M2273">
        <v>2.93</v>
      </c>
      <c r="N2273">
        <v>0</v>
      </c>
      <c r="O2273" t="str">
        <f>IF(financial_fraud_data[[#This Row],[Risk_Score]]&gt;8,"High",IF(financial_fraud_data[[#This Row],[Risk_Score]]&gt;5,"Med","Low"))</f>
        <v>Low</v>
      </c>
      <c r="P2273" t="str">
        <f>TEXT(financial_fraud_data[[#This Row],[Transaction_Date]],"MMM")</f>
        <v>Apr</v>
      </c>
      <c r="Q2273" t="str">
        <f>IF(financial_fraud_data[[#This Row],[Is_Fraud]]=1,"Yes","No")</f>
        <v>No</v>
      </c>
    </row>
    <row r="2274" spans="1:17" x14ac:dyDescent="0.2">
      <c r="A2274" t="s">
        <v>2803</v>
      </c>
      <c r="B2274" t="s">
        <v>60</v>
      </c>
      <c r="C2274" s="1">
        <v>45386.666666666664</v>
      </c>
      <c r="D2274">
        <v>24408.97</v>
      </c>
      <c r="E2274" t="s">
        <v>80</v>
      </c>
      <c r="F2274" t="s">
        <v>27</v>
      </c>
      <c r="G2274" t="s">
        <v>65</v>
      </c>
      <c r="H2274" t="s">
        <v>36</v>
      </c>
      <c r="I2274" t="s">
        <v>19</v>
      </c>
      <c r="J2274" t="s">
        <v>20</v>
      </c>
      <c r="K2274">
        <v>0</v>
      </c>
      <c r="L2274">
        <v>0</v>
      </c>
      <c r="M2274">
        <v>3.44</v>
      </c>
      <c r="N2274">
        <v>0</v>
      </c>
      <c r="O2274" t="str">
        <f>IF(financial_fraud_data[[#This Row],[Risk_Score]]&gt;8,"High",IF(financial_fraud_data[[#This Row],[Risk_Score]]&gt;5,"Med","Low"))</f>
        <v>Low</v>
      </c>
      <c r="P2274" t="str">
        <f>TEXT(financial_fraud_data[[#This Row],[Transaction_Date]],"MMM")</f>
        <v>Apr</v>
      </c>
      <c r="Q2274" t="str">
        <f>IF(financial_fraud_data[[#This Row],[Is_Fraud]]=1,"Yes","No")</f>
        <v>No</v>
      </c>
    </row>
    <row r="2275" spans="1:17" x14ac:dyDescent="0.2">
      <c r="A2275" t="s">
        <v>2804</v>
      </c>
      <c r="B2275" t="s">
        <v>284</v>
      </c>
      <c r="C2275" s="1">
        <v>45386.708333333336</v>
      </c>
      <c r="D2275">
        <v>32628.6</v>
      </c>
      <c r="E2275" t="s">
        <v>16</v>
      </c>
      <c r="F2275" t="s">
        <v>47</v>
      </c>
      <c r="G2275" t="s">
        <v>35</v>
      </c>
      <c r="H2275" t="s">
        <v>24</v>
      </c>
      <c r="I2275" t="s">
        <v>36</v>
      </c>
      <c r="J2275" t="s">
        <v>20</v>
      </c>
      <c r="K2275">
        <v>0</v>
      </c>
      <c r="L2275">
        <v>2</v>
      </c>
      <c r="M2275">
        <v>7.26</v>
      </c>
      <c r="N2275">
        <v>1</v>
      </c>
      <c r="O2275" t="str">
        <f>IF(financial_fraud_data[[#This Row],[Risk_Score]]&gt;8,"High",IF(financial_fraud_data[[#This Row],[Risk_Score]]&gt;5,"Med","Low"))</f>
        <v>Med</v>
      </c>
      <c r="P2275" t="str">
        <f>TEXT(financial_fraud_data[[#This Row],[Transaction_Date]],"MMM")</f>
        <v>Apr</v>
      </c>
      <c r="Q2275" t="str">
        <f>IF(financial_fraud_data[[#This Row],[Is_Fraud]]=1,"Yes","No")</f>
        <v>Yes</v>
      </c>
    </row>
    <row r="2276" spans="1:17" x14ac:dyDescent="0.2">
      <c r="A2276" t="s">
        <v>2805</v>
      </c>
      <c r="B2276" t="s">
        <v>1639</v>
      </c>
      <c r="C2276" s="1">
        <v>45386.75</v>
      </c>
      <c r="D2276">
        <v>47529.03</v>
      </c>
      <c r="E2276" t="s">
        <v>42</v>
      </c>
      <c r="F2276" t="s">
        <v>27</v>
      </c>
      <c r="G2276" t="s">
        <v>65</v>
      </c>
      <c r="H2276" t="s">
        <v>29</v>
      </c>
      <c r="I2276" t="s">
        <v>24</v>
      </c>
      <c r="J2276" t="s">
        <v>51</v>
      </c>
      <c r="K2276">
        <v>0</v>
      </c>
      <c r="L2276">
        <v>0</v>
      </c>
      <c r="M2276">
        <v>5.75</v>
      </c>
      <c r="N2276">
        <v>1</v>
      </c>
      <c r="O2276" t="str">
        <f>IF(financial_fraud_data[[#This Row],[Risk_Score]]&gt;8,"High",IF(financial_fraud_data[[#This Row],[Risk_Score]]&gt;5,"Med","Low"))</f>
        <v>Med</v>
      </c>
      <c r="P2276" t="str">
        <f>TEXT(financial_fraud_data[[#This Row],[Transaction_Date]],"MMM")</f>
        <v>Apr</v>
      </c>
      <c r="Q2276" t="str">
        <f>IF(financial_fraud_data[[#This Row],[Is_Fraud]]=1,"Yes","No")</f>
        <v>Yes</v>
      </c>
    </row>
    <row r="2277" spans="1:17" x14ac:dyDescent="0.2">
      <c r="A2277" t="s">
        <v>2806</v>
      </c>
      <c r="B2277" t="s">
        <v>1253</v>
      </c>
      <c r="C2277" s="1">
        <v>45386.791666666664</v>
      </c>
      <c r="D2277">
        <v>30052.52</v>
      </c>
      <c r="E2277" t="s">
        <v>16</v>
      </c>
      <c r="F2277" t="s">
        <v>17</v>
      </c>
      <c r="G2277" t="s">
        <v>28</v>
      </c>
      <c r="H2277" t="s">
        <v>19</v>
      </c>
      <c r="I2277" t="s">
        <v>24</v>
      </c>
      <c r="J2277" t="s">
        <v>20</v>
      </c>
      <c r="K2277">
        <v>0</v>
      </c>
      <c r="L2277">
        <v>4</v>
      </c>
      <c r="M2277">
        <v>10.01</v>
      </c>
      <c r="N2277">
        <v>1</v>
      </c>
      <c r="O2277" t="str">
        <f>IF(financial_fraud_data[[#This Row],[Risk_Score]]&gt;8,"High",IF(financial_fraud_data[[#This Row],[Risk_Score]]&gt;5,"Med","Low"))</f>
        <v>High</v>
      </c>
      <c r="P2277" t="str">
        <f>TEXT(financial_fraud_data[[#This Row],[Transaction_Date]],"MMM")</f>
        <v>Apr</v>
      </c>
      <c r="Q2277" t="str">
        <f>IF(financial_fraud_data[[#This Row],[Is_Fraud]]=1,"Yes","No")</f>
        <v>Yes</v>
      </c>
    </row>
    <row r="2278" spans="1:17" x14ac:dyDescent="0.2">
      <c r="A2278" t="s">
        <v>2807</v>
      </c>
      <c r="B2278" t="s">
        <v>1757</v>
      </c>
      <c r="C2278" s="1">
        <v>45386.833333333336</v>
      </c>
      <c r="D2278">
        <v>37192.519999999997</v>
      </c>
      <c r="E2278" t="s">
        <v>80</v>
      </c>
      <c r="F2278" t="s">
        <v>50</v>
      </c>
      <c r="G2278" t="s">
        <v>35</v>
      </c>
      <c r="H2278" t="s">
        <v>23</v>
      </c>
      <c r="I2278" t="s">
        <v>29</v>
      </c>
      <c r="J2278" t="s">
        <v>51</v>
      </c>
      <c r="K2278">
        <v>0</v>
      </c>
      <c r="L2278">
        <v>4</v>
      </c>
      <c r="M2278">
        <v>10.72</v>
      </c>
      <c r="N2278">
        <v>1</v>
      </c>
      <c r="O2278" t="str">
        <f>IF(financial_fraud_data[[#This Row],[Risk_Score]]&gt;8,"High",IF(financial_fraud_data[[#This Row],[Risk_Score]]&gt;5,"Med","Low"))</f>
        <v>High</v>
      </c>
      <c r="P2278" t="str">
        <f>TEXT(financial_fraud_data[[#This Row],[Transaction_Date]],"MMM")</f>
        <v>Apr</v>
      </c>
      <c r="Q2278" t="str">
        <f>IF(financial_fraud_data[[#This Row],[Is_Fraud]]=1,"Yes","No")</f>
        <v>Yes</v>
      </c>
    </row>
    <row r="2279" spans="1:17" x14ac:dyDescent="0.2">
      <c r="A2279" t="s">
        <v>2808</v>
      </c>
      <c r="B2279" t="s">
        <v>860</v>
      </c>
      <c r="C2279" s="1">
        <v>45386.875</v>
      </c>
      <c r="D2279">
        <v>25337.99</v>
      </c>
      <c r="E2279" t="s">
        <v>34</v>
      </c>
      <c r="F2279" t="s">
        <v>17</v>
      </c>
      <c r="G2279" t="s">
        <v>18</v>
      </c>
      <c r="H2279" t="s">
        <v>29</v>
      </c>
      <c r="I2279" t="s">
        <v>36</v>
      </c>
      <c r="J2279" t="s">
        <v>20</v>
      </c>
      <c r="K2279">
        <v>0</v>
      </c>
      <c r="L2279">
        <v>1</v>
      </c>
      <c r="M2279">
        <v>5.03</v>
      </c>
      <c r="N2279">
        <v>1</v>
      </c>
      <c r="O2279" t="str">
        <f>IF(financial_fraud_data[[#This Row],[Risk_Score]]&gt;8,"High",IF(financial_fraud_data[[#This Row],[Risk_Score]]&gt;5,"Med","Low"))</f>
        <v>Med</v>
      </c>
      <c r="P2279" t="str">
        <f>TEXT(financial_fraud_data[[#This Row],[Transaction_Date]],"MMM")</f>
        <v>Apr</v>
      </c>
      <c r="Q2279" t="str">
        <f>IF(financial_fraud_data[[#This Row],[Is_Fraud]]=1,"Yes","No")</f>
        <v>Yes</v>
      </c>
    </row>
    <row r="2280" spans="1:17" x14ac:dyDescent="0.2">
      <c r="A2280" t="s">
        <v>2809</v>
      </c>
      <c r="B2280" t="s">
        <v>538</v>
      </c>
      <c r="C2280" s="1">
        <v>45386.916666666664</v>
      </c>
      <c r="D2280">
        <v>31723.5</v>
      </c>
      <c r="E2280" t="s">
        <v>34</v>
      </c>
      <c r="F2280" t="s">
        <v>27</v>
      </c>
      <c r="G2280" t="s">
        <v>65</v>
      </c>
      <c r="H2280" t="s">
        <v>36</v>
      </c>
      <c r="I2280" t="s">
        <v>29</v>
      </c>
      <c r="J2280" t="s">
        <v>51</v>
      </c>
      <c r="K2280">
        <v>0</v>
      </c>
      <c r="L2280">
        <v>3</v>
      </c>
      <c r="M2280">
        <v>8.67</v>
      </c>
      <c r="N2280">
        <v>1</v>
      </c>
      <c r="O2280" t="str">
        <f>IF(financial_fraud_data[[#This Row],[Risk_Score]]&gt;8,"High",IF(financial_fraud_data[[#This Row],[Risk_Score]]&gt;5,"Med","Low"))</f>
        <v>High</v>
      </c>
      <c r="P2280" t="str">
        <f>TEXT(financial_fraud_data[[#This Row],[Transaction_Date]],"MMM")</f>
        <v>Apr</v>
      </c>
      <c r="Q2280" t="str">
        <f>IF(financial_fraud_data[[#This Row],[Is_Fraud]]=1,"Yes","No")</f>
        <v>Yes</v>
      </c>
    </row>
    <row r="2281" spans="1:17" x14ac:dyDescent="0.2">
      <c r="A2281" t="s">
        <v>2810</v>
      </c>
      <c r="B2281" t="s">
        <v>599</v>
      </c>
      <c r="C2281" s="1">
        <v>45386.958333333336</v>
      </c>
      <c r="D2281">
        <v>3593.06</v>
      </c>
      <c r="E2281" t="s">
        <v>16</v>
      </c>
      <c r="F2281" t="s">
        <v>50</v>
      </c>
      <c r="G2281" t="s">
        <v>65</v>
      </c>
      <c r="H2281" t="s">
        <v>24</v>
      </c>
      <c r="I2281" t="s">
        <v>36</v>
      </c>
      <c r="J2281" t="s">
        <v>20</v>
      </c>
      <c r="K2281">
        <v>0</v>
      </c>
      <c r="L2281">
        <v>4</v>
      </c>
      <c r="M2281">
        <v>7.36</v>
      </c>
      <c r="N2281">
        <v>1</v>
      </c>
      <c r="O2281" t="str">
        <f>IF(financial_fraud_data[[#This Row],[Risk_Score]]&gt;8,"High",IF(financial_fraud_data[[#This Row],[Risk_Score]]&gt;5,"Med","Low"))</f>
        <v>Med</v>
      </c>
      <c r="P2281" t="str">
        <f>TEXT(financial_fraud_data[[#This Row],[Transaction_Date]],"MMM")</f>
        <v>Apr</v>
      </c>
      <c r="Q2281" t="str">
        <f>IF(financial_fraud_data[[#This Row],[Is_Fraud]]=1,"Yes","No")</f>
        <v>Yes</v>
      </c>
    </row>
    <row r="2282" spans="1:17" x14ac:dyDescent="0.2">
      <c r="A2282" t="s">
        <v>2811</v>
      </c>
      <c r="B2282" t="s">
        <v>933</v>
      </c>
      <c r="C2282" s="1">
        <v>45387</v>
      </c>
      <c r="D2282">
        <v>12756.86</v>
      </c>
      <c r="E2282" t="s">
        <v>80</v>
      </c>
      <c r="F2282" t="s">
        <v>47</v>
      </c>
      <c r="G2282" t="s">
        <v>56</v>
      </c>
      <c r="H2282" t="s">
        <v>36</v>
      </c>
      <c r="I2282" t="s">
        <v>24</v>
      </c>
      <c r="J2282" t="s">
        <v>37</v>
      </c>
      <c r="K2282">
        <v>0</v>
      </c>
      <c r="L2282">
        <v>1</v>
      </c>
      <c r="M2282">
        <v>3.78</v>
      </c>
      <c r="N2282">
        <v>0</v>
      </c>
      <c r="O2282" t="str">
        <f>IF(financial_fraud_data[[#This Row],[Risk_Score]]&gt;8,"High",IF(financial_fraud_data[[#This Row],[Risk_Score]]&gt;5,"Med","Low"))</f>
        <v>Low</v>
      </c>
      <c r="P2282" t="str">
        <f>TEXT(financial_fraud_data[[#This Row],[Transaction_Date]],"MMM")</f>
        <v>Apr</v>
      </c>
      <c r="Q2282" t="str">
        <f>IF(financial_fraud_data[[#This Row],[Is_Fraud]]=1,"Yes","No")</f>
        <v>No</v>
      </c>
    </row>
    <row r="2283" spans="1:17" x14ac:dyDescent="0.2">
      <c r="A2283" t="s">
        <v>2812</v>
      </c>
      <c r="B2283" t="s">
        <v>676</v>
      </c>
      <c r="C2283" s="1">
        <v>45387.041666666664</v>
      </c>
      <c r="D2283">
        <v>18124.560000000001</v>
      </c>
      <c r="E2283" t="s">
        <v>16</v>
      </c>
      <c r="F2283" t="s">
        <v>27</v>
      </c>
      <c r="G2283" t="s">
        <v>35</v>
      </c>
      <c r="H2283" t="s">
        <v>29</v>
      </c>
      <c r="I2283" t="s">
        <v>29</v>
      </c>
      <c r="J2283" t="s">
        <v>37</v>
      </c>
      <c r="K2283">
        <v>0</v>
      </c>
      <c r="L2283">
        <v>3</v>
      </c>
      <c r="M2283">
        <v>6.31</v>
      </c>
      <c r="N2283">
        <v>1</v>
      </c>
      <c r="O2283" t="str">
        <f>IF(financial_fraud_data[[#This Row],[Risk_Score]]&gt;8,"High",IF(financial_fraud_data[[#This Row],[Risk_Score]]&gt;5,"Med","Low"))</f>
        <v>Med</v>
      </c>
      <c r="P2283" t="str">
        <f>TEXT(financial_fraud_data[[#This Row],[Transaction_Date]],"MMM")</f>
        <v>Apr</v>
      </c>
      <c r="Q2283" t="str">
        <f>IF(financial_fraud_data[[#This Row],[Is_Fraud]]=1,"Yes","No")</f>
        <v>Yes</v>
      </c>
    </row>
    <row r="2284" spans="1:17" x14ac:dyDescent="0.2">
      <c r="A2284" t="s">
        <v>2813</v>
      </c>
      <c r="B2284" t="s">
        <v>898</v>
      </c>
      <c r="C2284" s="1">
        <v>45387.083333333336</v>
      </c>
      <c r="D2284">
        <v>23651.040000000001</v>
      </c>
      <c r="E2284" t="s">
        <v>16</v>
      </c>
      <c r="F2284" t="s">
        <v>50</v>
      </c>
      <c r="G2284" t="s">
        <v>18</v>
      </c>
      <c r="H2284" t="s">
        <v>23</v>
      </c>
      <c r="I2284" t="s">
        <v>19</v>
      </c>
      <c r="J2284" t="s">
        <v>37</v>
      </c>
      <c r="K2284">
        <v>0</v>
      </c>
      <c r="L2284">
        <v>0</v>
      </c>
      <c r="M2284">
        <v>3.37</v>
      </c>
      <c r="N2284">
        <v>0</v>
      </c>
      <c r="O2284" t="str">
        <f>IF(financial_fraud_data[[#This Row],[Risk_Score]]&gt;8,"High",IF(financial_fraud_data[[#This Row],[Risk_Score]]&gt;5,"Med","Low"))</f>
        <v>Low</v>
      </c>
      <c r="P2284" t="str">
        <f>TEXT(financial_fraud_data[[#This Row],[Transaction_Date]],"MMM")</f>
        <v>Apr</v>
      </c>
      <c r="Q2284" t="str">
        <f>IF(financial_fraud_data[[#This Row],[Is_Fraud]]=1,"Yes","No")</f>
        <v>No</v>
      </c>
    </row>
    <row r="2285" spans="1:17" x14ac:dyDescent="0.2">
      <c r="A2285" t="s">
        <v>2814</v>
      </c>
      <c r="B2285" t="s">
        <v>680</v>
      </c>
      <c r="C2285" s="1">
        <v>45387.125</v>
      </c>
      <c r="D2285">
        <v>2330.15</v>
      </c>
      <c r="E2285" t="s">
        <v>42</v>
      </c>
      <c r="F2285" t="s">
        <v>47</v>
      </c>
      <c r="G2285" t="s">
        <v>28</v>
      </c>
      <c r="H2285" t="s">
        <v>19</v>
      </c>
      <c r="I2285" t="s">
        <v>36</v>
      </c>
      <c r="J2285" t="s">
        <v>20</v>
      </c>
      <c r="K2285">
        <v>0</v>
      </c>
      <c r="L2285">
        <v>1</v>
      </c>
      <c r="M2285">
        <v>2.73</v>
      </c>
      <c r="N2285">
        <v>0</v>
      </c>
      <c r="O2285" t="str">
        <f>IF(financial_fraud_data[[#This Row],[Risk_Score]]&gt;8,"High",IF(financial_fraud_data[[#This Row],[Risk_Score]]&gt;5,"Med","Low"))</f>
        <v>Low</v>
      </c>
      <c r="P2285" t="str">
        <f>TEXT(financial_fraud_data[[#This Row],[Transaction_Date]],"MMM")</f>
        <v>Apr</v>
      </c>
      <c r="Q2285" t="str">
        <f>IF(financial_fraud_data[[#This Row],[Is_Fraud]]=1,"Yes","No")</f>
        <v>No</v>
      </c>
    </row>
    <row r="2286" spans="1:17" x14ac:dyDescent="0.2">
      <c r="A2286" t="s">
        <v>2815</v>
      </c>
      <c r="B2286" t="s">
        <v>669</v>
      </c>
      <c r="C2286" s="1">
        <v>45387.166666666664</v>
      </c>
      <c r="D2286">
        <v>7044.2</v>
      </c>
      <c r="E2286" t="s">
        <v>16</v>
      </c>
      <c r="F2286" t="s">
        <v>47</v>
      </c>
      <c r="G2286" t="s">
        <v>56</v>
      </c>
      <c r="H2286" t="s">
        <v>29</v>
      </c>
      <c r="I2286" t="s">
        <v>24</v>
      </c>
      <c r="J2286" t="s">
        <v>51</v>
      </c>
      <c r="K2286">
        <v>0</v>
      </c>
      <c r="L2286">
        <v>3</v>
      </c>
      <c r="M2286">
        <v>6.2</v>
      </c>
      <c r="N2286">
        <v>1</v>
      </c>
      <c r="O2286" t="str">
        <f>IF(financial_fraud_data[[#This Row],[Risk_Score]]&gt;8,"High",IF(financial_fraud_data[[#This Row],[Risk_Score]]&gt;5,"Med","Low"))</f>
        <v>Med</v>
      </c>
      <c r="P2286" t="str">
        <f>TEXT(financial_fraud_data[[#This Row],[Transaction_Date]],"MMM")</f>
        <v>Apr</v>
      </c>
      <c r="Q2286" t="str">
        <f>IF(financial_fraud_data[[#This Row],[Is_Fraud]]=1,"Yes","No")</f>
        <v>Yes</v>
      </c>
    </row>
    <row r="2287" spans="1:17" x14ac:dyDescent="0.2">
      <c r="A2287" t="s">
        <v>2816</v>
      </c>
      <c r="B2287" t="s">
        <v>2817</v>
      </c>
      <c r="C2287" s="1">
        <v>45387.208333333336</v>
      </c>
      <c r="D2287">
        <v>13876.87</v>
      </c>
      <c r="E2287" t="s">
        <v>42</v>
      </c>
      <c r="F2287" t="s">
        <v>17</v>
      </c>
      <c r="G2287" t="s">
        <v>18</v>
      </c>
      <c r="H2287" t="s">
        <v>23</v>
      </c>
      <c r="I2287" t="s">
        <v>23</v>
      </c>
      <c r="J2287" t="s">
        <v>20</v>
      </c>
      <c r="K2287">
        <v>0</v>
      </c>
      <c r="L2287">
        <v>2</v>
      </c>
      <c r="M2287">
        <v>4.3899999999999997</v>
      </c>
      <c r="N2287">
        <v>0</v>
      </c>
      <c r="O2287" t="str">
        <f>IF(financial_fraud_data[[#This Row],[Risk_Score]]&gt;8,"High",IF(financial_fraud_data[[#This Row],[Risk_Score]]&gt;5,"Med","Low"))</f>
        <v>Low</v>
      </c>
      <c r="P2287" t="str">
        <f>TEXT(financial_fraud_data[[#This Row],[Transaction_Date]],"MMM")</f>
        <v>Apr</v>
      </c>
      <c r="Q2287" t="str">
        <f>IF(financial_fraud_data[[#This Row],[Is_Fraud]]=1,"Yes","No")</f>
        <v>No</v>
      </c>
    </row>
    <row r="2288" spans="1:17" x14ac:dyDescent="0.2">
      <c r="A2288" t="s">
        <v>2818</v>
      </c>
      <c r="B2288" t="s">
        <v>241</v>
      </c>
      <c r="C2288" s="1">
        <v>45387.25</v>
      </c>
      <c r="D2288">
        <v>48578.06</v>
      </c>
      <c r="E2288" t="s">
        <v>42</v>
      </c>
      <c r="F2288" t="s">
        <v>27</v>
      </c>
      <c r="G2288" t="s">
        <v>35</v>
      </c>
      <c r="H2288" t="s">
        <v>29</v>
      </c>
      <c r="I2288" t="s">
        <v>36</v>
      </c>
      <c r="J2288" t="s">
        <v>20</v>
      </c>
      <c r="K2288">
        <v>1</v>
      </c>
      <c r="L2288">
        <v>2</v>
      </c>
      <c r="M2288">
        <v>10.86</v>
      </c>
      <c r="N2288">
        <v>1</v>
      </c>
      <c r="O2288" t="str">
        <f>IF(financial_fraud_data[[#This Row],[Risk_Score]]&gt;8,"High",IF(financial_fraud_data[[#This Row],[Risk_Score]]&gt;5,"Med","Low"))</f>
        <v>High</v>
      </c>
      <c r="P2288" t="str">
        <f>TEXT(financial_fraud_data[[#This Row],[Transaction_Date]],"MMM")</f>
        <v>Apr</v>
      </c>
      <c r="Q2288" t="str">
        <f>IF(financial_fraud_data[[#This Row],[Is_Fraud]]=1,"Yes","No")</f>
        <v>Yes</v>
      </c>
    </row>
    <row r="2289" spans="1:17" x14ac:dyDescent="0.2">
      <c r="A2289" t="s">
        <v>2819</v>
      </c>
      <c r="B2289" t="s">
        <v>306</v>
      </c>
      <c r="C2289" s="1">
        <v>45387.291666666664</v>
      </c>
      <c r="D2289">
        <v>16600.78</v>
      </c>
      <c r="E2289" t="s">
        <v>34</v>
      </c>
      <c r="F2289" t="s">
        <v>47</v>
      </c>
      <c r="G2289" t="s">
        <v>18</v>
      </c>
      <c r="H2289" t="s">
        <v>24</v>
      </c>
      <c r="I2289" t="s">
        <v>36</v>
      </c>
      <c r="J2289" t="s">
        <v>20</v>
      </c>
      <c r="K2289">
        <v>1</v>
      </c>
      <c r="L2289">
        <v>4</v>
      </c>
      <c r="M2289">
        <v>10.66</v>
      </c>
      <c r="N2289">
        <v>1</v>
      </c>
      <c r="O2289" t="str">
        <f>IF(financial_fraud_data[[#This Row],[Risk_Score]]&gt;8,"High",IF(financial_fraud_data[[#This Row],[Risk_Score]]&gt;5,"Med","Low"))</f>
        <v>High</v>
      </c>
      <c r="P2289" t="str">
        <f>TEXT(financial_fraud_data[[#This Row],[Transaction_Date]],"MMM")</f>
        <v>Apr</v>
      </c>
      <c r="Q2289" t="str">
        <f>IF(financial_fraud_data[[#This Row],[Is_Fraud]]=1,"Yes","No")</f>
        <v>Yes</v>
      </c>
    </row>
    <row r="2290" spans="1:17" x14ac:dyDescent="0.2">
      <c r="A2290" t="s">
        <v>2820</v>
      </c>
      <c r="B2290" t="s">
        <v>1027</v>
      </c>
      <c r="C2290" s="1">
        <v>45387.333333333336</v>
      </c>
      <c r="D2290">
        <v>24127.95</v>
      </c>
      <c r="E2290" t="s">
        <v>42</v>
      </c>
      <c r="F2290" t="s">
        <v>50</v>
      </c>
      <c r="G2290" t="s">
        <v>65</v>
      </c>
      <c r="H2290" t="s">
        <v>36</v>
      </c>
      <c r="I2290" t="s">
        <v>19</v>
      </c>
      <c r="J2290" t="s">
        <v>20</v>
      </c>
      <c r="K2290">
        <v>0</v>
      </c>
      <c r="L2290">
        <v>3</v>
      </c>
      <c r="M2290">
        <v>7.91</v>
      </c>
      <c r="N2290">
        <v>1</v>
      </c>
      <c r="O2290" t="str">
        <f>IF(financial_fraud_data[[#This Row],[Risk_Score]]&gt;8,"High",IF(financial_fraud_data[[#This Row],[Risk_Score]]&gt;5,"Med","Low"))</f>
        <v>Med</v>
      </c>
      <c r="P2290" t="str">
        <f>TEXT(financial_fraud_data[[#This Row],[Transaction_Date]],"MMM")</f>
        <v>Apr</v>
      </c>
      <c r="Q2290" t="str">
        <f>IF(financial_fraud_data[[#This Row],[Is_Fraud]]=1,"Yes","No")</f>
        <v>Yes</v>
      </c>
    </row>
    <row r="2291" spans="1:17" x14ac:dyDescent="0.2">
      <c r="A2291" t="s">
        <v>2821</v>
      </c>
      <c r="B2291" t="s">
        <v>144</v>
      </c>
      <c r="C2291" s="1">
        <v>45387.375</v>
      </c>
      <c r="D2291">
        <v>9845.08</v>
      </c>
      <c r="E2291" t="s">
        <v>42</v>
      </c>
      <c r="F2291" t="s">
        <v>47</v>
      </c>
      <c r="G2291" t="s">
        <v>65</v>
      </c>
      <c r="H2291" t="s">
        <v>19</v>
      </c>
      <c r="I2291" t="s">
        <v>36</v>
      </c>
      <c r="J2291" t="s">
        <v>51</v>
      </c>
      <c r="K2291">
        <v>0</v>
      </c>
      <c r="L2291">
        <v>2</v>
      </c>
      <c r="M2291">
        <v>4.9800000000000004</v>
      </c>
      <c r="N2291">
        <v>0</v>
      </c>
      <c r="O2291" t="str">
        <f>IF(financial_fraud_data[[#This Row],[Risk_Score]]&gt;8,"High",IF(financial_fraud_data[[#This Row],[Risk_Score]]&gt;5,"Med","Low"))</f>
        <v>Low</v>
      </c>
      <c r="P2291" t="str">
        <f>TEXT(financial_fraud_data[[#This Row],[Transaction_Date]],"MMM")</f>
        <v>Apr</v>
      </c>
      <c r="Q2291" t="str">
        <f>IF(financial_fraud_data[[#This Row],[Is_Fraud]]=1,"Yes","No")</f>
        <v>No</v>
      </c>
    </row>
    <row r="2292" spans="1:17" x14ac:dyDescent="0.2">
      <c r="A2292" t="s">
        <v>2822</v>
      </c>
      <c r="B2292" t="s">
        <v>324</v>
      </c>
      <c r="C2292" s="1">
        <v>45387.416666666664</v>
      </c>
      <c r="D2292">
        <v>30558.46</v>
      </c>
      <c r="E2292" t="s">
        <v>34</v>
      </c>
      <c r="F2292" t="s">
        <v>47</v>
      </c>
      <c r="G2292" t="s">
        <v>56</v>
      </c>
      <c r="H2292" t="s">
        <v>23</v>
      </c>
      <c r="I2292" t="s">
        <v>36</v>
      </c>
      <c r="J2292" t="s">
        <v>20</v>
      </c>
      <c r="K2292">
        <v>0</v>
      </c>
      <c r="L2292">
        <v>4</v>
      </c>
      <c r="M2292">
        <v>10.06</v>
      </c>
      <c r="N2292">
        <v>1</v>
      </c>
      <c r="O2292" t="str">
        <f>IF(financial_fraud_data[[#This Row],[Risk_Score]]&gt;8,"High",IF(financial_fraud_data[[#This Row],[Risk_Score]]&gt;5,"Med","Low"))</f>
        <v>High</v>
      </c>
      <c r="P2292" t="str">
        <f>TEXT(financial_fraud_data[[#This Row],[Transaction_Date]],"MMM")</f>
        <v>Apr</v>
      </c>
      <c r="Q2292" t="str">
        <f>IF(financial_fraud_data[[#This Row],[Is_Fraud]]=1,"Yes","No")</f>
        <v>Yes</v>
      </c>
    </row>
    <row r="2293" spans="1:17" x14ac:dyDescent="0.2">
      <c r="A2293" t="s">
        <v>2823</v>
      </c>
      <c r="B2293" t="s">
        <v>680</v>
      </c>
      <c r="C2293" s="1">
        <v>45387.458333333336</v>
      </c>
      <c r="D2293">
        <v>14070.13</v>
      </c>
      <c r="E2293" t="s">
        <v>16</v>
      </c>
      <c r="F2293" t="s">
        <v>17</v>
      </c>
      <c r="G2293" t="s">
        <v>35</v>
      </c>
      <c r="H2293" t="s">
        <v>19</v>
      </c>
      <c r="I2293" t="s">
        <v>19</v>
      </c>
      <c r="J2293" t="s">
        <v>37</v>
      </c>
      <c r="K2293">
        <v>1</v>
      </c>
      <c r="L2293">
        <v>1</v>
      </c>
      <c r="M2293">
        <v>4.91</v>
      </c>
      <c r="N2293">
        <v>0</v>
      </c>
      <c r="O2293" t="str">
        <f>IF(financial_fraud_data[[#This Row],[Risk_Score]]&gt;8,"High",IF(financial_fraud_data[[#This Row],[Risk_Score]]&gt;5,"Med","Low"))</f>
        <v>Low</v>
      </c>
      <c r="P2293" t="str">
        <f>TEXT(financial_fraud_data[[#This Row],[Transaction_Date]],"MMM")</f>
        <v>Apr</v>
      </c>
      <c r="Q2293" t="str">
        <f>IF(financial_fraud_data[[#This Row],[Is_Fraud]]=1,"Yes","No")</f>
        <v>No</v>
      </c>
    </row>
    <row r="2294" spans="1:17" x14ac:dyDescent="0.2">
      <c r="A2294" t="s">
        <v>2824</v>
      </c>
      <c r="B2294" t="s">
        <v>245</v>
      </c>
      <c r="C2294" s="1">
        <v>45387.5</v>
      </c>
      <c r="D2294">
        <v>10389.280000000001</v>
      </c>
      <c r="E2294" t="s">
        <v>80</v>
      </c>
      <c r="F2294" t="s">
        <v>17</v>
      </c>
      <c r="G2294" t="s">
        <v>35</v>
      </c>
      <c r="H2294" t="s">
        <v>19</v>
      </c>
      <c r="I2294" t="s">
        <v>19</v>
      </c>
      <c r="J2294" t="s">
        <v>37</v>
      </c>
      <c r="K2294">
        <v>0</v>
      </c>
      <c r="L2294">
        <v>1</v>
      </c>
      <c r="M2294">
        <v>2.54</v>
      </c>
      <c r="N2294">
        <v>0</v>
      </c>
      <c r="O2294" t="str">
        <f>IF(financial_fraud_data[[#This Row],[Risk_Score]]&gt;8,"High",IF(financial_fraud_data[[#This Row],[Risk_Score]]&gt;5,"Med","Low"))</f>
        <v>Low</v>
      </c>
      <c r="P2294" t="str">
        <f>TEXT(financial_fraud_data[[#This Row],[Transaction_Date]],"MMM")</f>
        <v>Apr</v>
      </c>
      <c r="Q2294" t="str">
        <f>IF(financial_fraud_data[[#This Row],[Is_Fraud]]=1,"Yes","No")</f>
        <v>No</v>
      </c>
    </row>
    <row r="2295" spans="1:17" x14ac:dyDescent="0.2">
      <c r="A2295" t="s">
        <v>2825</v>
      </c>
      <c r="B2295" t="s">
        <v>894</v>
      </c>
      <c r="C2295" s="1">
        <v>45387.541666666664</v>
      </c>
      <c r="D2295">
        <v>25852.799999999999</v>
      </c>
      <c r="E2295" t="s">
        <v>80</v>
      </c>
      <c r="F2295" t="s">
        <v>50</v>
      </c>
      <c r="G2295" t="s">
        <v>18</v>
      </c>
      <c r="H2295" t="s">
        <v>19</v>
      </c>
      <c r="I2295" t="s">
        <v>29</v>
      </c>
      <c r="J2295" t="s">
        <v>37</v>
      </c>
      <c r="K2295">
        <v>0</v>
      </c>
      <c r="L2295">
        <v>3</v>
      </c>
      <c r="M2295">
        <v>8.09</v>
      </c>
      <c r="N2295">
        <v>1</v>
      </c>
      <c r="O2295" t="str">
        <f>IF(financial_fraud_data[[#This Row],[Risk_Score]]&gt;8,"High",IF(financial_fraud_data[[#This Row],[Risk_Score]]&gt;5,"Med","Low"))</f>
        <v>High</v>
      </c>
      <c r="P2295" t="str">
        <f>TEXT(financial_fraud_data[[#This Row],[Transaction_Date]],"MMM")</f>
        <v>Apr</v>
      </c>
      <c r="Q2295" t="str">
        <f>IF(financial_fraud_data[[#This Row],[Is_Fraud]]=1,"Yes","No")</f>
        <v>Yes</v>
      </c>
    </row>
    <row r="2296" spans="1:17" x14ac:dyDescent="0.2">
      <c r="A2296" t="s">
        <v>2826</v>
      </c>
      <c r="B2296" t="s">
        <v>411</v>
      </c>
      <c r="C2296" s="1">
        <v>45387.583333333336</v>
      </c>
      <c r="D2296">
        <v>325.01</v>
      </c>
      <c r="E2296" t="s">
        <v>80</v>
      </c>
      <c r="F2296" t="s">
        <v>17</v>
      </c>
      <c r="G2296" t="s">
        <v>56</v>
      </c>
      <c r="H2296" t="s">
        <v>23</v>
      </c>
      <c r="I2296" t="s">
        <v>24</v>
      </c>
      <c r="J2296" t="s">
        <v>20</v>
      </c>
      <c r="K2296">
        <v>0</v>
      </c>
      <c r="L2296">
        <v>3</v>
      </c>
      <c r="M2296">
        <v>5.53</v>
      </c>
      <c r="N2296">
        <v>1</v>
      </c>
      <c r="O2296" t="str">
        <f>IF(financial_fraud_data[[#This Row],[Risk_Score]]&gt;8,"High",IF(financial_fraud_data[[#This Row],[Risk_Score]]&gt;5,"Med","Low"))</f>
        <v>Med</v>
      </c>
      <c r="P2296" t="str">
        <f>TEXT(financial_fraud_data[[#This Row],[Transaction_Date]],"MMM")</f>
        <v>Apr</v>
      </c>
      <c r="Q2296" t="str">
        <f>IF(financial_fraud_data[[#This Row],[Is_Fraud]]=1,"Yes","No")</f>
        <v>Yes</v>
      </c>
    </row>
    <row r="2297" spans="1:17" x14ac:dyDescent="0.2">
      <c r="A2297" t="s">
        <v>2827</v>
      </c>
      <c r="B2297" t="s">
        <v>574</v>
      </c>
      <c r="C2297" s="1">
        <v>45387.625</v>
      </c>
      <c r="D2297">
        <v>432.82</v>
      </c>
      <c r="E2297" t="s">
        <v>16</v>
      </c>
      <c r="F2297" t="s">
        <v>47</v>
      </c>
      <c r="G2297" t="s">
        <v>35</v>
      </c>
      <c r="H2297" t="s">
        <v>23</v>
      </c>
      <c r="I2297" t="s">
        <v>24</v>
      </c>
      <c r="J2297" t="s">
        <v>51</v>
      </c>
      <c r="K2297">
        <v>0</v>
      </c>
      <c r="L2297">
        <v>3</v>
      </c>
      <c r="M2297">
        <v>5.54</v>
      </c>
      <c r="N2297">
        <v>1</v>
      </c>
      <c r="O2297" t="str">
        <f>IF(financial_fraud_data[[#This Row],[Risk_Score]]&gt;8,"High",IF(financial_fraud_data[[#This Row],[Risk_Score]]&gt;5,"Med","Low"))</f>
        <v>Med</v>
      </c>
      <c r="P2297" t="str">
        <f>TEXT(financial_fraud_data[[#This Row],[Transaction_Date]],"MMM")</f>
        <v>Apr</v>
      </c>
      <c r="Q2297" t="str">
        <f>IF(financial_fraud_data[[#This Row],[Is_Fraud]]=1,"Yes","No")</f>
        <v>Yes</v>
      </c>
    </row>
    <row r="2298" spans="1:17" x14ac:dyDescent="0.2">
      <c r="A2298" t="s">
        <v>2828</v>
      </c>
      <c r="B2298" t="s">
        <v>1446</v>
      </c>
      <c r="C2298" s="1">
        <v>45387.666666666664</v>
      </c>
      <c r="D2298">
        <v>10992.49</v>
      </c>
      <c r="E2298" t="s">
        <v>42</v>
      </c>
      <c r="F2298" t="s">
        <v>47</v>
      </c>
      <c r="G2298" t="s">
        <v>65</v>
      </c>
      <c r="H2298" t="s">
        <v>19</v>
      </c>
      <c r="I2298" t="s">
        <v>29</v>
      </c>
      <c r="J2298" t="s">
        <v>51</v>
      </c>
      <c r="K2298">
        <v>0</v>
      </c>
      <c r="L2298">
        <v>3</v>
      </c>
      <c r="M2298">
        <v>6.6</v>
      </c>
      <c r="N2298">
        <v>1</v>
      </c>
      <c r="O2298" t="str">
        <f>IF(financial_fraud_data[[#This Row],[Risk_Score]]&gt;8,"High",IF(financial_fraud_data[[#This Row],[Risk_Score]]&gt;5,"Med","Low"))</f>
        <v>Med</v>
      </c>
      <c r="P2298" t="str">
        <f>TEXT(financial_fraud_data[[#This Row],[Transaction_Date]],"MMM")</f>
        <v>Apr</v>
      </c>
      <c r="Q2298" t="str">
        <f>IF(financial_fraud_data[[#This Row],[Is_Fraud]]=1,"Yes","No")</f>
        <v>Yes</v>
      </c>
    </row>
    <row r="2299" spans="1:17" x14ac:dyDescent="0.2">
      <c r="A2299" t="s">
        <v>2829</v>
      </c>
      <c r="B2299" t="s">
        <v>516</v>
      </c>
      <c r="C2299" s="1">
        <v>45387.708333333336</v>
      </c>
      <c r="D2299">
        <v>1884.23</v>
      </c>
      <c r="E2299" t="s">
        <v>80</v>
      </c>
      <c r="F2299" t="s">
        <v>17</v>
      </c>
      <c r="G2299" t="s">
        <v>18</v>
      </c>
      <c r="H2299" t="s">
        <v>36</v>
      </c>
      <c r="I2299" t="s">
        <v>24</v>
      </c>
      <c r="J2299" t="s">
        <v>51</v>
      </c>
      <c r="K2299">
        <v>0</v>
      </c>
      <c r="L2299">
        <v>2</v>
      </c>
      <c r="M2299">
        <v>4.1900000000000004</v>
      </c>
      <c r="N2299">
        <v>0</v>
      </c>
      <c r="O2299" t="str">
        <f>IF(financial_fraud_data[[#This Row],[Risk_Score]]&gt;8,"High",IF(financial_fraud_data[[#This Row],[Risk_Score]]&gt;5,"Med","Low"))</f>
        <v>Low</v>
      </c>
      <c r="P2299" t="str">
        <f>TEXT(financial_fraud_data[[#This Row],[Transaction_Date]],"MMM")</f>
        <v>Apr</v>
      </c>
      <c r="Q2299" t="str">
        <f>IF(financial_fraud_data[[#This Row],[Is_Fraud]]=1,"Yes","No")</f>
        <v>No</v>
      </c>
    </row>
    <row r="2300" spans="1:17" x14ac:dyDescent="0.2">
      <c r="A2300" t="s">
        <v>2830</v>
      </c>
      <c r="B2300" t="s">
        <v>848</v>
      </c>
      <c r="C2300" s="1">
        <v>45387.75</v>
      </c>
      <c r="D2300">
        <v>5445.89</v>
      </c>
      <c r="E2300" t="s">
        <v>16</v>
      </c>
      <c r="F2300" t="s">
        <v>47</v>
      </c>
      <c r="G2300" t="s">
        <v>28</v>
      </c>
      <c r="H2300" t="s">
        <v>29</v>
      </c>
      <c r="I2300" t="s">
        <v>36</v>
      </c>
      <c r="J2300" t="s">
        <v>20</v>
      </c>
      <c r="K2300">
        <v>0</v>
      </c>
      <c r="L2300">
        <v>2</v>
      </c>
      <c r="M2300">
        <v>4.54</v>
      </c>
      <c r="N2300">
        <v>0</v>
      </c>
      <c r="O2300" t="str">
        <f>IF(financial_fraud_data[[#This Row],[Risk_Score]]&gt;8,"High",IF(financial_fraud_data[[#This Row],[Risk_Score]]&gt;5,"Med","Low"))</f>
        <v>Low</v>
      </c>
      <c r="P2300" t="str">
        <f>TEXT(financial_fraud_data[[#This Row],[Transaction_Date]],"MMM")</f>
        <v>Apr</v>
      </c>
      <c r="Q2300" t="str">
        <f>IF(financial_fraud_data[[#This Row],[Is_Fraud]]=1,"Yes","No")</f>
        <v>No</v>
      </c>
    </row>
    <row r="2301" spans="1:17" x14ac:dyDescent="0.2">
      <c r="A2301" t="s">
        <v>2831</v>
      </c>
      <c r="B2301" t="s">
        <v>1661</v>
      </c>
      <c r="C2301" s="1">
        <v>45387.791666666664</v>
      </c>
      <c r="D2301">
        <v>16976.09</v>
      </c>
      <c r="E2301" t="s">
        <v>42</v>
      </c>
      <c r="F2301" t="s">
        <v>47</v>
      </c>
      <c r="G2301" t="s">
        <v>65</v>
      </c>
      <c r="H2301" t="s">
        <v>19</v>
      </c>
      <c r="I2301" t="s">
        <v>29</v>
      </c>
      <c r="J2301" t="s">
        <v>51</v>
      </c>
      <c r="K2301">
        <v>0</v>
      </c>
      <c r="L2301">
        <v>4</v>
      </c>
      <c r="M2301">
        <v>8.6999999999999993</v>
      </c>
      <c r="N2301">
        <v>1</v>
      </c>
      <c r="O2301" t="str">
        <f>IF(financial_fraud_data[[#This Row],[Risk_Score]]&gt;8,"High",IF(financial_fraud_data[[#This Row],[Risk_Score]]&gt;5,"Med","Low"))</f>
        <v>High</v>
      </c>
      <c r="P2301" t="str">
        <f>TEXT(financial_fraud_data[[#This Row],[Transaction_Date]],"MMM")</f>
        <v>Apr</v>
      </c>
      <c r="Q2301" t="str">
        <f>IF(financial_fraud_data[[#This Row],[Is_Fraud]]=1,"Yes","No")</f>
        <v>Yes</v>
      </c>
    </row>
    <row r="2302" spans="1:17" x14ac:dyDescent="0.2">
      <c r="A2302" t="s">
        <v>2832</v>
      </c>
      <c r="B2302" t="s">
        <v>989</v>
      </c>
      <c r="C2302" s="1">
        <v>45387.833333333336</v>
      </c>
      <c r="D2302">
        <v>40139.15</v>
      </c>
      <c r="E2302" t="s">
        <v>34</v>
      </c>
      <c r="F2302" t="s">
        <v>50</v>
      </c>
      <c r="G2302" t="s">
        <v>56</v>
      </c>
      <c r="H2302" t="s">
        <v>24</v>
      </c>
      <c r="I2302" t="s">
        <v>29</v>
      </c>
      <c r="J2302" t="s">
        <v>37</v>
      </c>
      <c r="K2302">
        <v>1</v>
      </c>
      <c r="L2302">
        <v>2</v>
      </c>
      <c r="M2302">
        <v>10.01</v>
      </c>
      <c r="N2302">
        <v>1</v>
      </c>
      <c r="O2302" t="str">
        <f>IF(financial_fraud_data[[#This Row],[Risk_Score]]&gt;8,"High",IF(financial_fraud_data[[#This Row],[Risk_Score]]&gt;5,"Med","Low"))</f>
        <v>High</v>
      </c>
      <c r="P2302" t="str">
        <f>TEXT(financial_fraud_data[[#This Row],[Transaction_Date]],"MMM")</f>
        <v>Apr</v>
      </c>
      <c r="Q2302" t="str">
        <f>IF(financial_fraud_data[[#This Row],[Is_Fraud]]=1,"Yes","No")</f>
        <v>Yes</v>
      </c>
    </row>
    <row r="2303" spans="1:17" x14ac:dyDescent="0.2">
      <c r="A2303" t="s">
        <v>2833</v>
      </c>
      <c r="B2303" t="s">
        <v>331</v>
      </c>
      <c r="C2303" s="1">
        <v>45387.875</v>
      </c>
      <c r="D2303">
        <v>28623.83</v>
      </c>
      <c r="E2303" t="s">
        <v>80</v>
      </c>
      <c r="F2303" t="s">
        <v>17</v>
      </c>
      <c r="G2303" t="s">
        <v>35</v>
      </c>
      <c r="H2303" t="s">
        <v>19</v>
      </c>
      <c r="I2303" t="s">
        <v>24</v>
      </c>
      <c r="J2303" t="s">
        <v>51</v>
      </c>
      <c r="K2303">
        <v>0</v>
      </c>
      <c r="L2303">
        <v>1</v>
      </c>
      <c r="M2303">
        <v>5.36</v>
      </c>
      <c r="N2303">
        <v>1</v>
      </c>
      <c r="O2303" t="str">
        <f>IF(financial_fraud_data[[#This Row],[Risk_Score]]&gt;8,"High",IF(financial_fraud_data[[#This Row],[Risk_Score]]&gt;5,"Med","Low"))</f>
        <v>Med</v>
      </c>
      <c r="P2303" t="str">
        <f>TEXT(financial_fraud_data[[#This Row],[Transaction_Date]],"MMM")</f>
        <v>Apr</v>
      </c>
      <c r="Q2303" t="str">
        <f>IF(financial_fraud_data[[#This Row],[Is_Fraud]]=1,"Yes","No")</f>
        <v>Yes</v>
      </c>
    </row>
    <row r="2304" spans="1:17" x14ac:dyDescent="0.2">
      <c r="A2304" t="s">
        <v>2834</v>
      </c>
      <c r="B2304" t="s">
        <v>64</v>
      </c>
      <c r="C2304" s="1">
        <v>45387.916666666664</v>
      </c>
      <c r="D2304">
        <v>25657.75</v>
      </c>
      <c r="E2304" t="s">
        <v>42</v>
      </c>
      <c r="F2304" t="s">
        <v>47</v>
      </c>
      <c r="G2304" t="s">
        <v>65</v>
      </c>
      <c r="H2304" t="s">
        <v>23</v>
      </c>
      <c r="I2304" t="s">
        <v>23</v>
      </c>
      <c r="J2304" t="s">
        <v>20</v>
      </c>
      <c r="K2304">
        <v>0</v>
      </c>
      <c r="L2304">
        <v>4</v>
      </c>
      <c r="M2304">
        <v>8.57</v>
      </c>
      <c r="N2304">
        <v>1</v>
      </c>
      <c r="O2304" t="str">
        <f>IF(financial_fraud_data[[#This Row],[Risk_Score]]&gt;8,"High",IF(financial_fraud_data[[#This Row],[Risk_Score]]&gt;5,"Med","Low"))</f>
        <v>High</v>
      </c>
      <c r="P2304" t="str">
        <f>TEXT(financial_fraud_data[[#This Row],[Transaction_Date]],"MMM")</f>
        <v>Apr</v>
      </c>
      <c r="Q2304" t="str">
        <f>IF(financial_fraud_data[[#This Row],[Is_Fraud]]=1,"Yes","No")</f>
        <v>Yes</v>
      </c>
    </row>
    <row r="2305" spans="1:17" x14ac:dyDescent="0.2">
      <c r="A2305" t="s">
        <v>2835</v>
      </c>
      <c r="B2305" t="s">
        <v>84</v>
      </c>
      <c r="C2305" s="1">
        <v>45387.958333333336</v>
      </c>
      <c r="D2305">
        <v>14709.77</v>
      </c>
      <c r="E2305" t="s">
        <v>80</v>
      </c>
      <c r="F2305" t="s">
        <v>17</v>
      </c>
      <c r="G2305" t="s">
        <v>28</v>
      </c>
      <c r="H2305" t="s">
        <v>29</v>
      </c>
      <c r="I2305" t="s">
        <v>24</v>
      </c>
      <c r="J2305" t="s">
        <v>20</v>
      </c>
      <c r="K2305">
        <v>0</v>
      </c>
      <c r="L2305">
        <v>2</v>
      </c>
      <c r="M2305">
        <v>5.47</v>
      </c>
      <c r="N2305">
        <v>1</v>
      </c>
      <c r="O2305" t="str">
        <f>IF(financial_fraud_data[[#This Row],[Risk_Score]]&gt;8,"High",IF(financial_fraud_data[[#This Row],[Risk_Score]]&gt;5,"Med","Low"))</f>
        <v>Med</v>
      </c>
      <c r="P2305" t="str">
        <f>TEXT(financial_fraud_data[[#This Row],[Transaction_Date]],"MMM")</f>
        <v>Apr</v>
      </c>
      <c r="Q2305" t="str">
        <f>IF(financial_fraud_data[[#This Row],[Is_Fraud]]=1,"Yes","No")</f>
        <v>Yes</v>
      </c>
    </row>
    <row r="2306" spans="1:17" x14ac:dyDescent="0.2">
      <c r="A2306" t="s">
        <v>2836</v>
      </c>
      <c r="B2306" t="s">
        <v>974</v>
      </c>
      <c r="C2306" s="1">
        <v>45388</v>
      </c>
      <c r="D2306">
        <v>46591.1</v>
      </c>
      <c r="E2306" t="s">
        <v>80</v>
      </c>
      <c r="F2306" t="s">
        <v>50</v>
      </c>
      <c r="G2306" t="s">
        <v>28</v>
      </c>
      <c r="H2306" t="s">
        <v>24</v>
      </c>
      <c r="I2306" t="s">
        <v>23</v>
      </c>
      <c r="J2306" t="s">
        <v>51</v>
      </c>
      <c r="K2306">
        <v>0</v>
      </c>
      <c r="L2306">
        <v>3</v>
      </c>
      <c r="M2306">
        <v>10.16</v>
      </c>
      <c r="N2306">
        <v>1</v>
      </c>
      <c r="O2306" t="str">
        <f>IF(financial_fraud_data[[#This Row],[Risk_Score]]&gt;8,"High",IF(financial_fraud_data[[#This Row],[Risk_Score]]&gt;5,"Med","Low"))</f>
        <v>High</v>
      </c>
      <c r="P2306" t="str">
        <f>TEXT(financial_fraud_data[[#This Row],[Transaction_Date]],"MMM")</f>
        <v>Apr</v>
      </c>
      <c r="Q2306" t="str">
        <f>IF(financial_fraud_data[[#This Row],[Is_Fraud]]=1,"Yes","No")</f>
        <v>Yes</v>
      </c>
    </row>
    <row r="2307" spans="1:17" x14ac:dyDescent="0.2">
      <c r="A2307" t="s">
        <v>2837</v>
      </c>
      <c r="B2307" t="s">
        <v>77</v>
      </c>
      <c r="C2307" s="1">
        <v>45388.041666666664</v>
      </c>
      <c r="D2307">
        <v>19880.900000000001</v>
      </c>
      <c r="E2307" t="s">
        <v>80</v>
      </c>
      <c r="F2307" t="s">
        <v>17</v>
      </c>
      <c r="G2307" t="s">
        <v>56</v>
      </c>
      <c r="H2307" t="s">
        <v>29</v>
      </c>
      <c r="I2307" t="s">
        <v>29</v>
      </c>
      <c r="J2307" t="s">
        <v>20</v>
      </c>
      <c r="K2307">
        <v>0</v>
      </c>
      <c r="L2307">
        <v>2</v>
      </c>
      <c r="M2307">
        <v>4.99</v>
      </c>
      <c r="N2307">
        <v>0</v>
      </c>
      <c r="O2307" t="str">
        <f>IF(financial_fraud_data[[#This Row],[Risk_Score]]&gt;8,"High",IF(financial_fraud_data[[#This Row],[Risk_Score]]&gt;5,"Med","Low"))</f>
        <v>Low</v>
      </c>
      <c r="P2307" t="str">
        <f>TEXT(financial_fraud_data[[#This Row],[Transaction_Date]],"MMM")</f>
        <v>Apr</v>
      </c>
      <c r="Q2307" t="str">
        <f>IF(financial_fraud_data[[#This Row],[Is_Fraud]]=1,"Yes","No")</f>
        <v>No</v>
      </c>
    </row>
    <row r="2308" spans="1:17" x14ac:dyDescent="0.2">
      <c r="A2308" t="s">
        <v>2838</v>
      </c>
      <c r="B2308" t="s">
        <v>158</v>
      </c>
      <c r="C2308" s="1">
        <v>45388.083333333336</v>
      </c>
      <c r="D2308">
        <v>4400.28</v>
      </c>
      <c r="E2308" t="s">
        <v>42</v>
      </c>
      <c r="F2308" t="s">
        <v>47</v>
      </c>
      <c r="G2308" t="s">
        <v>65</v>
      </c>
      <c r="H2308" t="s">
        <v>29</v>
      </c>
      <c r="I2308" t="s">
        <v>23</v>
      </c>
      <c r="J2308" t="s">
        <v>51</v>
      </c>
      <c r="K2308">
        <v>0</v>
      </c>
      <c r="L2308">
        <v>0</v>
      </c>
      <c r="M2308">
        <v>1.44</v>
      </c>
      <c r="N2308">
        <v>0</v>
      </c>
      <c r="O2308" t="str">
        <f>IF(financial_fraud_data[[#This Row],[Risk_Score]]&gt;8,"High",IF(financial_fraud_data[[#This Row],[Risk_Score]]&gt;5,"Med","Low"))</f>
        <v>Low</v>
      </c>
      <c r="P2308" t="str">
        <f>TEXT(financial_fraud_data[[#This Row],[Transaction_Date]],"MMM")</f>
        <v>Apr</v>
      </c>
      <c r="Q2308" t="str">
        <f>IF(financial_fraud_data[[#This Row],[Is_Fraud]]=1,"Yes","No")</f>
        <v>No</v>
      </c>
    </row>
    <row r="2309" spans="1:17" x14ac:dyDescent="0.2">
      <c r="A2309" t="s">
        <v>2839</v>
      </c>
      <c r="B2309" t="s">
        <v>1739</v>
      </c>
      <c r="C2309" s="1">
        <v>45388.125</v>
      </c>
      <c r="D2309">
        <v>30872.47</v>
      </c>
      <c r="E2309" t="s">
        <v>16</v>
      </c>
      <c r="F2309" t="s">
        <v>17</v>
      </c>
      <c r="G2309" t="s">
        <v>18</v>
      </c>
      <c r="H2309" t="s">
        <v>24</v>
      </c>
      <c r="I2309" t="s">
        <v>36</v>
      </c>
      <c r="J2309" t="s">
        <v>51</v>
      </c>
      <c r="K2309">
        <v>0</v>
      </c>
      <c r="L2309">
        <v>4</v>
      </c>
      <c r="M2309">
        <v>10.09</v>
      </c>
      <c r="N2309">
        <v>1</v>
      </c>
      <c r="O2309" t="str">
        <f>IF(financial_fraud_data[[#This Row],[Risk_Score]]&gt;8,"High",IF(financial_fraud_data[[#This Row],[Risk_Score]]&gt;5,"Med","Low"))</f>
        <v>High</v>
      </c>
      <c r="P2309" t="str">
        <f>TEXT(financial_fraud_data[[#This Row],[Transaction_Date]],"MMM")</f>
        <v>Apr</v>
      </c>
      <c r="Q2309" t="str">
        <f>IF(financial_fraud_data[[#This Row],[Is_Fraud]]=1,"Yes","No")</f>
        <v>Yes</v>
      </c>
    </row>
    <row r="2310" spans="1:17" x14ac:dyDescent="0.2">
      <c r="A2310" t="s">
        <v>2840</v>
      </c>
      <c r="B2310" t="s">
        <v>335</v>
      </c>
      <c r="C2310" s="1">
        <v>45388.166666666664</v>
      </c>
      <c r="D2310">
        <v>5736.23</v>
      </c>
      <c r="E2310" t="s">
        <v>42</v>
      </c>
      <c r="F2310" t="s">
        <v>47</v>
      </c>
      <c r="G2310" t="s">
        <v>65</v>
      </c>
      <c r="H2310" t="s">
        <v>19</v>
      </c>
      <c r="I2310" t="s">
        <v>19</v>
      </c>
      <c r="J2310" t="s">
        <v>37</v>
      </c>
      <c r="K2310">
        <v>0</v>
      </c>
      <c r="L2310">
        <v>2</v>
      </c>
      <c r="M2310">
        <v>3.57</v>
      </c>
      <c r="N2310">
        <v>0</v>
      </c>
      <c r="O2310" t="str">
        <f>IF(financial_fraud_data[[#This Row],[Risk_Score]]&gt;8,"High",IF(financial_fraud_data[[#This Row],[Risk_Score]]&gt;5,"Med","Low"))</f>
        <v>Low</v>
      </c>
      <c r="P2310" t="str">
        <f>TEXT(financial_fraud_data[[#This Row],[Transaction_Date]],"MMM")</f>
        <v>Apr</v>
      </c>
      <c r="Q2310" t="str">
        <f>IF(financial_fraud_data[[#This Row],[Is_Fraud]]=1,"Yes","No")</f>
        <v>No</v>
      </c>
    </row>
    <row r="2311" spans="1:17" x14ac:dyDescent="0.2">
      <c r="A2311" t="s">
        <v>2841</v>
      </c>
      <c r="B2311" t="s">
        <v>237</v>
      </c>
      <c r="C2311" s="1">
        <v>45388.208333333336</v>
      </c>
      <c r="D2311">
        <v>17293.900000000001</v>
      </c>
      <c r="E2311" t="s">
        <v>80</v>
      </c>
      <c r="F2311" t="s">
        <v>47</v>
      </c>
      <c r="G2311" t="s">
        <v>28</v>
      </c>
      <c r="H2311" t="s">
        <v>19</v>
      </c>
      <c r="I2311" t="s">
        <v>23</v>
      </c>
      <c r="J2311" t="s">
        <v>20</v>
      </c>
      <c r="K2311">
        <v>0</v>
      </c>
      <c r="L2311">
        <v>2</v>
      </c>
      <c r="M2311">
        <v>5.73</v>
      </c>
      <c r="N2311">
        <v>1</v>
      </c>
      <c r="O2311" t="str">
        <f>IF(financial_fraud_data[[#This Row],[Risk_Score]]&gt;8,"High",IF(financial_fraud_data[[#This Row],[Risk_Score]]&gt;5,"Med","Low"))</f>
        <v>Med</v>
      </c>
      <c r="P2311" t="str">
        <f>TEXT(financial_fraud_data[[#This Row],[Transaction_Date]],"MMM")</f>
        <v>Apr</v>
      </c>
      <c r="Q2311" t="str">
        <f>IF(financial_fraud_data[[#This Row],[Is_Fraud]]=1,"Yes","No")</f>
        <v>Yes</v>
      </c>
    </row>
    <row r="2312" spans="1:17" x14ac:dyDescent="0.2">
      <c r="A2312" t="s">
        <v>2842</v>
      </c>
      <c r="B2312" t="s">
        <v>33</v>
      </c>
      <c r="C2312" s="1">
        <v>45388.25</v>
      </c>
      <c r="D2312">
        <v>25395.23</v>
      </c>
      <c r="E2312" t="s">
        <v>42</v>
      </c>
      <c r="F2312" t="s">
        <v>47</v>
      </c>
      <c r="G2312" t="s">
        <v>56</v>
      </c>
      <c r="H2312" t="s">
        <v>19</v>
      </c>
      <c r="I2312" t="s">
        <v>19</v>
      </c>
      <c r="J2312" t="s">
        <v>37</v>
      </c>
      <c r="K2312">
        <v>1</v>
      </c>
      <c r="L2312">
        <v>1</v>
      </c>
      <c r="M2312">
        <v>6.04</v>
      </c>
      <c r="N2312">
        <v>1</v>
      </c>
      <c r="O2312" t="str">
        <f>IF(financial_fraud_data[[#This Row],[Risk_Score]]&gt;8,"High",IF(financial_fraud_data[[#This Row],[Risk_Score]]&gt;5,"Med","Low"))</f>
        <v>Med</v>
      </c>
      <c r="P2312" t="str">
        <f>TEXT(financial_fraud_data[[#This Row],[Transaction_Date]],"MMM")</f>
        <v>Apr</v>
      </c>
      <c r="Q2312" t="str">
        <f>IF(financial_fraud_data[[#This Row],[Is_Fraud]]=1,"Yes","No")</f>
        <v>Yes</v>
      </c>
    </row>
    <row r="2313" spans="1:17" x14ac:dyDescent="0.2">
      <c r="A2313" t="s">
        <v>2843</v>
      </c>
      <c r="B2313" t="s">
        <v>53</v>
      </c>
      <c r="C2313" s="1">
        <v>45388.291666666664</v>
      </c>
      <c r="D2313">
        <v>43717.42</v>
      </c>
      <c r="E2313" t="s">
        <v>34</v>
      </c>
      <c r="F2313" t="s">
        <v>50</v>
      </c>
      <c r="G2313" t="s">
        <v>56</v>
      </c>
      <c r="H2313" t="s">
        <v>36</v>
      </c>
      <c r="I2313" t="s">
        <v>36</v>
      </c>
      <c r="J2313" t="s">
        <v>20</v>
      </c>
      <c r="K2313">
        <v>0</v>
      </c>
      <c r="L2313">
        <v>3</v>
      </c>
      <c r="M2313">
        <v>8.8699999999999992</v>
      </c>
      <c r="N2313">
        <v>1</v>
      </c>
      <c r="O2313" t="str">
        <f>IF(financial_fraud_data[[#This Row],[Risk_Score]]&gt;8,"High",IF(financial_fraud_data[[#This Row],[Risk_Score]]&gt;5,"Med","Low"))</f>
        <v>High</v>
      </c>
      <c r="P2313" t="str">
        <f>TEXT(financial_fraud_data[[#This Row],[Transaction_Date]],"MMM")</f>
        <v>Apr</v>
      </c>
      <c r="Q2313" t="str">
        <f>IF(financial_fraud_data[[#This Row],[Is_Fraud]]=1,"Yes","No")</f>
        <v>Yes</v>
      </c>
    </row>
    <row r="2314" spans="1:17" x14ac:dyDescent="0.2">
      <c r="A2314" t="s">
        <v>2844</v>
      </c>
      <c r="B2314" t="s">
        <v>102</v>
      </c>
      <c r="C2314" s="1">
        <v>45388.333333333336</v>
      </c>
      <c r="D2314">
        <v>24702.65</v>
      </c>
      <c r="E2314" t="s">
        <v>16</v>
      </c>
      <c r="F2314" t="s">
        <v>17</v>
      </c>
      <c r="G2314" t="s">
        <v>18</v>
      </c>
      <c r="H2314" t="s">
        <v>19</v>
      </c>
      <c r="I2314" t="s">
        <v>19</v>
      </c>
      <c r="J2314" t="s">
        <v>51</v>
      </c>
      <c r="K2314">
        <v>0</v>
      </c>
      <c r="L2314">
        <v>3</v>
      </c>
      <c r="M2314">
        <v>6.97</v>
      </c>
      <c r="N2314">
        <v>1</v>
      </c>
      <c r="O2314" t="str">
        <f>IF(financial_fraud_data[[#This Row],[Risk_Score]]&gt;8,"High",IF(financial_fraud_data[[#This Row],[Risk_Score]]&gt;5,"Med","Low"))</f>
        <v>Med</v>
      </c>
      <c r="P2314" t="str">
        <f>TEXT(financial_fraud_data[[#This Row],[Transaction_Date]],"MMM")</f>
        <v>Apr</v>
      </c>
      <c r="Q2314" t="str">
        <f>IF(financial_fraud_data[[#This Row],[Is_Fraud]]=1,"Yes","No")</f>
        <v>Yes</v>
      </c>
    </row>
    <row r="2315" spans="1:17" x14ac:dyDescent="0.2">
      <c r="A2315" t="s">
        <v>2845</v>
      </c>
      <c r="B2315" t="s">
        <v>174</v>
      </c>
      <c r="C2315" s="1">
        <v>45388.375</v>
      </c>
      <c r="D2315">
        <v>35127.83</v>
      </c>
      <c r="E2315" t="s">
        <v>42</v>
      </c>
      <c r="F2315" t="s">
        <v>50</v>
      </c>
      <c r="G2315" t="s">
        <v>56</v>
      </c>
      <c r="H2315" t="s">
        <v>24</v>
      </c>
      <c r="I2315" t="s">
        <v>36</v>
      </c>
      <c r="J2315" t="s">
        <v>20</v>
      </c>
      <c r="K2315">
        <v>0</v>
      </c>
      <c r="L2315">
        <v>1</v>
      </c>
      <c r="M2315">
        <v>6.01</v>
      </c>
      <c r="N2315">
        <v>1</v>
      </c>
      <c r="O2315" t="str">
        <f>IF(financial_fraud_data[[#This Row],[Risk_Score]]&gt;8,"High",IF(financial_fraud_data[[#This Row],[Risk_Score]]&gt;5,"Med","Low"))</f>
        <v>Med</v>
      </c>
      <c r="P2315" t="str">
        <f>TEXT(financial_fraud_data[[#This Row],[Transaction_Date]],"MMM")</f>
        <v>Apr</v>
      </c>
      <c r="Q2315" t="str">
        <f>IF(financial_fraud_data[[#This Row],[Is_Fraud]]=1,"Yes","No")</f>
        <v>Yes</v>
      </c>
    </row>
    <row r="2316" spans="1:17" x14ac:dyDescent="0.2">
      <c r="A2316" t="s">
        <v>2846</v>
      </c>
      <c r="B2316" t="s">
        <v>189</v>
      </c>
      <c r="C2316" s="1">
        <v>45388.416666666664</v>
      </c>
      <c r="D2316">
        <v>49641.2</v>
      </c>
      <c r="E2316" t="s">
        <v>34</v>
      </c>
      <c r="F2316" t="s">
        <v>17</v>
      </c>
      <c r="G2316" t="s">
        <v>56</v>
      </c>
      <c r="H2316" t="s">
        <v>36</v>
      </c>
      <c r="I2316" t="s">
        <v>19</v>
      </c>
      <c r="J2316" t="s">
        <v>51</v>
      </c>
      <c r="K2316">
        <v>0</v>
      </c>
      <c r="L2316">
        <v>1</v>
      </c>
      <c r="M2316">
        <v>7.46</v>
      </c>
      <c r="N2316">
        <v>1</v>
      </c>
      <c r="O2316" t="str">
        <f>IF(financial_fraud_data[[#This Row],[Risk_Score]]&gt;8,"High",IF(financial_fraud_data[[#This Row],[Risk_Score]]&gt;5,"Med","Low"))</f>
        <v>Med</v>
      </c>
      <c r="P2316" t="str">
        <f>TEXT(financial_fraud_data[[#This Row],[Transaction_Date]],"MMM")</f>
        <v>Apr</v>
      </c>
      <c r="Q2316" t="str">
        <f>IF(financial_fraud_data[[#This Row],[Is_Fraud]]=1,"Yes","No")</f>
        <v>Yes</v>
      </c>
    </row>
    <row r="2317" spans="1:17" x14ac:dyDescent="0.2">
      <c r="A2317" t="s">
        <v>2847</v>
      </c>
      <c r="B2317" t="s">
        <v>651</v>
      </c>
      <c r="C2317" s="1">
        <v>45388.458333333336</v>
      </c>
      <c r="D2317">
        <v>6617.88</v>
      </c>
      <c r="E2317" t="s">
        <v>16</v>
      </c>
      <c r="F2317" t="s">
        <v>50</v>
      </c>
      <c r="G2317" t="s">
        <v>56</v>
      </c>
      <c r="H2317" t="s">
        <v>19</v>
      </c>
      <c r="I2317" t="s">
        <v>19</v>
      </c>
      <c r="J2317" t="s">
        <v>20</v>
      </c>
      <c r="K2317">
        <v>0</v>
      </c>
      <c r="L2317">
        <v>0</v>
      </c>
      <c r="M2317">
        <v>0.66</v>
      </c>
      <c r="N2317">
        <v>0</v>
      </c>
      <c r="O2317" t="str">
        <f>IF(financial_fraud_data[[#This Row],[Risk_Score]]&gt;8,"High",IF(financial_fraud_data[[#This Row],[Risk_Score]]&gt;5,"Med","Low"))</f>
        <v>Low</v>
      </c>
      <c r="P2317" t="str">
        <f>TEXT(financial_fraud_data[[#This Row],[Transaction_Date]],"MMM")</f>
        <v>Apr</v>
      </c>
      <c r="Q2317" t="str">
        <f>IF(financial_fraud_data[[#This Row],[Is_Fraud]]=1,"Yes","No")</f>
        <v>No</v>
      </c>
    </row>
    <row r="2318" spans="1:17" x14ac:dyDescent="0.2">
      <c r="A2318" t="s">
        <v>2848</v>
      </c>
      <c r="B2318" t="s">
        <v>343</v>
      </c>
      <c r="C2318" s="1">
        <v>45388.5</v>
      </c>
      <c r="D2318">
        <v>13772.84</v>
      </c>
      <c r="E2318" t="s">
        <v>34</v>
      </c>
      <c r="F2318" t="s">
        <v>27</v>
      </c>
      <c r="G2318" t="s">
        <v>56</v>
      </c>
      <c r="H2318" t="s">
        <v>36</v>
      </c>
      <c r="I2318" t="s">
        <v>24</v>
      </c>
      <c r="J2318" t="s">
        <v>37</v>
      </c>
      <c r="K2318">
        <v>0</v>
      </c>
      <c r="L2318">
        <v>4</v>
      </c>
      <c r="M2318">
        <v>8.3800000000000008</v>
      </c>
      <c r="N2318">
        <v>1</v>
      </c>
      <c r="O2318" t="str">
        <f>IF(financial_fraud_data[[#This Row],[Risk_Score]]&gt;8,"High",IF(financial_fraud_data[[#This Row],[Risk_Score]]&gt;5,"Med","Low"))</f>
        <v>High</v>
      </c>
      <c r="P2318" t="str">
        <f>TEXT(financial_fraud_data[[#This Row],[Transaction_Date]],"MMM")</f>
        <v>Apr</v>
      </c>
      <c r="Q2318" t="str">
        <f>IF(financial_fraud_data[[#This Row],[Is_Fraud]]=1,"Yes","No")</f>
        <v>Yes</v>
      </c>
    </row>
    <row r="2319" spans="1:17" x14ac:dyDescent="0.2">
      <c r="A2319" t="s">
        <v>2849</v>
      </c>
      <c r="B2319" t="s">
        <v>184</v>
      </c>
      <c r="C2319" s="1">
        <v>45388.541666666664</v>
      </c>
      <c r="D2319">
        <v>19759.07</v>
      </c>
      <c r="E2319" t="s">
        <v>16</v>
      </c>
      <c r="F2319" t="s">
        <v>47</v>
      </c>
      <c r="G2319" t="s">
        <v>56</v>
      </c>
      <c r="H2319" t="s">
        <v>24</v>
      </c>
      <c r="I2319" t="s">
        <v>23</v>
      </c>
      <c r="J2319" t="s">
        <v>37</v>
      </c>
      <c r="K2319">
        <v>0</v>
      </c>
      <c r="L2319">
        <v>3</v>
      </c>
      <c r="M2319">
        <v>7.48</v>
      </c>
      <c r="N2319">
        <v>1</v>
      </c>
      <c r="O2319" t="str">
        <f>IF(financial_fraud_data[[#This Row],[Risk_Score]]&gt;8,"High",IF(financial_fraud_data[[#This Row],[Risk_Score]]&gt;5,"Med","Low"))</f>
        <v>Med</v>
      </c>
      <c r="P2319" t="str">
        <f>TEXT(financial_fraud_data[[#This Row],[Transaction_Date]],"MMM")</f>
        <v>Apr</v>
      </c>
      <c r="Q2319" t="str">
        <f>IF(financial_fraud_data[[#This Row],[Is_Fraud]]=1,"Yes","No")</f>
        <v>Yes</v>
      </c>
    </row>
    <row r="2320" spans="1:17" x14ac:dyDescent="0.2">
      <c r="A2320" t="s">
        <v>2850</v>
      </c>
      <c r="B2320" t="s">
        <v>1661</v>
      </c>
      <c r="C2320" s="1">
        <v>45388.583333333336</v>
      </c>
      <c r="D2320">
        <v>21120.32</v>
      </c>
      <c r="E2320" t="s">
        <v>42</v>
      </c>
      <c r="F2320" t="s">
        <v>47</v>
      </c>
      <c r="G2320" t="s">
        <v>28</v>
      </c>
      <c r="H2320" t="s">
        <v>19</v>
      </c>
      <c r="I2320" t="s">
        <v>19</v>
      </c>
      <c r="J2320" t="s">
        <v>51</v>
      </c>
      <c r="K2320">
        <v>0</v>
      </c>
      <c r="L2320">
        <v>1</v>
      </c>
      <c r="M2320">
        <v>3.61</v>
      </c>
      <c r="N2320">
        <v>0</v>
      </c>
      <c r="O2320" t="str">
        <f>IF(financial_fraud_data[[#This Row],[Risk_Score]]&gt;8,"High",IF(financial_fraud_data[[#This Row],[Risk_Score]]&gt;5,"Med","Low"))</f>
        <v>Low</v>
      </c>
      <c r="P2320" t="str">
        <f>TEXT(financial_fraud_data[[#This Row],[Transaction_Date]],"MMM")</f>
        <v>Apr</v>
      </c>
      <c r="Q2320" t="str">
        <f>IF(financial_fraud_data[[#This Row],[Is_Fraud]]=1,"Yes","No")</f>
        <v>No</v>
      </c>
    </row>
    <row r="2321" spans="1:17" x14ac:dyDescent="0.2">
      <c r="A2321" t="s">
        <v>2851</v>
      </c>
      <c r="B2321" t="s">
        <v>1036</v>
      </c>
      <c r="C2321" s="1">
        <v>45388.625</v>
      </c>
      <c r="D2321">
        <v>20580.5</v>
      </c>
      <c r="E2321" t="s">
        <v>34</v>
      </c>
      <c r="F2321" t="s">
        <v>50</v>
      </c>
      <c r="G2321" t="s">
        <v>65</v>
      </c>
      <c r="H2321" t="s">
        <v>23</v>
      </c>
      <c r="I2321" t="s">
        <v>29</v>
      </c>
      <c r="J2321" t="s">
        <v>37</v>
      </c>
      <c r="K2321">
        <v>0</v>
      </c>
      <c r="L2321">
        <v>1</v>
      </c>
      <c r="M2321">
        <v>4.5599999999999996</v>
      </c>
      <c r="N2321">
        <v>0</v>
      </c>
      <c r="O2321" t="str">
        <f>IF(financial_fraud_data[[#This Row],[Risk_Score]]&gt;8,"High",IF(financial_fraud_data[[#This Row],[Risk_Score]]&gt;5,"Med","Low"))</f>
        <v>Low</v>
      </c>
      <c r="P2321" t="str">
        <f>TEXT(financial_fraud_data[[#This Row],[Transaction_Date]],"MMM")</f>
        <v>Apr</v>
      </c>
      <c r="Q2321" t="str">
        <f>IF(financial_fraud_data[[#This Row],[Is_Fraud]]=1,"Yes","No")</f>
        <v>No</v>
      </c>
    </row>
    <row r="2322" spans="1:17" x14ac:dyDescent="0.2">
      <c r="A2322" t="s">
        <v>2852</v>
      </c>
      <c r="B2322" t="s">
        <v>519</v>
      </c>
      <c r="C2322" s="1">
        <v>45388.666666666664</v>
      </c>
      <c r="D2322">
        <v>45385.17</v>
      </c>
      <c r="E2322" t="s">
        <v>80</v>
      </c>
      <c r="F2322" t="s">
        <v>27</v>
      </c>
      <c r="G2322" t="s">
        <v>35</v>
      </c>
      <c r="H2322" t="s">
        <v>24</v>
      </c>
      <c r="I2322" t="s">
        <v>24</v>
      </c>
      <c r="J2322" t="s">
        <v>51</v>
      </c>
      <c r="K2322">
        <v>0</v>
      </c>
      <c r="L2322">
        <v>4</v>
      </c>
      <c r="M2322">
        <v>10.54</v>
      </c>
      <c r="N2322">
        <v>1</v>
      </c>
      <c r="O2322" t="str">
        <f>IF(financial_fraud_data[[#This Row],[Risk_Score]]&gt;8,"High",IF(financial_fraud_data[[#This Row],[Risk_Score]]&gt;5,"Med","Low"))</f>
        <v>High</v>
      </c>
      <c r="P2322" t="str">
        <f>TEXT(financial_fraud_data[[#This Row],[Transaction_Date]],"MMM")</f>
        <v>Apr</v>
      </c>
      <c r="Q2322" t="str">
        <f>IF(financial_fraud_data[[#This Row],[Is_Fraud]]=1,"Yes","No")</f>
        <v>Yes</v>
      </c>
    </row>
    <row r="2323" spans="1:17" x14ac:dyDescent="0.2">
      <c r="A2323" t="s">
        <v>2853</v>
      </c>
      <c r="B2323" t="s">
        <v>1389</v>
      </c>
      <c r="C2323" s="1">
        <v>45388.708333333336</v>
      </c>
      <c r="D2323">
        <v>35715.93</v>
      </c>
      <c r="E2323" t="s">
        <v>34</v>
      </c>
      <c r="F2323" t="s">
        <v>47</v>
      </c>
      <c r="G2323" t="s">
        <v>56</v>
      </c>
      <c r="H2323" t="s">
        <v>29</v>
      </c>
      <c r="I2323" t="s">
        <v>23</v>
      </c>
      <c r="J2323" t="s">
        <v>51</v>
      </c>
      <c r="K2323">
        <v>1</v>
      </c>
      <c r="L2323">
        <v>1</v>
      </c>
      <c r="M2323">
        <v>8.07</v>
      </c>
      <c r="N2323">
        <v>1</v>
      </c>
      <c r="O2323" t="str">
        <f>IF(financial_fraud_data[[#This Row],[Risk_Score]]&gt;8,"High",IF(financial_fraud_data[[#This Row],[Risk_Score]]&gt;5,"Med","Low"))</f>
        <v>High</v>
      </c>
      <c r="P2323" t="str">
        <f>TEXT(financial_fraud_data[[#This Row],[Transaction_Date]],"MMM")</f>
        <v>Apr</v>
      </c>
      <c r="Q2323" t="str">
        <f>IF(financial_fraud_data[[#This Row],[Is_Fraud]]=1,"Yes","No")</f>
        <v>Yes</v>
      </c>
    </row>
    <row r="2324" spans="1:17" x14ac:dyDescent="0.2">
      <c r="A2324" t="s">
        <v>2854</v>
      </c>
      <c r="B2324" t="s">
        <v>2422</v>
      </c>
      <c r="C2324" s="1">
        <v>45388.75</v>
      </c>
      <c r="D2324">
        <v>30414.87</v>
      </c>
      <c r="E2324" t="s">
        <v>16</v>
      </c>
      <c r="F2324" t="s">
        <v>17</v>
      </c>
      <c r="G2324" t="s">
        <v>35</v>
      </c>
      <c r="H2324" t="s">
        <v>29</v>
      </c>
      <c r="I2324" t="s">
        <v>24</v>
      </c>
      <c r="J2324" t="s">
        <v>51</v>
      </c>
      <c r="K2324">
        <v>0</v>
      </c>
      <c r="L2324">
        <v>0</v>
      </c>
      <c r="M2324">
        <v>4.04</v>
      </c>
      <c r="N2324">
        <v>0</v>
      </c>
      <c r="O2324" t="str">
        <f>IF(financial_fraud_data[[#This Row],[Risk_Score]]&gt;8,"High",IF(financial_fraud_data[[#This Row],[Risk_Score]]&gt;5,"Med","Low"))</f>
        <v>Low</v>
      </c>
      <c r="P2324" t="str">
        <f>TEXT(financial_fraud_data[[#This Row],[Transaction_Date]],"MMM")</f>
        <v>Apr</v>
      </c>
      <c r="Q2324" t="str">
        <f>IF(financial_fraud_data[[#This Row],[Is_Fraud]]=1,"Yes","No")</f>
        <v>No</v>
      </c>
    </row>
    <row r="2325" spans="1:17" x14ac:dyDescent="0.2">
      <c r="A2325" t="s">
        <v>2855</v>
      </c>
      <c r="B2325" t="s">
        <v>1653</v>
      </c>
      <c r="C2325" s="1">
        <v>45388.791666666664</v>
      </c>
      <c r="D2325">
        <v>15503.17</v>
      </c>
      <c r="E2325" t="s">
        <v>42</v>
      </c>
      <c r="F2325" t="s">
        <v>50</v>
      </c>
      <c r="G2325" t="s">
        <v>35</v>
      </c>
      <c r="H2325" t="s">
        <v>24</v>
      </c>
      <c r="I2325" t="s">
        <v>23</v>
      </c>
      <c r="J2325" t="s">
        <v>20</v>
      </c>
      <c r="K2325">
        <v>0</v>
      </c>
      <c r="L2325">
        <v>4</v>
      </c>
      <c r="M2325">
        <v>8.5500000000000007</v>
      </c>
      <c r="N2325">
        <v>1</v>
      </c>
      <c r="O2325" t="str">
        <f>IF(financial_fraud_data[[#This Row],[Risk_Score]]&gt;8,"High",IF(financial_fraud_data[[#This Row],[Risk_Score]]&gt;5,"Med","Low"))</f>
        <v>High</v>
      </c>
      <c r="P2325" t="str">
        <f>TEXT(financial_fraud_data[[#This Row],[Transaction_Date]],"MMM")</f>
        <v>Apr</v>
      </c>
      <c r="Q2325" t="str">
        <f>IF(financial_fraud_data[[#This Row],[Is_Fraud]]=1,"Yes","No")</f>
        <v>Yes</v>
      </c>
    </row>
    <row r="2326" spans="1:17" x14ac:dyDescent="0.2">
      <c r="A2326" t="s">
        <v>2856</v>
      </c>
      <c r="B2326" t="s">
        <v>291</v>
      </c>
      <c r="C2326" s="1">
        <v>45388.833333333336</v>
      </c>
      <c r="D2326">
        <v>41198.33</v>
      </c>
      <c r="E2326" t="s">
        <v>16</v>
      </c>
      <c r="F2326" t="s">
        <v>47</v>
      </c>
      <c r="G2326" t="s">
        <v>28</v>
      </c>
      <c r="H2326" t="s">
        <v>29</v>
      </c>
      <c r="I2326" t="s">
        <v>36</v>
      </c>
      <c r="J2326" t="s">
        <v>51</v>
      </c>
      <c r="K2326">
        <v>0</v>
      </c>
      <c r="L2326">
        <v>0</v>
      </c>
      <c r="M2326">
        <v>5.12</v>
      </c>
      <c r="N2326">
        <v>1</v>
      </c>
      <c r="O2326" t="str">
        <f>IF(financial_fraud_data[[#This Row],[Risk_Score]]&gt;8,"High",IF(financial_fraud_data[[#This Row],[Risk_Score]]&gt;5,"Med","Low"))</f>
        <v>Med</v>
      </c>
      <c r="P2326" t="str">
        <f>TEXT(financial_fraud_data[[#This Row],[Transaction_Date]],"MMM")</f>
        <v>Apr</v>
      </c>
      <c r="Q2326" t="str">
        <f>IF(financial_fraud_data[[#This Row],[Is_Fraud]]=1,"Yes","No")</f>
        <v>Yes</v>
      </c>
    </row>
    <row r="2327" spans="1:17" x14ac:dyDescent="0.2">
      <c r="A2327" t="s">
        <v>2857</v>
      </c>
      <c r="B2327" t="s">
        <v>189</v>
      </c>
      <c r="C2327" s="1">
        <v>45388.875</v>
      </c>
      <c r="D2327">
        <v>47755.27</v>
      </c>
      <c r="E2327" t="s">
        <v>34</v>
      </c>
      <c r="F2327" t="s">
        <v>47</v>
      </c>
      <c r="G2327" t="s">
        <v>56</v>
      </c>
      <c r="H2327" t="s">
        <v>24</v>
      </c>
      <c r="I2327" t="s">
        <v>19</v>
      </c>
      <c r="J2327" t="s">
        <v>37</v>
      </c>
      <c r="K2327">
        <v>0</v>
      </c>
      <c r="L2327">
        <v>2</v>
      </c>
      <c r="M2327">
        <v>8.7799999999999994</v>
      </c>
      <c r="N2327">
        <v>1</v>
      </c>
      <c r="O2327" t="str">
        <f>IF(financial_fraud_data[[#This Row],[Risk_Score]]&gt;8,"High",IF(financial_fraud_data[[#This Row],[Risk_Score]]&gt;5,"Med","Low"))</f>
        <v>High</v>
      </c>
      <c r="P2327" t="str">
        <f>TEXT(financial_fraud_data[[#This Row],[Transaction_Date]],"MMM")</f>
        <v>Apr</v>
      </c>
      <c r="Q2327" t="str">
        <f>IF(financial_fraud_data[[#This Row],[Is_Fraud]]=1,"Yes","No")</f>
        <v>Yes</v>
      </c>
    </row>
    <row r="2328" spans="1:17" x14ac:dyDescent="0.2">
      <c r="A2328" t="s">
        <v>2858</v>
      </c>
      <c r="B2328" t="s">
        <v>738</v>
      </c>
      <c r="C2328" s="1">
        <v>45388.916666666664</v>
      </c>
      <c r="D2328">
        <v>41068.85</v>
      </c>
      <c r="E2328" t="s">
        <v>34</v>
      </c>
      <c r="F2328" t="s">
        <v>50</v>
      </c>
      <c r="G2328" t="s">
        <v>35</v>
      </c>
      <c r="H2328" t="s">
        <v>23</v>
      </c>
      <c r="I2328" t="s">
        <v>29</v>
      </c>
      <c r="J2328" t="s">
        <v>20</v>
      </c>
      <c r="K2328">
        <v>0</v>
      </c>
      <c r="L2328">
        <v>3</v>
      </c>
      <c r="M2328">
        <v>9.61</v>
      </c>
      <c r="N2328">
        <v>1</v>
      </c>
      <c r="O2328" t="str">
        <f>IF(financial_fraud_data[[#This Row],[Risk_Score]]&gt;8,"High",IF(financial_fraud_data[[#This Row],[Risk_Score]]&gt;5,"Med","Low"))</f>
        <v>High</v>
      </c>
      <c r="P2328" t="str">
        <f>TEXT(financial_fraud_data[[#This Row],[Transaction_Date]],"MMM")</f>
        <v>Apr</v>
      </c>
      <c r="Q2328" t="str">
        <f>IF(financial_fraud_data[[#This Row],[Is_Fraud]]=1,"Yes","No")</f>
        <v>Yes</v>
      </c>
    </row>
    <row r="2329" spans="1:17" x14ac:dyDescent="0.2">
      <c r="A2329" t="s">
        <v>2859</v>
      </c>
      <c r="B2329" t="s">
        <v>504</v>
      </c>
      <c r="C2329" s="1">
        <v>45388.958333333336</v>
      </c>
      <c r="D2329">
        <v>128.18</v>
      </c>
      <c r="E2329" t="s">
        <v>80</v>
      </c>
      <c r="F2329" t="s">
        <v>50</v>
      </c>
      <c r="G2329" t="s">
        <v>56</v>
      </c>
      <c r="H2329" t="s">
        <v>24</v>
      </c>
      <c r="I2329" t="s">
        <v>24</v>
      </c>
      <c r="J2329" t="s">
        <v>37</v>
      </c>
      <c r="K2329">
        <v>1</v>
      </c>
      <c r="L2329">
        <v>1</v>
      </c>
      <c r="M2329">
        <v>3.51</v>
      </c>
      <c r="N2329">
        <v>0</v>
      </c>
      <c r="O2329" t="str">
        <f>IF(financial_fraud_data[[#This Row],[Risk_Score]]&gt;8,"High",IF(financial_fraud_data[[#This Row],[Risk_Score]]&gt;5,"Med","Low"))</f>
        <v>Low</v>
      </c>
      <c r="P2329" t="str">
        <f>TEXT(financial_fraud_data[[#This Row],[Transaction_Date]],"MMM")</f>
        <v>Apr</v>
      </c>
      <c r="Q2329" t="str">
        <f>IF(financial_fraud_data[[#This Row],[Is_Fraud]]=1,"Yes","No")</f>
        <v>No</v>
      </c>
    </row>
    <row r="2330" spans="1:17" x14ac:dyDescent="0.2">
      <c r="A2330" t="s">
        <v>2860</v>
      </c>
      <c r="B2330" t="s">
        <v>1210</v>
      </c>
      <c r="C2330" s="1">
        <v>45389</v>
      </c>
      <c r="D2330">
        <v>31838.25</v>
      </c>
      <c r="E2330" t="s">
        <v>42</v>
      </c>
      <c r="F2330" t="s">
        <v>17</v>
      </c>
      <c r="G2330" t="s">
        <v>18</v>
      </c>
      <c r="H2330" t="s">
        <v>19</v>
      </c>
      <c r="I2330" t="s">
        <v>24</v>
      </c>
      <c r="J2330" t="s">
        <v>51</v>
      </c>
      <c r="K2330">
        <v>0</v>
      </c>
      <c r="L2330">
        <v>4</v>
      </c>
      <c r="M2330">
        <v>10.18</v>
      </c>
      <c r="N2330">
        <v>1</v>
      </c>
      <c r="O2330" t="str">
        <f>IF(financial_fraud_data[[#This Row],[Risk_Score]]&gt;8,"High",IF(financial_fraud_data[[#This Row],[Risk_Score]]&gt;5,"Med","Low"))</f>
        <v>High</v>
      </c>
      <c r="P2330" t="str">
        <f>TEXT(financial_fraud_data[[#This Row],[Transaction_Date]],"MMM")</f>
        <v>Apr</v>
      </c>
      <c r="Q2330" t="str">
        <f>IF(financial_fraud_data[[#This Row],[Is_Fraud]]=1,"Yes","No")</f>
        <v>Yes</v>
      </c>
    </row>
    <row r="2331" spans="1:17" x14ac:dyDescent="0.2">
      <c r="A2331" t="s">
        <v>2861</v>
      </c>
      <c r="B2331" t="s">
        <v>512</v>
      </c>
      <c r="C2331" s="1">
        <v>45389.041666666664</v>
      </c>
      <c r="D2331">
        <v>2604.21</v>
      </c>
      <c r="E2331" t="s">
        <v>42</v>
      </c>
      <c r="F2331" t="s">
        <v>17</v>
      </c>
      <c r="G2331" t="s">
        <v>18</v>
      </c>
      <c r="H2331" t="s">
        <v>19</v>
      </c>
      <c r="I2331" t="s">
        <v>24</v>
      </c>
      <c r="J2331" t="s">
        <v>51</v>
      </c>
      <c r="K2331">
        <v>0</v>
      </c>
      <c r="L2331">
        <v>0</v>
      </c>
      <c r="M2331">
        <v>1.26</v>
      </c>
      <c r="N2331">
        <v>0</v>
      </c>
      <c r="O2331" t="str">
        <f>IF(financial_fraud_data[[#This Row],[Risk_Score]]&gt;8,"High",IF(financial_fraud_data[[#This Row],[Risk_Score]]&gt;5,"Med","Low"))</f>
        <v>Low</v>
      </c>
      <c r="P2331" t="str">
        <f>TEXT(financial_fraud_data[[#This Row],[Transaction_Date]],"MMM")</f>
        <v>Apr</v>
      </c>
      <c r="Q2331" t="str">
        <f>IF(financial_fraud_data[[#This Row],[Is_Fraud]]=1,"Yes","No")</f>
        <v>No</v>
      </c>
    </row>
    <row r="2332" spans="1:17" x14ac:dyDescent="0.2">
      <c r="A2332" t="s">
        <v>2862</v>
      </c>
      <c r="B2332" t="s">
        <v>1389</v>
      </c>
      <c r="C2332" s="1">
        <v>45389.083333333336</v>
      </c>
      <c r="D2332">
        <v>12917.48</v>
      </c>
      <c r="E2332" t="s">
        <v>34</v>
      </c>
      <c r="F2332" t="s">
        <v>47</v>
      </c>
      <c r="G2332" t="s">
        <v>18</v>
      </c>
      <c r="H2332" t="s">
        <v>36</v>
      </c>
      <c r="I2332" t="s">
        <v>24</v>
      </c>
      <c r="J2332" t="s">
        <v>37</v>
      </c>
      <c r="K2332">
        <v>0</v>
      </c>
      <c r="L2332">
        <v>3</v>
      </c>
      <c r="M2332">
        <v>6.79</v>
      </c>
      <c r="N2332">
        <v>1</v>
      </c>
      <c r="O2332" t="str">
        <f>IF(financial_fraud_data[[#This Row],[Risk_Score]]&gt;8,"High",IF(financial_fraud_data[[#This Row],[Risk_Score]]&gt;5,"Med","Low"))</f>
        <v>Med</v>
      </c>
      <c r="P2332" t="str">
        <f>TEXT(financial_fraud_data[[#This Row],[Transaction_Date]],"MMM")</f>
        <v>Apr</v>
      </c>
      <c r="Q2332" t="str">
        <f>IF(financial_fraud_data[[#This Row],[Is_Fraud]]=1,"Yes","No")</f>
        <v>Yes</v>
      </c>
    </row>
    <row r="2333" spans="1:17" x14ac:dyDescent="0.2">
      <c r="A2333" t="s">
        <v>2863</v>
      </c>
      <c r="B2333" t="s">
        <v>306</v>
      </c>
      <c r="C2333" s="1">
        <v>45389.125</v>
      </c>
      <c r="D2333">
        <v>3023.26</v>
      </c>
      <c r="E2333" t="s">
        <v>42</v>
      </c>
      <c r="F2333" t="s">
        <v>47</v>
      </c>
      <c r="G2333" t="s">
        <v>35</v>
      </c>
      <c r="H2333" t="s">
        <v>29</v>
      </c>
      <c r="I2333" t="s">
        <v>19</v>
      </c>
      <c r="J2333" t="s">
        <v>20</v>
      </c>
      <c r="K2333">
        <v>0</v>
      </c>
      <c r="L2333">
        <v>3</v>
      </c>
      <c r="M2333">
        <v>5.8</v>
      </c>
      <c r="N2333">
        <v>1</v>
      </c>
      <c r="O2333" t="str">
        <f>IF(financial_fraud_data[[#This Row],[Risk_Score]]&gt;8,"High",IF(financial_fraud_data[[#This Row],[Risk_Score]]&gt;5,"Med","Low"))</f>
        <v>Med</v>
      </c>
      <c r="P2333" t="str">
        <f>TEXT(financial_fraud_data[[#This Row],[Transaction_Date]],"MMM")</f>
        <v>Apr</v>
      </c>
      <c r="Q2333" t="str">
        <f>IF(financial_fraud_data[[#This Row],[Is_Fraud]]=1,"Yes","No")</f>
        <v>Yes</v>
      </c>
    </row>
    <row r="2334" spans="1:17" x14ac:dyDescent="0.2">
      <c r="A2334" t="s">
        <v>2864</v>
      </c>
      <c r="B2334" t="s">
        <v>282</v>
      </c>
      <c r="C2334" s="1">
        <v>45389.166666666664</v>
      </c>
      <c r="D2334">
        <v>30209.58</v>
      </c>
      <c r="E2334" t="s">
        <v>80</v>
      </c>
      <c r="F2334" t="s">
        <v>50</v>
      </c>
      <c r="G2334" t="s">
        <v>18</v>
      </c>
      <c r="H2334" t="s">
        <v>29</v>
      </c>
      <c r="I2334" t="s">
        <v>23</v>
      </c>
      <c r="J2334" t="s">
        <v>37</v>
      </c>
      <c r="K2334">
        <v>0</v>
      </c>
      <c r="L2334">
        <v>1</v>
      </c>
      <c r="M2334">
        <v>5.52</v>
      </c>
      <c r="N2334">
        <v>1</v>
      </c>
      <c r="O2334" t="str">
        <f>IF(financial_fraud_data[[#This Row],[Risk_Score]]&gt;8,"High",IF(financial_fraud_data[[#This Row],[Risk_Score]]&gt;5,"Med","Low"))</f>
        <v>Med</v>
      </c>
      <c r="P2334" t="str">
        <f>TEXT(financial_fraud_data[[#This Row],[Transaction_Date]],"MMM")</f>
        <v>Apr</v>
      </c>
      <c r="Q2334" t="str">
        <f>IF(financial_fraud_data[[#This Row],[Is_Fraud]]=1,"Yes","No")</f>
        <v>Yes</v>
      </c>
    </row>
    <row r="2335" spans="1:17" x14ac:dyDescent="0.2">
      <c r="A2335" t="s">
        <v>2865</v>
      </c>
      <c r="B2335" t="s">
        <v>398</v>
      </c>
      <c r="C2335" s="1">
        <v>45389.208333333336</v>
      </c>
      <c r="D2335">
        <v>34345.17</v>
      </c>
      <c r="E2335" t="s">
        <v>16</v>
      </c>
      <c r="F2335" t="s">
        <v>47</v>
      </c>
      <c r="G2335" t="s">
        <v>28</v>
      </c>
      <c r="H2335" t="s">
        <v>24</v>
      </c>
      <c r="I2335" t="s">
        <v>19</v>
      </c>
      <c r="J2335" t="s">
        <v>51</v>
      </c>
      <c r="K2335">
        <v>0</v>
      </c>
      <c r="L2335">
        <v>3</v>
      </c>
      <c r="M2335">
        <v>8.93</v>
      </c>
      <c r="N2335">
        <v>1</v>
      </c>
      <c r="O2335" t="str">
        <f>IF(financial_fraud_data[[#This Row],[Risk_Score]]&gt;8,"High",IF(financial_fraud_data[[#This Row],[Risk_Score]]&gt;5,"Med","Low"))</f>
        <v>High</v>
      </c>
      <c r="P2335" t="str">
        <f>TEXT(financial_fraud_data[[#This Row],[Transaction_Date]],"MMM")</f>
        <v>Apr</v>
      </c>
      <c r="Q2335" t="str">
        <f>IF(financial_fraud_data[[#This Row],[Is_Fraud]]=1,"Yes","No")</f>
        <v>Yes</v>
      </c>
    </row>
    <row r="2336" spans="1:17" x14ac:dyDescent="0.2">
      <c r="A2336" t="s">
        <v>2866</v>
      </c>
      <c r="B2336" t="s">
        <v>898</v>
      </c>
      <c r="C2336" s="1">
        <v>45389.25</v>
      </c>
      <c r="D2336">
        <v>5768.66</v>
      </c>
      <c r="E2336" t="s">
        <v>42</v>
      </c>
      <c r="F2336" t="s">
        <v>47</v>
      </c>
      <c r="G2336" t="s">
        <v>28</v>
      </c>
      <c r="H2336" t="s">
        <v>29</v>
      </c>
      <c r="I2336" t="s">
        <v>36</v>
      </c>
      <c r="J2336" t="s">
        <v>20</v>
      </c>
      <c r="K2336">
        <v>0</v>
      </c>
      <c r="L2336">
        <v>1</v>
      </c>
      <c r="M2336">
        <v>3.08</v>
      </c>
      <c r="N2336">
        <v>0</v>
      </c>
      <c r="O2336" t="str">
        <f>IF(financial_fraud_data[[#This Row],[Risk_Score]]&gt;8,"High",IF(financial_fraud_data[[#This Row],[Risk_Score]]&gt;5,"Med","Low"))</f>
        <v>Low</v>
      </c>
      <c r="P2336" t="str">
        <f>TEXT(financial_fraud_data[[#This Row],[Transaction_Date]],"MMM")</f>
        <v>Apr</v>
      </c>
      <c r="Q2336" t="str">
        <f>IF(financial_fraud_data[[#This Row],[Is_Fraud]]=1,"Yes","No")</f>
        <v>No</v>
      </c>
    </row>
    <row r="2337" spans="1:17" x14ac:dyDescent="0.2">
      <c r="A2337" t="s">
        <v>2867</v>
      </c>
      <c r="B2337" t="s">
        <v>828</v>
      </c>
      <c r="C2337" s="1">
        <v>45389.291666666664</v>
      </c>
      <c r="D2337">
        <v>19222.75</v>
      </c>
      <c r="E2337" t="s">
        <v>34</v>
      </c>
      <c r="F2337" t="s">
        <v>50</v>
      </c>
      <c r="G2337" t="s">
        <v>35</v>
      </c>
      <c r="H2337" t="s">
        <v>19</v>
      </c>
      <c r="I2337" t="s">
        <v>19</v>
      </c>
      <c r="J2337" t="s">
        <v>51</v>
      </c>
      <c r="K2337">
        <v>1</v>
      </c>
      <c r="L2337">
        <v>2</v>
      </c>
      <c r="M2337">
        <v>6.92</v>
      </c>
      <c r="N2337">
        <v>1</v>
      </c>
      <c r="O2337" t="str">
        <f>IF(financial_fraud_data[[#This Row],[Risk_Score]]&gt;8,"High",IF(financial_fraud_data[[#This Row],[Risk_Score]]&gt;5,"Med","Low"))</f>
        <v>Med</v>
      </c>
      <c r="P2337" t="str">
        <f>TEXT(financial_fraud_data[[#This Row],[Transaction_Date]],"MMM")</f>
        <v>Apr</v>
      </c>
      <c r="Q2337" t="str">
        <f>IF(financial_fraud_data[[#This Row],[Is_Fraud]]=1,"Yes","No")</f>
        <v>Yes</v>
      </c>
    </row>
    <row r="2338" spans="1:17" x14ac:dyDescent="0.2">
      <c r="A2338" t="s">
        <v>2868</v>
      </c>
      <c r="B2338" t="s">
        <v>999</v>
      </c>
      <c r="C2338" s="1">
        <v>45389.333333333336</v>
      </c>
      <c r="D2338">
        <v>22839.01</v>
      </c>
      <c r="E2338" t="s">
        <v>16</v>
      </c>
      <c r="F2338" t="s">
        <v>47</v>
      </c>
      <c r="G2338" t="s">
        <v>56</v>
      </c>
      <c r="H2338" t="s">
        <v>23</v>
      </c>
      <c r="I2338" t="s">
        <v>19</v>
      </c>
      <c r="J2338" t="s">
        <v>51</v>
      </c>
      <c r="K2338">
        <v>0</v>
      </c>
      <c r="L2338">
        <v>1</v>
      </c>
      <c r="M2338">
        <v>4.78</v>
      </c>
      <c r="N2338">
        <v>0</v>
      </c>
      <c r="O2338" t="str">
        <f>IF(financial_fraud_data[[#This Row],[Risk_Score]]&gt;8,"High",IF(financial_fraud_data[[#This Row],[Risk_Score]]&gt;5,"Med","Low"))</f>
        <v>Low</v>
      </c>
      <c r="P2338" t="str">
        <f>TEXT(financial_fraud_data[[#This Row],[Transaction_Date]],"MMM")</f>
        <v>Apr</v>
      </c>
      <c r="Q2338" t="str">
        <f>IF(financial_fraud_data[[#This Row],[Is_Fraud]]=1,"Yes","No")</f>
        <v>No</v>
      </c>
    </row>
    <row r="2339" spans="1:17" x14ac:dyDescent="0.2">
      <c r="A2339" t="s">
        <v>2869</v>
      </c>
      <c r="B2339" t="s">
        <v>1194</v>
      </c>
      <c r="C2339" s="1">
        <v>45389.375</v>
      </c>
      <c r="D2339">
        <v>18484.2</v>
      </c>
      <c r="E2339" t="s">
        <v>16</v>
      </c>
      <c r="F2339" t="s">
        <v>47</v>
      </c>
      <c r="G2339" t="s">
        <v>65</v>
      </c>
      <c r="H2339" t="s">
        <v>24</v>
      </c>
      <c r="I2339" t="s">
        <v>36</v>
      </c>
      <c r="J2339" t="s">
        <v>37</v>
      </c>
      <c r="K2339">
        <v>0</v>
      </c>
      <c r="L2339">
        <v>0</v>
      </c>
      <c r="M2339">
        <v>2.85</v>
      </c>
      <c r="N2339">
        <v>0</v>
      </c>
      <c r="O2339" t="str">
        <f>IF(financial_fraud_data[[#This Row],[Risk_Score]]&gt;8,"High",IF(financial_fraud_data[[#This Row],[Risk_Score]]&gt;5,"Med","Low"))</f>
        <v>Low</v>
      </c>
      <c r="P2339" t="str">
        <f>TEXT(financial_fraud_data[[#This Row],[Transaction_Date]],"MMM")</f>
        <v>Apr</v>
      </c>
      <c r="Q2339" t="str">
        <f>IF(financial_fraud_data[[#This Row],[Is_Fraud]]=1,"Yes","No")</f>
        <v>No</v>
      </c>
    </row>
    <row r="2340" spans="1:17" x14ac:dyDescent="0.2">
      <c r="A2340" t="s">
        <v>2870</v>
      </c>
      <c r="B2340" t="s">
        <v>302</v>
      </c>
      <c r="C2340" s="1">
        <v>45389.416666666664</v>
      </c>
      <c r="D2340">
        <v>6095.2</v>
      </c>
      <c r="E2340" t="s">
        <v>80</v>
      </c>
      <c r="F2340" t="s">
        <v>27</v>
      </c>
      <c r="G2340" t="s">
        <v>56</v>
      </c>
      <c r="H2340" t="s">
        <v>29</v>
      </c>
      <c r="I2340" t="s">
        <v>19</v>
      </c>
      <c r="J2340" t="s">
        <v>51</v>
      </c>
      <c r="K2340">
        <v>0</v>
      </c>
      <c r="L2340">
        <v>3</v>
      </c>
      <c r="M2340">
        <v>6.11</v>
      </c>
      <c r="N2340">
        <v>1</v>
      </c>
      <c r="O2340" t="str">
        <f>IF(financial_fraud_data[[#This Row],[Risk_Score]]&gt;8,"High",IF(financial_fraud_data[[#This Row],[Risk_Score]]&gt;5,"Med","Low"))</f>
        <v>Med</v>
      </c>
      <c r="P2340" t="str">
        <f>TEXT(financial_fraud_data[[#This Row],[Transaction_Date]],"MMM")</f>
        <v>Apr</v>
      </c>
      <c r="Q2340" t="str">
        <f>IF(financial_fraud_data[[#This Row],[Is_Fraud]]=1,"Yes","No")</f>
        <v>Yes</v>
      </c>
    </row>
    <row r="2341" spans="1:17" x14ac:dyDescent="0.2">
      <c r="A2341" t="s">
        <v>2871</v>
      </c>
      <c r="B2341" t="s">
        <v>243</v>
      </c>
      <c r="C2341" s="1">
        <v>45389.458333333336</v>
      </c>
      <c r="D2341">
        <v>20976.44</v>
      </c>
      <c r="E2341" t="s">
        <v>34</v>
      </c>
      <c r="F2341" t="s">
        <v>17</v>
      </c>
      <c r="G2341" t="s">
        <v>56</v>
      </c>
      <c r="H2341" t="s">
        <v>19</v>
      </c>
      <c r="I2341" t="s">
        <v>23</v>
      </c>
      <c r="J2341" t="s">
        <v>37</v>
      </c>
      <c r="K2341">
        <v>0</v>
      </c>
      <c r="L2341">
        <v>3</v>
      </c>
      <c r="M2341">
        <v>7.6</v>
      </c>
      <c r="N2341">
        <v>1</v>
      </c>
      <c r="O2341" t="str">
        <f>IF(financial_fraud_data[[#This Row],[Risk_Score]]&gt;8,"High",IF(financial_fraud_data[[#This Row],[Risk_Score]]&gt;5,"Med","Low"))</f>
        <v>Med</v>
      </c>
      <c r="P2341" t="str">
        <f>TEXT(financial_fraud_data[[#This Row],[Transaction_Date]],"MMM")</f>
        <v>Apr</v>
      </c>
      <c r="Q2341" t="str">
        <f>IF(financial_fraud_data[[#This Row],[Is_Fraud]]=1,"Yes","No")</f>
        <v>Yes</v>
      </c>
    </row>
    <row r="2342" spans="1:17" x14ac:dyDescent="0.2">
      <c r="A2342" t="s">
        <v>2872</v>
      </c>
      <c r="B2342" t="s">
        <v>1075</v>
      </c>
      <c r="C2342" s="1">
        <v>45389.5</v>
      </c>
      <c r="D2342">
        <v>37571.339999999997</v>
      </c>
      <c r="E2342" t="s">
        <v>42</v>
      </c>
      <c r="F2342" t="s">
        <v>50</v>
      </c>
      <c r="G2342" t="s">
        <v>56</v>
      </c>
      <c r="H2342" t="s">
        <v>36</v>
      </c>
      <c r="I2342" t="s">
        <v>29</v>
      </c>
      <c r="J2342" t="s">
        <v>20</v>
      </c>
      <c r="K2342">
        <v>0</v>
      </c>
      <c r="L2342">
        <v>3</v>
      </c>
      <c r="M2342">
        <v>9.26</v>
      </c>
      <c r="N2342">
        <v>1</v>
      </c>
      <c r="O2342" t="str">
        <f>IF(financial_fraud_data[[#This Row],[Risk_Score]]&gt;8,"High",IF(financial_fraud_data[[#This Row],[Risk_Score]]&gt;5,"Med","Low"))</f>
        <v>High</v>
      </c>
      <c r="P2342" t="str">
        <f>TEXT(financial_fraud_data[[#This Row],[Transaction_Date]],"MMM")</f>
        <v>Apr</v>
      </c>
      <c r="Q2342" t="str">
        <f>IF(financial_fraud_data[[#This Row],[Is_Fraud]]=1,"Yes","No")</f>
        <v>Yes</v>
      </c>
    </row>
    <row r="2343" spans="1:17" x14ac:dyDescent="0.2">
      <c r="A2343" t="s">
        <v>2873</v>
      </c>
      <c r="B2343" t="s">
        <v>1191</v>
      </c>
      <c r="C2343" s="1">
        <v>45389.541666666664</v>
      </c>
      <c r="D2343">
        <v>3596.83</v>
      </c>
      <c r="E2343" t="s">
        <v>34</v>
      </c>
      <c r="F2343" t="s">
        <v>27</v>
      </c>
      <c r="G2343" t="s">
        <v>56</v>
      </c>
      <c r="H2343" t="s">
        <v>29</v>
      </c>
      <c r="I2343" t="s">
        <v>36</v>
      </c>
      <c r="J2343" t="s">
        <v>51</v>
      </c>
      <c r="K2343">
        <v>0</v>
      </c>
      <c r="L2343">
        <v>1</v>
      </c>
      <c r="M2343">
        <v>2.86</v>
      </c>
      <c r="N2343">
        <v>0</v>
      </c>
      <c r="O2343" t="str">
        <f>IF(financial_fraud_data[[#This Row],[Risk_Score]]&gt;8,"High",IF(financial_fraud_data[[#This Row],[Risk_Score]]&gt;5,"Med","Low"))</f>
        <v>Low</v>
      </c>
      <c r="P2343" t="str">
        <f>TEXT(financial_fraud_data[[#This Row],[Transaction_Date]],"MMM")</f>
        <v>Apr</v>
      </c>
      <c r="Q2343" t="str">
        <f>IF(financial_fraud_data[[#This Row],[Is_Fraud]]=1,"Yes","No")</f>
        <v>No</v>
      </c>
    </row>
    <row r="2344" spans="1:17" x14ac:dyDescent="0.2">
      <c r="A2344" t="s">
        <v>2874</v>
      </c>
      <c r="B2344" t="s">
        <v>894</v>
      </c>
      <c r="C2344" s="1">
        <v>45389.583333333336</v>
      </c>
      <c r="D2344">
        <v>4054.99</v>
      </c>
      <c r="E2344" t="s">
        <v>16</v>
      </c>
      <c r="F2344" t="s">
        <v>17</v>
      </c>
      <c r="G2344" t="s">
        <v>65</v>
      </c>
      <c r="H2344" t="s">
        <v>23</v>
      </c>
      <c r="I2344" t="s">
        <v>24</v>
      </c>
      <c r="J2344" t="s">
        <v>51</v>
      </c>
      <c r="K2344">
        <v>0</v>
      </c>
      <c r="L2344">
        <v>4</v>
      </c>
      <c r="M2344">
        <v>7.41</v>
      </c>
      <c r="N2344">
        <v>1</v>
      </c>
      <c r="O2344" t="str">
        <f>IF(financial_fraud_data[[#This Row],[Risk_Score]]&gt;8,"High",IF(financial_fraud_data[[#This Row],[Risk_Score]]&gt;5,"Med","Low"))</f>
        <v>Med</v>
      </c>
      <c r="P2344" t="str">
        <f>TEXT(financial_fraud_data[[#This Row],[Transaction_Date]],"MMM")</f>
        <v>Apr</v>
      </c>
      <c r="Q2344" t="str">
        <f>IF(financial_fraud_data[[#This Row],[Is_Fraud]]=1,"Yes","No")</f>
        <v>Yes</v>
      </c>
    </row>
    <row r="2345" spans="1:17" x14ac:dyDescent="0.2">
      <c r="A2345" t="s">
        <v>2875</v>
      </c>
      <c r="B2345" t="s">
        <v>477</v>
      </c>
      <c r="C2345" s="1">
        <v>45389.625</v>
      </c>
      <c r="D2345">
        <v>17770.830000000002</v>
      </c>
      <c r="E2345" t="s">
        <v>34</v>
      </c>
      <c r="F2345" t="s">
        <v>17</v>
      </c>
      <c r="G2345" t="s">
        <v>18</v>
      </c>
      <c r="H2345" t="s">
        <v>23</v>
      </c>
      <c r="I2345" t="s">
        <v>23</v>
      </c>
      <c r="J2345" t="s">
        <v>20</v>
      </c>
      <c r="K2345">
        <v>0</v>
      </c>
      <c r="L2345">
        <v>1</v>
      </c>
      <c r="M2345">
        <v>3.28</v>
      </c>
      <c r="N2345">
        <v>0</v>
      </c>
      <c r="O2345" t="str">
        <f>IF(financial_fraud_data[[#This Row],[Risk_Score]]&gt;8,"High",IF(financial_fraud_data[[#This Row],[Risk_Score]]&gt;5,"Med","Low"))</f>
        <v>Low</v>
      </c>
      <c r="P2345" t="str">
        <f>TEXT(financial_fraud_data[[#This Row],[Transaction_Date]],"MMM")</f>
        <v>Apr</v>
      </c>
      <c r="Q2345" t="str">
        <f>IF(financial_fraud_data[[#This Row],[Is_Fraud]]=1,"Yes","No")</f>
        <v>No</v>
      </c>
    </row>
    <row r="2346" spans="1:17" x14ac:dyDescent="0.2">
      <c r="A2346" t="s">
        <v>2876</v>
      </c>
      <c r="B2346" t="s">
        <v>2048</v>
      </c>
      <c r="C2346" s="1">
        <v>45389.666666666664</v>
      </c>
      <c r="D2346">
        <v>47089.2</v>
      </c>
      <c r="E2346" t="s">
        <v>42</v>
      </c>
      <c r="F2346" t="s">
        <v>17</v>
      </c>
      <c r="G2346" t="s">
        <v>56</v>
      </c>
      <c r="H2346" t="s">
        <v>29</v>
      </c>
      <c r="I2346" t="s">
        <v>29</v>
      </c>
      <c r="J2346" t="s">
        <v>37</v>
      </c>
      <c r="K2346">
        <v>0</v>
      </c>
      <c r="L2346">
        <v>0</v>
      </c>
      <c r="M2346">
        <v>4.71</v>
      </c>
      <c r="N2346">
        <v>0</v>
      </c>
      <c r="O2346" t="str">
        <f>IF(financial_fraud_data[[#This Row],[Risk_Score]]&gt;8,"High",IF(financial_fraud_data[[#This Row],[Risk_Score]]&gt;5,"Med","Low"))</f>
        <v>Low</v>
      </c>
      <c r="P2346" t="str">
        <f>TEXT(financial_fraud_data[[#This Row],[Transaction_Date]],"MMM")</f>
        <v>Apr</v>
      </c>
      <c r="Q2346" t="str">
        <f>IF(financial_fraud_data[[#This Row],[Is_Fraud]]=1,"Yes","No")</f>
        <v>No</v>
      </c>
    </row>
    <row r="2347" spans="1:17" x14ac:dyDescent="0.2">
      <c r="A2347" t="s">
        <v>2877</v>
      </c>
      <c r="B2347" t="s">
        <v>510</v>
      </c>
      <c r="C2347" s="1">
        <v>45389.708333333336</v>
      </c>
      <c r="D2347">
        <v>33445.199999999997</v>
      </c>
      <c r="E2347" t="s">
        <v>42</v>
      </c>
      <c r="F2347" t="s">
        <v>27</v>
      </c>
      <c r="G2347" t="s">
        <v>28</v>
      </c>
      <c r="H2347" t="s">
        <v>29</v>
      </c>
      <c r="I2347" t="s">
        <v>23</v>
      </c>
      <c r="J2347" t="s">
        <v>51</v>
      </c>
      <c r="K2347">
        <v>0</v>
      </c>
      <c r="L2347">
        <v>1</v>
      </c>
      <c r="M2347">
        <v>5.84</v>
      </c>
      <c r="N2347">
        <v>1</v>
      </c>
      <c r="O2347" t="str">
        <f>IF(financial_fraud_data[[#This Row],[Risk_Score]]&gt;8,"High",IF(financial_fraud_data[[#This Row],[Risk_Score]]&gt;5,"Med","Low"))</f>
        <v>Med</v>
      </c>
      <c r="P2347" t="str">
        <f>TEXT(financial_fraud_data[[#This Row],[Transaction_Date]],"MMM")</f>
        <v>Apr</v>
      </c>
      <c r="Q2347" t="str">
        <f>IF(financial_fraud_data[[#This Row],[Is_Fraud]]=1,"Yes","No")</f>
        <v>Yes</v>
      </c>
    </row>
    <row r="2348" spans="1:17" x14ac:dyDescent="0.2">
      <c r="A2348" t="s">
        <v>2878</v>
      </c>
      <c r="B2348" t="s">
        <v>1661</v>
      </c>
      <c r="C2348" s="1">
        <v>45389.75</v>
      </c>
      <c r="D2348">
        <v>33949.56</v>
      </c>
      <c r="E2348" t="s">
        <v>80</v>
      </c>
      <c r="F2348" t="s">
        <v>27</v>
      </c>
      <c r="G2348" t="s">
        <v>35</v>
      </c>
      <c r="H2348" t="s">
        <v>19</v>
      </c>
      <c r="I2348" t="s">
        <v>23</v>
      </c>
      <c r="J2348" t="s">
        <v>20</v>
      </c>
      <c r="K2348">
        <v>0</v>
      </c>
      <c r="L2348">
        <v>3</v>
      </c>
      <c r="M2348">
        <v>8.89</v>
      </c>
      <c r="N2348">
        <v>1</v>
      </c>
      <c r="O2348" t="str">
        <f>IF(financial_fraud_data[[#This Row],[Risk_Score]]&gt;8,"High",IF(financial_fraud_data[[#This Row],[Risk_Score]]&gt;5,"Med","Low"))</f>
        <v>High</v>
      </c>
      <c r="P2348" t="str">
        <f>TEXT(financial_fraud_data[[#This Row],[Transaction_Date]],"MMM")</f>
        <v>Apr</v>
      </c>
      <c r="Q2348" t="str">
        <f>IF(financial_fraud_data[[#This Row],[Is_Fraud]]=1,"Yes","No")</f>
        <v>Yes</v>
      </c>
    </row>
    <row r="2349" spans="1:17" x14ac:dyDescent="0.2">
      <c r="A2349" t="s">
        <v>2879</v>
      </c>
      <c r="B2349" t="s">
        <v>324</v>
      </c>
      <c r="C2349" s="1">
        <v>45389.791666666664</v>
      </c>
      <c r="D2349">
        <v>18127.900000000001</v>
      </c>
      <c r="E2349" t="s">
        <v>42</v>
      </c>
      <c r="F2349" t="s">
        <v>17</v>
      </c>
      <c r="G2349" t="s">
        <v>35</v>
      </c>
      <c r="H2349" t="s">
        <v>29</v>
      </c>
      <c r="I2349" t="s">
        <v>24</v>
      </c>
      <c r="J2349" t="s">
        <v>51</v>
      </c>
      <c r="K2349">
        <v>1</v>
      </c>
      <c r="L2349">
        <v>2</v>
      </c>
      <c r="M2349">
        <v>7.81</v>
      </c>
      <c r="N2349">
        <v>1</v>
      </c>
      <c r="O2349" t="str">
        <f>IF(financial_fraud_data[[#This Row],[Risk_Score]]&gt;8,"High",IF(financial_fraud_data[[#This Row],[Risk_Score]]&gt;5,"Med","Low"))</f>
        <v>Med</v>
      </c>
      <c r="P2349" t="str">
        <f>TEXT(financial_fraud_data[[#This Row],[Transaction_Date]],"MMM")</f>
        <v>Apr</v>
      </c>
      <c r="Q2349" t="str">
        <f>IF(financial_fraud_data[[#This Row],[Is_Fraud]]=1,"Yes","No")</f>
        <v>Yes</v>
      </c>
    </row>
    <row r="2350" spans="1:17" x14ac:dyDescent="0.2">
      <c r="A2350" t="s">
        <v>2880</v>
      </c>
      <c r="B2350" t="s">
        <v>770</v>
      </c>
      <c r="C2350" s="1">
        <v>45389.833333333336</v>
      </c>
      <c r="D2350">
        <v>29703.360000000001</v>
      </c>
      <c r="E2350" t="s">
        <v>42</v>
      </c>
      <c r="F2350" t="s">
        <v>47</v>
      </c>
      <c r="G2350" t="s">
        <v>28</v>
      </c>
      <c r="H2350" t="s">
        <v>36</v>
      </c>
      <c r="I2350" t="s">
        <v>29</v>
      </c>
      <c r="J2350" t="s">
        <v>37</v>
      </c>
      <c r="K2350">
        <v>0</v>
      </c>
      <c r="L2350">
        <v>0</v>
      </c>
      <c r="M2350">
        <v>3.97</v>
      </c>
      <c r="N2350">
        <v>0</v>
      </c>
      <c r="O2350" t="str">
        <f>IF(financial_fraud_data[[#This Row],[Risk_Score]]&gt;8,"High",IF(financial_fraud_data[[#This Row],[Risk_Score]]&gt;5,"Med","Low"))</f>
        <v>Low</v>
      </c>
      <c r="P2350" t="str">
        <f>TEXT(financial_fraud_data[[#This Row],[Transaction_Date]],"MMM")</f>
        <v>Apr</v>
      </c>
      <c r="Q2350" t="str">
        <f>IF(financial_fraud_data[[#This Row],[Is_Fraud]]=1,"Yes","No")</f>
        <v>No</v>
      </c>
    </row>
    <row r="2351" spans="1:17" x14ac:dyDescent="0.2">
      <c r="A2351" t="s">
        <v>2881</v>
      </c>
      <c r="B2351" t="s">
        <v>343</v>
      </c>
      <c r="C2351" s="1">
        <v>45389.875</v>
      </c>
      <c r="D2351">
        <v>556.04999999999995</v>
      </c>
      <c r="E2351" t="s">
        <v>34</v>
      </c>
      <c r="F2351" t="s">
        <v>47</v>
      </c>
      <c r="G2351" t="s">
        <v>56</v>
      </c>
      <c r="H2351" t="s">
        <v>19</v>
      </c>
      <c r="I2351" t="s">
        <v>23</v>
      </c>
      <c r="J2351" t="s">
        <v>37</v>
      </c>
      <c r="K2351">
        <v>0</v>
      </c>
      <c r="L2351">
        <v>2</v>
      </c>
      <c r="M2351">
        <v>4.0599999999999996</v>
      </c>
      <c r="N2351">
        <v>0</v>
      </c>
      <c r="O2351" t="str">
        <f>IF(financial_fraud_data[[#This Row],[Risk_Score]]&gt;8,"High",IF(financial_fraud_data[[#This Row],[Risk_Score]]&gt;5,"Med","Low"))</f>
        <v>Low</v>
      </c>
      <c r="P2351" t="str">
        <f>TEXT(financial_fraud_data[[#This Row],[Transaction_Date]],"MMM")</f>
        <v>Apr</v>
      </c>
      <c r="Q2351" t="str">
        <f>IF(financial_fraud_data[[#This Row],[Is_Fraud]]=1,"Yes","No")</f>
        <v>No</v>
      </c>
    </row>
    <row r="2352" spans="1:17" x14ac:dyDescent="0.2">
      <c r="A2352" t="s">
        <v>2882</v>
      </c>
      <c r="B2352" t="s">
        <v>933</v>
      </c>
      <c r="C2352" s="1">
        <v>45389.916666666664</v>
      </c>
      <c r="D2352">
        <v>31823</v>
      </c>
      <c r="E2352" t="s">
        <v>34</v>
      </c>
      <c r="F2352" t="s">
        <v>27</v>
      </c>
      <c r="G2352" t="s">
        <v>65</v>
      </c>
      <c r="H2352" t="s">
        <v>24</v>
      </c>
      <c r="I2352" t="s">
        <v>24</v>
      </c>
      <c r="J2352" t="s">
        <v>37</v>
      </c>
      <c r="K2352">
        <v>0</v>
      </c>
      <c r="L2352">
        <v>0</v>
      </c>
      <c r="M2352">
        <v>3.18</v>
      </c>
      <c r="N2352">
        <v>0</v>
      </c>
      <c r="O2352" t="str">
        <f>IF(financial_fraud_data[[#This Row],[Risk_Score]]&gt;8,"High",IF(financial_fraud_data[[#This Row],[Risk_Score]]&gt;5,"Med","Low"))</f>
        <v>Low</v>
      </c>
      <c r="P2352" t="str">
        <f>TEXT(financial_fraud_data[[#This Row],[Transaction_Date]],"MMM")</f>
        <v>Apr</v>
      </c>
      <c r="Q2352" t="str">
        <f>IF(financial_fraud_data[[#This Row],[Is_Fraud]]=1,"Yes","No")</f>
        <v>No</v>
      </c>
    </row>
    <row r="2353" spans="1:17" x14ac:dyDescent="0.2">
      <c r="A2353" t="s">
        <v>2883</v>
      </c>
      <c r="B2353" t="s">
        <v>352</v>
      </c>
      <c r="C2353" s="1">
        <v>45389.958333333336</v>
      </c>
      <c r="D2353">
        <v>45668.68</v>
      </c>
      <c r="E2353" t="s">
        <v>16</v>
      </c>
      <c r="F2353" t="s">
        <v>27</v>
      </c>
      <c r="G2353" t="s">
        <v>18</v>
      </c>
      <c r="H2353" t="s">
        <v>36</v>
      </c>
      <c r="I2353" t="s">
        <v>36</v>
      </c>
      <c r="J2353" t="s">
        <v>37</v>
      </c>
      <c r="K2353">
        <v>0</v>
      </c>
      <c r="L2353">
        <v>0</v>
      </c>
      <c r="M2353">
        <v>4.57</v>
      </c>
      <c r="N2353">
        <v>0</v>
      </c>
      <c r="O2353" t="str">
        <f>IF(financial_fraud_data[[#This Row],[Risk_Score]]&gt;8,"High",IF(financial_fraud_data[[#This Row],[Risk_Score]]&gt;5,"Med","Low"))</f>
        <v>Low</v>
      </c>
      <c r="P2353" t="str">
        <f>TEXT(financial_fraud_data[[#This Row],[Transaction_Date]],"MMM")</f>
        <v>Apr</v>
      </c>
      <c r="Q2353" t="str">
        <f>IF(financial_fraud_data[[#This Row],[Is_Fraud]]=1,"Yes","No")</f>
        <v>No</v>
      </c>
    </row>
    <row r="2354" spans="1:17" x14ac:dyDescent="0.2">
      <c r="A2354" t="s">
        <v>2884</v>
      </c>
      <c r="B2354" t="s">
        <v>1027</v>
      </c>
      <c r="C2354" s="1">
        <v>45390</v>
      </c>
      <c r="D2354">
        <v>30648.04</v>
      </c>
      <c r="E2354" t="s">
        <v>80</v>
      </c>
      <c r="F2354" t="s">
        <v>27</v>
      </c>
      <c r="G2354" t="s">
        <v>35</v>
      </c>
      <c r="H2354" t="s">
        <v>19</v>
      </c>
      <c r="I2354" t="s">
        <v>24</v>
      </c>
      <c r="J2354" t="s">
        <v>20</v>
      </c>
      <c r="K2354">
        <v>0</v>
      </c>
      <c r="L2354">
        <v>3</v>
      </c>
      <c r="M2354">
        <v>8.56</v>
      </c>
      <c r="N2354">
        <v>1</v>
      </c>
      <c r="O2354" t="str">
        <f>IF(financial_fraud_data[[#This Row],[Risk_Score]]&gt;8,"High",IF(financial_fraud_data[[#This Row],[Risk_Score]]&gt;5,"Med","Low"))</f>
        <v>High</v>
      </c>
      <c r="P2354" t="str">
        <f>TEXT(financial_fraud_data[[#This Row],[Transaction_Date]],"MMM")</f>
        <v>Apr</v>
      </c>
      <c r="Q2354" t="str">
        <f>IF(financial_fraud_data[[#This Row],[Is_Fraud]]=1,"Yes","No")</f>
        <v>Yes</v>
      </c>
    </row>
    <row r="2355" spans="1:17" x14ac:dyDescent="0.2">
      <c r="A2355" t="s">
        <v>2885</v>
      </c>
      <c r="B2355" t="s">
        <v>872</v>
      </c>
      <c r="C2355" s="1">
        <v>45390.041666666664</v>
      </c>
      <c r="D2355">
        <v>43691.24</v>
      </c>
      <c r="E2355" t="s">
        <v>34</v>
      </c>
      <c r="F2355" t="s">
        <v>17</v>
      </c>
      <c r="G2355" t="s">
        <v>18</v>
      </c>
      <c r="H2355" t="s">
        <v>19</v>
      </c>
      <c r="I2355" t="s">
        <v>19</v>
      </c>
      <c r="J2355" t="s">
        <v>51</v>
      </c>
      <c r="K2355">
        <v>0</v>
      </c>
      <c r="L2355">
        <v>1</v>
      </c>
      <c r="M2355">
        <v>5.87</v>
      </c>
      <c r="N2355">
        <v>1</v>
      </c>
      <c r="O2355" t="str">
        <f>IF(financial_fraud_data[[#This Row],[Risk_Score]]&gt;8,"High",IF(financial_fraud_data[[#This Row],[Risk_Score]]&gt;5,"Med","Low"))</f>
        <v>Med</v>
      </c>
      <c r="P2355" t="str">
        <f>TEXT(financial_fraud_data[[#This Row],[Transaction_Date]],"MMM")</f>
        <v>Apr</v>
      </c>
      <c r="Q2355" t="str">
        <f>IF(financial_fraud_data[[#This Row],[Is_Fraud]]=1,"Yes","No")</f>
        <v>Yes</v>
      </c>
    </row>
    <row r="2356" spans="1:17" x14ac:dyDescent="0.2">
      <c r="A2356" t="s">
        <v>2886</v>
      </c>
      <c r="B2356" t="s">
        <v>249</v>
      </c>
      <c r="C2356" s="1">
        <v>45390.083333333336</v>
      </c>
      <c r="D2356">
        <v>36212.449999999997</v>
      </c>
      <c r="E2356" t="s">
        <v>42</v>
      </c>
      <c r="F2356" t="s">
        <v>47</v>
      </c>
      <c r="G2356" t="s">
        <v>65</v>
      </c>
      <c r="H2356" t="s">
        <v>23</v>
      </c>
      <c r="I2356" t="s">
        <v>24</v>
      </c>
      <c r="J2356" t="s">
        <v>20</v>
      </c>
      <c r="K2356">
        <v>1</v>
      </c>
      <c r="L2356">
        <v>3</v>
      </c>
      <c r="M2356">
        <v>11.12</v>
      </c>
      <c r="N2356">
        <v>1</v>
      </c>
      <c r="O2356" t="str">
        <f>IF(financial_fraud_data[[#This Row],[Risk_Score]]&gt;8,"High",IF(financial_fraud_data[[#This Row],[Risk_Score]]&gt;5,"Med","Low"))</f>
        <v>High</v>
      </c>
      <c r="P2356" t="str">
        <f>TEXT(financial_fraud_data[[#This Row],[Transaction_Date]],"MMM")</f>
        <v>Apr</v>
      </c>
      <c r="Q2356" t="str">
        <f>IF(financial_fraud_data[[#This Row],[Is_Fraud]]=1,"Yes","No")</f>
        <v>Yes</v>
      </c>
    </row>
    <row r="2357" spans="1:17" x14ac:dyDescent="0.2">
      <c r="A2357" t="s">
        <v>2887</v>
      </c>
      <c r="B2357" t="s">
        <v>1311</v>
      </c>
      <c r="C2357" s="1">
        <v>45390.125</v>
      </c>
      <c r="D2357">
        <v>6071.89</v>
      </c>
      <c r="E2357" t="s">
        <v>16</v>
      </c>
      <c r="F2357" t="s">
        <v>27</v>
      </c>
      <c r="G2357" t="s">
        <v>35</v>
      </c>
      <c r="H2357" t="s">
        <v>19</v>
      </c>
      <c r="I2357" t="s">
        <v>24</v>
      </c>
      <c r="J2357" t="s">
        <v>37</v>
      </c>
      <c r="K2357">
        <v>1</v>
      </c>
      <c r="L2357">
        <v>3</v>
      </c>
      <c r="M2357">
        <v>8.11</v>
      </c>
      <c r="N2357">
        <v>1</v>
      </c>
      <c r="O2357" t="str">
        <f>IF(financial_fraud_data[[#This Row],[Risk_Score]]&gt;8,"High",IF(financial_fraud_data[[#This Row],[Risk_Score]]&gt;5,"Med","Low"))</f>
        <v>High</v>
      </c>
      <c r="P2357" t="str">
        <f>TEXT(financial_fraud_data[[#This Row],[Transaction_Date]],"MMM")</f>
        <v>Apr</v>
      </c>
      <c r="Q2357" t="str">
        <f>IF(financial_fraud_data[[#This Row],[Is_Fraud]]=1,"Yes","No")</f>
        <v>Yes</v>
      </c>
    </row>
    <row r="2358" spans="1:17" x14ac:dyDescent="0.2">
      <c r="A2358" t="s">
        <v>2888</v>
      </c>
      <c r="B2358" t="s">
        <v>1401</v>
      </c>
      <c r="C2358" s="1">
        <v>45390.166666666664</v>
      </c>
      <c r="D2358">
        <v>45127.54</v>
      </c>
      <c r="E2358" t="s">
        <v>34</v>
      </c>
      <c r="F2358" t="s">
        <v>27</v>
      </c>
      <c r="G2358" t="s">
        <v>18</v>
      </c>
      <c r="H2358" t="s">
        <v>36</v>
      </c>
      <c r="I2358" t="s">
        <v>24</v>
      </c>
      <c r="J2358" t="s">
        <v>37</v>
      </c>
      <c r="K2358">
        <v>0</v>
      </c>
      <c r="L2358">
        <v>3</v>
      </c>
      <c r="M2358">
        <v>10.01</v>
      </c>
      <c r="N2358">
        <v>1</v>
      </c>
      <c r="O2358" t="str">
        <f>IF(financial_fraud_data[[#This Row],[Risk_Score]]&gt;8,"High",IF(financial_fraud_data[[#This Row],[Risk_Score]]&gt;5,"Med","Low"))</f>
        <v>High</v>
      </c>
      <c r="P2358" t="str">
        <f>TEXT(financial_fraud_data[[#This Row],[Transaction_Date]],"MMM")</f>
        <v>Apr</v>
      </c>
      <c r="Q2358" t="str">
        <f>IF(financial_fraud_data[[#This Row],[Is_Fraud]]=1,"Yes","No")</f>
        <v>Yes</v>
      </c>
    </row>
    <row r="2359" spans="1:17" x14ac:dyDescent="0.2">
      <c r="A2359" t="s">
        <v>2889</v>
      </c>
      <c r="B2359" t="s">
        <v>1563</v>
      </c>
      <c r="C2359" s="1">
        <v>45390.208333333336</v>
      </c>
      <c r="D2359">
        <v>3368.87</v>
      </c>
      <c r="E2359" t="s">
        <v>80</v>
      </c>
      <c r="F2359" t="s">
        <v>50</v>
      </c>
      <c r="G2359" t="s">
        <v>65</v>
      </c>
      <c r="H2359" t="s">
        <v>29</v>
      </c>
      <c r="I2359" t="s">
        <v>23</v>
      </c>
      <c r="J2359" t="s">
        <v>37</v>
      </c>
      <c r="K2359">
        <v>0</v>
      </c>
      <c r="L2359">
        <v>2</v>
      </c>
      <c r="M2359">
        <v>4.34</v>
      </c>
      <c r="N2359">
        <v>0</v>
      </c>
      <c r="O2359" t="str">
        <f>IF(financial_fraud_data[[#This Row],[Risk_Score]]&gt;8,"High",IF(financial_fraud_data[[#This Row],[Risk_Score]]&gt;5,"Med","Low"))</f>
        <v>Low</v>
      </c>
      <c r="P2359" t="str">
        <f>TEXT(financial_fraud_data[[#This Row],[Transaction_Date]],"MMM")</f>
        <v>Apr</v>
      </c>
      <c r="Q2359" t="str">
        <f>IF(financial_fraud_data[[#This Row],[Is_Fraud]]=1,"Yes","No")</f>
        <v>No</v>
      </c>
    </row>
    <row r="2360" spans="1:17" x14ac:dyDescent="0.2">
      <c r="A2360" t="s">
        <v>2890</v>
      </c>
      <c r="B2360" t="s">
        <v>154</v>
      </c>
      <c r="C2360" s="1">
        <v>45390.25</v>
      </c>
      <c r="D2360">
        <v>26721.68</v>
      </c>
      <c r="E2360" t="s">
        <v>80</v>
      </c>
      <c r="F2360" t="s">
        <v>17</v>
      </c>
      <c r="G2360" t="s">
        <v>18</v>
      </c>
      <c r="H2360" t="s">
        <v>36</v>
      </c>
      <c r="I2360" t="s">
        <v>29</v>
      </c>
      <c r="J2360" t="s">
        <v>37</v>
      </c>
      <c r="K2360">
        <v>0</v>
      </c>
      <c r="L2360">
        <v>0</v>
      </c>
      <c r="M2360">
        <v>3.67</v>
      </c>
      <c r="N2360">
        <v>0</v>
      </c>
      <c r="O2360" t="str">
        <f>IF(financial_fraud_data[[#This Row],[Risk_Score]]&gt;8,"High",IF(financial_fraud_data[[#This Row],[Risk_Score]]&gt;5,"Med","Low"))</f>
        <v>Low</v>
      </c>
      <c r="P2360" t="str">
        <f>TEXT(financial_fraud_data[[#This Row],[Transaction_Date]],"MMM")</f>
        <v>Apr</v>
      </c>
      <c r="Q2360" t="str">
        <f>IF(financial_fraud_data[[#This Row],[Is_Fraud]]=1,"Yes","No")</f>
        <v>No</v>
      </c>
    </row>
    <row r="2361" spans="1:17" x14ac:dyDescent="0.2">
      <c r="A2361" t="s">
        <v>2891</v>
      </c>
      <c r="B2361" t="s">
        <v>930</v>
      </c>
      <c r="C2361" s="1">
        <v>45390.291666666664</v>
      </c>
      <c r="D2361">
        <v>7149.75</v>
      </c>
      <c r="E2361" t="s">
        <v>16</v>
      </c>
      <c r="F2361" t="s">
        <v>50</v>
      </c>
      <c r="G2361" t="s">
        <v>56</v>
      </c>
      <c r="H2361" t="s">
        <v>24</v>
      </c>
      <c r="I2361" t="s">
        <v>24</v>
      </c>
      <c r="J2361" t="s">
        <v>51</v>
      </c>
      <c r="K2361">
        <v>0</v>
      </c>
      <c r="L2361">
        <v>4</v>
      </c>
      <c r="M2361">
        <v>6.71</v>
      </c>
      <c r="N2361">
        <v>1</v>
      </c>
      <c r="O2361" t="str">
        <f>IF(financial_fraud_data[[#This Row],[Risk_Score]]&gt;8,"High",IF(financial_fraud_data[[#This Row],[Risk_Score]]&gt;5,"Med","Low"))</f>
        <v>Med</v>
      </c>
      <c r="P2361" t="str">
        <f>TEXT(financial_fraud_data[[#This Row],[Transaction_Date]],"MMM")</f>
        <v>Apr</v>
      </c>
      <c r="Q2361" t="str">
        <f>IF(financial_fraud_data[[#This Row],[Is_Fraud]]=1,"Yes","No")</f>
        <v>Yes</v>
      </c>
    </row>
    <row r="2362" spans="1:17" x14ac:dyDescent="0.2">
      <c r="A2362" t="s">
        <v>2892</v>
      </c>
      <c r="B2362" t="s">
        <v>1049</v>
      </c>
      <c r="C2362" s="1">
        <v>45390.333333333336</v>
      </c>
      <c r="D2362">
        <v>634.75</v>
      </c>
      <c r="E2362" t="s">
        <v>16</v>
      </c>
      <c r="F2362" t="s">
        <v>47</v>
      </c>
      <c r="G2362" t="s">
        <v>65</v>
      </c>
      <c r="H2362" t="s">
        <v>19</v>
      </c>
      <c r="I2362" t="s">
        <v>24</v>
      </c>
      <c r="J2362" t="s">
        <v>37</v>
      </c>
      <c r="K2362">
        <v>0</v>
      </c>
      <c r="L2362">
        <v>1</v>
      </c>
      <c r="M2362">
        <v>2.56</v>
      </c>
      <c r="N2362">
        <v>0</v>
      </c>
      <c r="O2362" t="str">
        <f>IF(financial_fraud_data[[#This Row],[Risk_Score]]&gt;8,"High",IF(financial_fraud_data[[#This Row],[Risk_Score]]&gt;5,"Med","Low"))</f>
        <v>Low</v>
      </c>
      <c r="P2362" t="str">
        <f>TEXT(financial_fraud_data[[#This Row],[Transaction_Date]],"MMM")</f>
        <v>Apr</v>
      </c>
      <c r="Q2362" t="str">
        <f>IF(financial_fraud_data[[#This Row],[Is_Fraud]]=1,"Yes","No")</f>
        <v>No</v>
      </c>
    </row>
    <row r="2363" spans="1:17" x14ac:dyDescent="0.2">
      <c r="A2363" t="s">
        <v>2893</v>
      </c>
      <c r="B2363" t="s">
        <v>191</v>
      </c>
      <c r="C2363" s="1">
        <v>45390.375</v>
      </c>
      <c r="D2363">
        <v>21130.61</v>
      </c>
      <c r="E2363" t="s">
        <v>16</v>
      </c>
      <c r="F2363" t="s">
        <v>50</v>
      </c>
      <c r="G2363" t="s">
        <v>18</v>
      </c>
      <c r="H2363" t="s">
        <v>19</v>
      </c>
      <c r="I2363" t="s">
        <v>19</v>
      </c>
      <c r="J2363" t="s">
        <v>51</v>
      </c>
      <c r="K2363">
        <v>0</v>
      </c>
      <c r="L2363">
        <v>3</v>
      </c>
      <c r="M2363">
        <v>6.61</v>
      </c>
      <c r="N2363">
        <v>1</v>
      </c>
      <c r="O2363" t="str">
        <f>IF(financial_fraud_data[[#This Row],[Risk_Score]]&gt;8,"High",IF(financial_fraud_data[[#This Row],[Risk_Score]]&gt;5,"Med","Low"))</f>
        <v>Med</v>
      </c>
      <c r="P2363" t="str">
        <f>TEXT(financial_fraud_data[[#This Row],[Transaction_Date]],"MMM")</f>
        <v>Apr</v>
      </c>
      <c r="Q2363" t="str">
        <f>IF(financial_fraud_data[[#This Row],[Is_Fraud]]=1,"Yes","No")</f>
        <v>Yes</v>
      </c>
    </row>
    <row r="2364" spans="1:17" x14ac:dyDescent="0.2">
      <c r="A2364" t="s">
        <v>2894</v>
      </c>
      <c r="B2364" t="s">
        <v>328</v>
      </c>
      <c r="C2364" s="1">
        <v>45390.416666666664</v>
      </c>
      <c r="D2364">
        <v>14787.28</v>
      </c>
      <c r="E2364" t="s">
        <v>16</v>
      </c>
      <c r="F2364" t="s">
        <v>50</v>
      </c>
      <c r="G2364" t="s">
        <v>56</v>
      </c>
      <c r="H2364" t="s">
        <v>19</v>
      </c>
      <c r="I2364" t="s">
        <v>19</v>
      </c>
      <c r="J2364" t="s">
        <v>37</v>
      </c>
      <c r="K2364">
        <v>0</v>
      </c>
      <c r="L2364">
        <v>0</v>
      </c>
      <c r="M2364">
        <v>1.48</v>
      </c>
      <c r="N2364">
        <v>0</v>
      </c>
      <c r="O2364" t="str">
        <f>IF(financial_fraud_data[[#This Row],[Risk_Score]]&gt;8,"High",IF(financial_fraud_data[[#This Row],[Risk_Score]]&gt;5,"Med","Low"))</f>
        <v>Low</v>
      </c>
      <c r="P2364" t="str">
        <f>TEXT(financial_fraud_data[[#This Row],[Transaction_Date]],"MMM")</f>
        <v>Apr</v>
      </c>
      <c r="Q2364" t="str">
        <f>IF(financial_fraud_data[[#This Row],[Is_Fraud]]=1,"Yes","No")</f>
        <v>No</v>
      </c>
    </row>
    <row r="2365" spans="1:17" x14ac:dyDescent="0.2">
      <c r="A2365" t="s">
        <v>2895</v>
      </c>
      <c r="B2365" t="s">
        <v>807</v>
      </c>
      <c r="C2365" s="1">
        <v>45390.458333333336</v>
      </c>
      <c r="D2365">
        <v>24325.72</v>
      </c>
      <c r="E2365" t="s">
        <v>16</v>
      </c>
      <c r="F2365" t="s">
        <v>50</v>
      </c>
      <c r="G2365" t="s">
        <v>56</v>
      </c>
      <c r="H2365" t="s">
        <v>19</v>
      </c>
      <c r="I2365" t="s">
        <v>36</v>
      </c>
      <c r="J2365" t="s">
        <v>51</v>
      </c>
      <c r="K2365">
        <v>0</v>
      </c>
      <c r="L2365">
        <v>1</v>
      </c>
      <c r="M2365">
        <v>4.93</v>
      </c>
      <c r="N2365">
        <v>0</v>
      </c>
      <c r="O2365" t="str">
        <f>IF(financial_fraud_data[[#This Row],[Risk_Score]]&gt;8,"High",IF(financial_fraud_data[[#This Row],[Risk_Score]]&gt;5,"Med","Low"))</f>
        <v>Low</v>
      </c>
      <c r="P2365" t="str">
        <f>TEXT(financial_fraud_data[[#This Row],[Transaction_Date]],"MMM")</f>
        <v>Apr</v>
      </c>
      <c r="Q2365" t="str">
        <f>IF(financial_fraud_data[[#This Row],[Is_Fraud]]=1,"Yes","No")</f>
        <v>No</v>
      </c>
    </row>
    <row r="2366" spans="1:17" x14ac:dyDescent="0.2">
      <c r="A2366" t="s">
        <v>2896</v>
      </c>
      <c r="B2366" t="s">
        <v>699</v>
      </c>
      <c r="C2366" s="1">
        <v>45390.5</v>
      </c>
      <c r="D2366">
        <v>28881.13</v>
      </c>
      <c r="E2366" t="s">
        <v>42</v>
      </c>
      <c r="F2366" t="s">
        <v>17</v>
      </c>
      <c r="G2366" t="s">
        <v>65</v>
      </c>
      <c r="H2366" t="s">
        <v>23</v>
      </c>
      <c r="I2366" t="s">
        <v>36</v>
      </c>
      <c r="J2366" t="s">
        <v>51</v>
      </c>
      <c r="K2366">
        <v>0</v>
      </c>
      <c r="L2366">
        <v>4</v>
      </c>
      <c r="M2366">
        <v>9.89</v>
      </c>
      <c r="N2366">
        <v>1</v>
      </c>
      <c r="O2366" t="str">
        <f>IF(financial_fraud_data[[#This Row],[Risk_Score]]&gt;8,"High",IF(financial_fraud_data[[#This Row],[Risk_Score]]&gt;5,"Med","Low"))</f>
        <v>High</v>
      </c>
      <c r="P2366" t="str">
        <f>TEXT(financial_fraud_data[[#This Row],[Transaction_Date]],"MMM")</f>
        <v>Apr</v>
      </c>
      <c r="Q2366" t="str">
        <f>IF(financial_fraud_data[[#This Row],[Is_Fraud]]=1,"Yes","No")</f>
        <v>Yes</v>
      </c>
    </row>
    <row r="2367" spans="1:17" x14ac:dyDescent="0.2">
      <c r="A2367" t="s">
        <v>2897</v>
      </c>
      <c r="B2367" t="s">
        <v>146</v>
      </c>
      <c r="C2367" s="1">
        <v>45390.541666666664</v>
      </c>
      <c r="D2367">
        <v>2234.77</v>
      </c>
      <c r="E2367" t="s">
        <v>42</v>
      </c>
      <c r="F2367" t="s">
        <v>47</v>
      </c>
      <c r="G2367" t="s">
        <v>28</v>
      </c>
      <c r="H2367" t="s">
        <v>23</v>
      </c>
      <c r="I2367" t="s">
        <v>19</v>
      </c>
      <c r="J2367" t="s">
        <v>37</v>
      </c>
      <c r="K2367">
        <v>0</v>
      </c>
      <c r="L2367">
        <v>4</v>
      </c>
      <c r="M2367">
        <v>7.22</v>
      </c>
      <c r="N2367">
        <v>1</v>
      </c>
      <c r="O2367" t="str">
        <f>IF(financial_fraud_data[[#This Row],[Risk_Score]]&gt;8,"High",IF(financial_fraud_data[[#This Row],[Risk_Score]]&gt;5,"Med","Low"))</f>
        <v>Med</v>
      </c>
      <c r="P2367" t="str">
        <f>TEXT(financial_fraud_data[[#This Row],[Transaction_Date]],"MMM")</f>
        <v>Apr</v>
      </c>
      <c r="Q2367" t="str">
        <f>IF(financial_fraud_data[[#This Row],[Is_Fraud]]=1,"Yes","No")</f>
        <v>Yes</v>
      </c>
    </row>
    <row r="2368" spans="1:17" x14ac:dyDescent="0.2">
      <c r="A2368" t="s">
        <v>2898</v>
      </c>
      <c r="B2368" t="s">
        <v>944</v>
      </c>
      <c r="C2368" s="1">
        <v>45390.583333333336</v>
      </c>
      <c r="D2368">
        <v>6194.01</v>
      </c>
      <c r="E2368" t="s">
        <v>34</v>
      </c>
      <c r="F2368" t="s">
        <v>50</v>
      </c>
      <c r="G2368" t="s">
        <v>35</v>
      </c>
      <c r="H2368" t="s">
        <v>29</v>
      </c>
      <c r="I2368" t="s">
        <v>29</v>
      </c>
      <c r="J2368" t="s">
        <v>20</v>
      </c>
      <c r="K2368">
        <v>0</v>
      </c>
      <c r="L2368">
        <v>3</v>
      </c>
      <c r="M2368">
        <v>5.12</v>
      </c>
      <c r="N2368">
        <v>1</v>
      </c>
      <c r="O2368" t="str">
        <f>IF(financial_fraud_data[[#This Row],[Risk_Score]]&gt;8,"High",IF(financial_fraud_data[[#This Row],[Risk_Score]]&gt;5,"Med","Low"))</f>
        <v>Med</v>
      </c>
      <c r="P2368" t="str">
        <f>TEXT(financial_fraud_data[[#This Row],[Transaction_Date]],"MMM")</f>
        <v>Apr</v>
      </c>
      <c r="Q2368" t="str">
        <f>IF(financial_fraud_data[[#This Row],[Is_Fraud]]=1,"Yes","No")</f>
        <v>Yes</v>
      </c>
    </row>
    <row r="2369" spans="1:17" x14ac:dyDescent="0.2">
      <c r="A2369" t="s">
        <v>2899</v>
      </c>
      <c r="B2369" t="s">
        <v>304</v>
      </c>
      <c r="C2369" s="1">
        <v>45390.625</v>
      </c>
      <c r="D2369">
        <v>27954.19</v>
      </c>
      <c r="E2369" t="s">
        <v>80</v>
      </c>
      <c r="F2369" t="s">
        <v>17</v>
      </c>
      <c r="G2369" t="s">
        <v>65</v>
      </c>
      <c r="H2369" t="s">
        <v>19</v>
      </c>
      <c r="I2369" t="s">
        <v>36</v>
      </c>
      <c r="J2369" t="s">
        <v>20</v>
      </c>
      <c r="K2369">
        <v>0</v>
      </c>
      <c r="L2369">
        <v>4</v>
      </c>
      <c r="M2369">
        <v>9.8000000000000007</v>
      </c>
      <c r="N2369">
        <v>1</v>
      </c>
      <c r="O2369" t="str">
        <f>IF(financial_fraud_data[[#This Row],[Risk_Score]]&gt;8,"High",IF(financial_fraud_data[[#This Row],[Risk_Score]]&gt;5,"Med","Low"))</f>
        <v>High</v>
      </c>
      <c r="P2369" t="str">
        <f>TEXT(financial_fraud_data[[#This Row],[Transaction_Date]],"MMM")</f>
        <v>Apr</v>
      </c>
      <c r="Q2369" t="str">
        <f>IF(financial_fraud_data[[#This Row],[Is_Fraud]]=1,"Yes","No")</f>
        <v>Yes</v>
      </c>
    </row>
    <row r="2370" spans="1:17" x14ac:dyDescent="0.2">
      <c r="A2370" t="s">
        <v>2900</v>
      </c>
      <c r="B2370" t="s">
        <v>1867</v>
      </c>
      <c r="C2370" s="1">
        <v>45390.666666666664</v>
      </c>
      <c r="D2370">
        <v>17191.21</v>
      </c>
      <c r="E2370" t="s">
        <v>42</v>
      </c>
      <c r="F2370" t="s">
        <v>47</v>
      </c>
      <c r="G2370" t="s">
        <v>56</v>
      </c>
      <c r="H2370" t="s">
        <v>24</v>
      </c>
      <c r="I2370" t="s">
        <v>29</v>
      </c>
      <c r="J2370" t="s">
        <v>20</v>
      </c>
      <c r="K2370">
        <v>0</v>
      </c>
      <c r="L2370">
        <v>4</v>
      </c>
      <c r="M2370">
        <v>8.7200000000000006</v>
      </c>
      <c r="N2370">
        <v>1</v>
      </c>
      <c r="O2370" t="str">
        <f>IF(financial_fraud_data[[#This Row],[Risk_Score]]&gt;8,"High",IF(financial_fraud_data[[#This Row],[Risk_Score]]&gt;5,"Med","Low"))</f>
        <v>High</v>
      </c>
      <c r="P2370" t="str">
        <f>TEXT(financial_fraud_data[[#This Row],[Transaction_Date]],"MMM")</f>
        <v>Apr</v>
      </c>
      <c r="Q2370" t="str">
        <f>IF(financial_fraud_data[[#This Row],[Is_Fraud]]=1,"Yes","No")</f>
        <v>Yes</v>
      </c>
    </row>
    <row r="2371" spans="1:17" x14ac:dyDescent="0.2">
      <c r="A2371" t="s">
        <v>2901</v>
      </c>
      <c r="B2371" t="s">
        <v>359</v>
      </c>
      <c r="C2371" s="1">
        <v>45390.708333333336</v>
      </c>
      <c r="D2371">
        <v>36472.22</v>
      </c>
      <c r="E2371" t="s">
        <v>42</v>
      </c>
      <c r="F2371" t="s">
        <v>27</v>
      </c>
      <c r="G2371" t="s">
        <v>56</v>
      </c>
      <c r="H2371" t="s">
        <v>29</v>
      </c>
      <c r="I2371" t="s">
        <v>19</v>
      </c>
      <c r="J2371" t="s">
        <v>20</v>
      </c>
      <c r="K2371">
        <v>0</v>
      </c>
      <c r="L2371">
        <v>1</v>
      </c>
      <c r="M2371">
        <v>6.15</v>
      </c>
      <c r="N2371">
        <v>1</v>
      </c>
      <c r="O2371" t="str">
        <f>IF(financial_fraud_data[[#This Row],[Risk_Score]]&gt;8,"High",IF(financial_fraud_data[[#This Row],[Risk_Score]]&gt;5,"Med","Low"))</f>
        <v>Med</v>
      </c>
      <c r="P2371" t="str">
        <f>TEXT(financial_fraud_data[[#This Row],[Transaction_Date]],"MMM")</f>
        <v>Apr</v>
      </c>
      <c r="Q2371" t="str">
        <f>IF(financial_fraud_data[[#This Row],[Is_Fraud]]=1,"Yes","No")</f>
        <v>Yes</v>
      </c>
    </row>
    <row r="2372" spans="1:17" x14ac:dyDescent="0.2">
      <c r="A2372" t="s">
        <v>2902</v>
      </c>
      <c r="B2372" t="s">
        <v>289</v>
      </c>
      <c r="C2372" s="1">
        <v>45390.75</v>
      </c>
      <c r="D2372">
        <v>32631.97</v>
      </c>
      <c r="E2372" t="s">
        <v>42</v>
      </c>
      <c r="F2372" t="s">
        <v>50</v>
      </c>
      <c r="G2372" t="s">
        <v>65</v>
      </c>
      <c r="H2372" t="s">
        <v>19</v>
      </c>
      <c r="I2372" t="s">
        <v>36</v>
      </c>
      <c r="J2372" t="s">
        <v>20</v>
      </c>
      <c r="K2372">
        <v>0</v>
      </c>
      <c r="L2372">
        <v>1</v>
      </c>
      <c r="M2372">
        <v>5.76</v>
      </c>
      <c r="N2372">
        <v>1</v>
      </c>
      <c r="O2372" t="str">
        <f>IF(financial_fraud_data[[#This Row],[Risk_Score]]&gt;8,"High",IF(financial_fraud_data[[#This Row],[Risk_Score]]&gt;5,"Med","Low"))</f>
        <v>Med</v>
      </c>
      <c r="P2372" t="str">
        <f>TEXT(financial_fraud_data[[#This Row],[Transaction_Date]],"MMM")</f>
        <v>Apr</v>
      </c>
      <c r="Q2372" t="str">
        <f>IF(financial_fraud_data[[#This Row],[Is_Fraud]]=1,"Yes","No")</f>
        <v>Yes</v>
      </c>
    </row>
    <row r="2373" spans="1:17" x14ac:dyDescent="0.2">
      <c r="A2373" t="s">
        <v>2903</v>
      </c>
      <c r="B2373" t="s">
        <v>289</v>
      </c>
      <c r="C2373" s="1">
        <v>45390.791666666664</v>
      </c>
      <c r="D2373">
        <v>42287.94</v>
      </c>
      <c r="E2373" t="s">
        <v>34</v>
      </c>
      <c r="F2373" t="s">
        <v>47</v>
      </c>
      <c r="G2373" t="s">
        <v>28</v>
      </c>
      <c r="H2373" t="s">
        <v>23</v>
      </c>
      <c r="I2373" t="s">
        <v>24</v>
      </c>
      <c r="J2373" t="s">
        <v>37</v>
      </c>
      <c r="K2373">
        <v>0</v>
      </c>
      <c r="L2373">
        <v>3</v>
      </c>
      <c r="M2373">
        <v>9.73</v>
      </c>
      <c r="N2373">
        <v>1</v>
      </c>
      <c r="O2373" t="str">
        <f>IF(financial_fraud_data[[#This Row],[Risk_Score]]&gt;8,"High",IF(financial_fraud_data[[#This Row],[Risk_Score]]&gt;5,"Med","Low"))</f>
        <v>High</v>
      </c>
      <c r="P2373" t="str">
        <f>TEXT(financial_fraud_data[[#This Row],[Transaction_Date]],"MMM")</f>
        <v>Apr</v>
      </c>
      <c r="Q2373" t="str">
        <f>IF(financial_fraud_data[[#This Row],[Is_Fraud]]=1,"Yes","No")</f>
        <v>Yes</v>
      </c>
    </row>
    <row r="2374" spans="1:17" x14ac:dyDescent="0.2">
      <c r="A2374" t="s">
        <v>2904</v>
      </c>
      <c r="B2374" t="s">
        <v>84</v>
      </c>
      <c r="C2374" s="1">
        <v>45390.833333333336</v>
      </c>
      <c r="D2374">
        <v>34640.019999999997</v>
      </c>
      <c r="E2374" t="s">
        <v>16</v>
      </c>
      <c r="F2374" t="s">
        <v>50</v>
      </c>
      <c r="G2374" t="s">
        <v>35</v>
      </c>
      <c r="H2374" t="s">
        <v>24</v>
      </c>
      <c r="I2374" t="s">
        <v>19</v>
      </c>
      <c r="J2374" t="s">
        <v>37</v>
      </c>
      <c r="K2374">
        <v>0</v>
      </c>
      <c r="L2374">
        <v>0</v>
      </c>
      <c r="M2374">
        <v>4.46</v>
      </c>
      <c r="N2374">
        <v>0</v>
      </c>
      <c r="O2374" t="str">
        <f>IF(financial_fraud_data[[#This Row],[Risk_Score]]&gt;8,"High",IF(financial_fraud_data[[#This Row],[Risk_Score]]&gt;5,"Med","Low"))</f>
        <v>Low</v>
      </c>
      <c r="P2374" t="str">
        <f>TEXT(financial_fraud_data[[#This Row],[Transaction_Date]],"MMM")</f>
        <v>Apr</v>
      </c>
      <c r="Q2374" t="str">
        <f>IF(financial_fraud_data[[#This Row],[Is_Fraud]]=1,"Yes","No")</f>
        <v>No</v>
      </c>
    </row>
    <row r="2375" spans="1:17" x14ac:dyDescent="0.2">
      <c r="A2375" t="s">
        <v>2905</v>
      </c>
      <c r="B2375" t="s">
        <v>532</v>
      </c>
      <c r="C2375" s="1">
        <v>45390.875</v>
      </c>
      <c r="D2375">
        <v>21525.06</v>
      </c>
      <c r="E2375" t="s">
        <v>34</v>
      </c>
      <c r="F2375" t="s">
        <v>27</v>
      </c>
      <c r="G2375" t="s">
        <v>18</v>
      </c>
      <c r="H2375" t="s">
        <v>29</v>
      </c>
      <c r="I2375" t="s">
        <v>36</v>
      </c>
      <c r="J2375" t="s">
        <v>37</v>
      </c>
      <c r="K2375">
        <v>0</v>
      </c>
      <c r="L2375">
        <v>3</v>
      </c>
      <c r="M2375">
        <v>7.65</v>
      </c>
      <c r="N2375">
        <v>1</v>
      </c>
      <c r="O2375" t="str">
        <f>IF(financial_fraud_data[[#This Row],[Risk_Score]]&gt;8,"High",IF(financial_fraud_data[[#This Row],[Risk_Score]]&gt;5,"Med","Low"))</f>
        <v>Med</v>
      </c>
      <c r="P2375" t="str">
        <f>TEXT(financial_fraud_data[[#This Row],[Transaction_Date]],"MMM")</f>
        <v>Apr</v>
      </c>
      <c r="Q2375" t="str">
        <f>IF(financial_fraud_data[[#This Row],[Is_Fraud]]=1,"Yes","No")</f>
        <v>Yes</v>
      </c>
    </row>
    <row r="2376" spans="1:17" x14ac:dyDescent="0.2">
      <c r="A2376" t="s">
        <v>2906</v>
      </c>
      <c r="B2376" t="s">
        <v>941</v>
      </c>
      <c r="C2376" s="1">
        <v>45390.916666666664</v>
      </c>
      <c r="D2376">
        <v>33664.68</v>
      </c>
      <c r="E2376" t="s">
        <v>80</v>
      </c>
      <c r="F2376" t="s">
        <v>47</v>
      </c>
      <c r="G2376" t="s">
        <v>65</v>
      </c>
      <c r="H2376" t="s">
        <v>24</v>
      </c>
      <c r="I2376" t="s">
        <v>29</v>
      </c>
      <c r="J2376" t="s">
        <v>37</v>
      </c>
      <c r="K2376">
        <v>0</v>
      </c>
      <c r="L2376">
        <v>2</v>
      </c>
      <c r="M2376">
        <v>7.37</v>
      </c>
      <c r="N2376">
        <v>1</v>
      </c>
      <c r="O2376" t="str">
        <f>IF(financial_fraud_data[[#This Row],[Risk_Score]]&gt;8,"High",IF(financial_fraud_data[[#This Row],[Risk_Score]]&gt;5,"Med","Low"))</f>
        <v>Med</v>
      </c>
      <c r="P2376" t="str">
        <f>TEXT(financial_fraud_data[[#This Row],[Transaction_Date]],"MMM")</f>
        <v>Apr</v>
      </c>
      <c r="Q2376" t="str">
        <f>IF(financial_fraud_data[[#This Row],[Is_Fraud]]=1,"Yes","No")</f>
        <v>Yes</v>
      </c>
    </row>
    <row r="2377" spans="1:17" x14ac:dyDescent="0.2">
      <c r="A2377" t="s">
        <v>2907</v>
      </c>
      <c r="B2377" t="s">
        <v>1017</v>
      </c>
      <c r="C2377" s="1">
        <v>45390.958333333336</v>
      </c>
      <c r="D2377">
        <v>13805.29</v>
      </c>
      <c r="E2377" t="s">
        <v>80</v>
      </c>
      <c r="F2377" t="s">
        <v>17</v>
      </c>
      <c r="G2377" t="s">
        <v>35</v>
      </c>
      <c r="H2377" t="s">
        <v>19</v>
      </c>
      <c r="I2377" t="s">
        <v>29</v>
      </c>
      <c r="J2377" t="s">
        <v>37</v>
      </c>
      <c r="K2377">
        <v>0</v>
      </c>
      <c r="L2377">
        <v>4</v>
      </c>
      <c r="M2377">
        <v>8.3800000000000008</v>
      </c>
      <c r="N2377">
        <v>1</v>
      </c>
      <c r="O2377" t="str">
        <f>IF(financial_fraud_data[[#This Row],[Risk_Score]]&gt;8,"High",IF(financial_fraud_data[[#This Row],[Risk_Score]]&gt;5,"Med","Low"))</f>
        <v>High</v>
      </c>
      <c r="P2377" t="str">
        <f>TEXT(financial_fraud_data[[#This Row],[Transaction_Date]],"MMM")</f>
        <v>Apr</v>
      </c>
      <c r="Q2377" t="str">
        <f>IF(financial_fraud_data[[#This Row],[Is_Fraud]]=1,"Yes","No")</f>
        <v>Yes</v>
      </c>
    </row>
    <row r="2378" spans="1:17" x14ac:dyDescent="0.2">
      <c r="A2378" t="s">
        <v>2908</v>
      </c>
      <c r="B2378" t="s">
        <v>304</v>
      </c>
      <c r="C2378" s="1">
        <v>45391</v>
      </c>
      <c r="D2378">
        <v>15350.36</v>
      </c>
      <c r="E2378" t="s">
        <v>80</v>
      </c>
      <c r="F2378" t="s">
        <v>47</v>
      </c>
      <c r="G2378" t="s">
        <v>35</v>
      </c>
      <c r="H2378" t="s">
        <v>36</v>
      </c>
      <c r="I2378" t="s">
        <v>36</v>
      </c>
      <c r="J2378" t="s">
        <v>37</v>
      </c>
      <c r="K2378">
        <v>0</v>
      </c>
      <c r="L2378">
        <v>0</v>
      </c>
      <c r="M2378">
        <v>1.54</v>
      </c>
      <c r="N2378">
        <v>0</v>
      </c>
      <c r="O2378" t="str">
        <f>IF(financial_fraud_data[[#This Row],[Risk_Score]]&gt;8,"High",IF(financial_fraud_data[[#This Row],[Risk_Score]]&gt;5,"Med","Low"))</f>
        <v>Low</v>
      </c>
      <c r="P2378" t="str">
        <f>TEXT(financial_fraud_data[[#This Row],[Transaction_Date]],"MMM")</f>
        <v>Apr</v>
      </c>
      <c r="Q2378" t="str">
        <f>IF(financial_fraud_data[[#This Row],[Is_Fraud]]=1,"Yes","No")</f>
        <v>No</v>
      </c>
    </row>
    <row r="2379" spans="1:17" x14ac:dyDescent="0.2">
      <c r="A2379" t="s">
        <v>2909</v>
      </c>
      <c r="B2379" t="s">
        <v>111</v>
      </c>
      <c r="C2379" s="1">
        <v>45391.041666666664</v>
      </c>
      <c r="D2379">
        <v>39459.81</v>
      </c>
      <c r="E2379" t="s">
        <v>80</v>
      </c>
      <c r="F2379" t="s">
        <v>17</v>
      </c>
      <c r="G2379" t="s">
        <v>56</v>
      </c>
      <c r="H2379" t="s">
        <v>24</v>
      </c>
      <c r="I2379" t="s">
        <v>29</v>
      </c>
      <c r="J2379" t="s">
        <v>51</v>
      </c>
      <c r="K2379">
        <v>1</v>
      </c>
      <c r="L2379">
        <v>1</v>
      </c>
      <c r="M2379">
        <v>8.4499999999999993</v>
      </c>
      <c r="N2379">
        <v>1</v>
      </c>
      <c r="O2379" t="str">
        <f>IF(financial_fraud_data[[#This Row],[Risk_Score]]&gt;8,"High",IF(financial_fraud_data[[#This Row],[Risk_Score]]&gt;5,"Med","Low"))</f>
        <v>High</v>
      </c>
      <c r="P2379" t="str">
        <f>TEXT(financial_fraud_data[[#This Row],[Transaction_Date]],"MMM")</f>
        <v>Apr</v>
      </c>
      <c r="Q2379" t="str">
        <f>IF(financial_fraud_data[[#This Row],[Is_Fraud]]=1,"Yes","No")</f>
        <v>Yes</v>
      </c>
    </row>
    <row r="2380" spans="1:17" x14ac:dyDescent="0.2">
      <c r="A2380" t="s">
        <v>2910</v>
      </c>
      <c r="B2380" t="s">
        <v>1243</v>
      </c>
      <c r="C2380" s="1">
        <v>45391.083333333336</v>
      </c>
      <c r="D2380">
        <v>22348.65</v>
      </c>
      <c r="E2380" t="s">
        <v>42</v>
      </c>
      <c r="F2380" t="s">
        <v>47</v>
      </c>
      <c r="G2380" t="s">
        <v>18</v>
      </c>
      <c r="H2380" t="s">
        <v>24</v>
      </c>
      <c r="I2380" t="s">
        <v>36</v>
      </c>
      <c r="J2380" t="s">
        <v>51</v>
      </c>
      <c r="K2380">
        <v>0</v>
      </c>
      <c r="L2380">
        <v>2</v>
      </c>
      <c r="M2380">
        <v>6.23</v>
      </c>
      <c r="N2380">
        <v>1</v>
      </c>
      <c r="O2380" t="str">
        <f>IF(financial_fraud_data[[#This Row],[Risk_Score]]&gt;8,"High",IF(financial_fraud_data[[#This Row],[Risk_Score]]&gt;5,"Med","Low"))</f>
        <v>Med</v>
      </c>
      <c r="P2380" t="str">
        <f>TEXT(financial_fraud_data[[#This Row],[Transaction_Date]],"MMM")</f>
        <v>Apr</v>
      </c>
      <c r="Q2380" t="str">
        <f>IF(financial_fraud_data[[#This Row],[Is_Fraud]]=1,"Yes","No")</f>
        <v>Yes</v>
      </c>
    </row>
    <row r="2381" spans="1:17" x14ac:dyDescent="0.2">
      <c r="A2381" t="s">
        <v>2911</v>
      </c>
      <c r="B2381" t="s">
        <v>645</v>
      </c>
      <c r="C2381" s="1">
        <v>45391.125</v>
      </c>
      <c r="D2381">
        <v>39929.1</v>
      </c>
      <c r="E2381" t="s">
        <v>42</v>
      </c>
      <c r="F2381" t="s">
        <v>17</v>
      </c>
      <c r="G2381" t="s">
        <v>65</v>
      </c>
      <c r="H2381" t="s">
        <v>23</v>
      </c>
      <c r="I2381" t="s">
        <v>36</v>
      </c>
      <c r="J2381" t="s">
        <v>37</v>
      </c>
      <c r="K2381">
        <v>1</v>
      </c>
      <c r="L2381">
        <v>2</v>
      </c>
      <c r="M2381">
        <v>9.99</v>
      </c>
      <c r="N2381">
        <v>1</v>
      </c>
      <c r="O2381" t="str">
        <f>IF(financial_fraud_data[[#This Row],[Risk_Score]]&gt;8,"High",IF(financial_fraud_data[[#This Row],[Risk_Score]]&gt;5,"Med","Low"))</f>
        <v>High</v>
      </c>
      <c r="P2381" t="str">
        <f>TEXT(financial_fraud_data[[#This Row],[Transaction_Date]],"MMM")</f>
        <v>Apr</v>
      </c>
      <c r="Q2381" t="str">
        <f>IF(financial_fraud_data[[#This Row],[Is_Fraud]]=1,"Yes","No")</f>
        <v>Yes</v>
      </c>
    </row>
    <row r="2382" spans="1:17" x14ac:dyDescent="0.2">
      <c r="A2382" t="s">
        <v>2912</v>
      </c>
      <c r="B2382" t="s">
        <v>1077</v>
      </c>
      <c r="C2382" s="1">
        <v>45391.166666666664</v>
      </c>
      <c r="D2382">
        <v>41130</v>
      </c>
      <c r="E2382" t="s">
        <v>34</v>
      </c>
      <c r="F2382" t="s">
        <v>27</v>
      </c>
      <c r="G2382" t="s">
        <v>56</v>
      </c>
      <c r="H2382" t="s">
        <v>19</v>
      </c>
      <c r="I2382" t="s">
        <v>29</v>
      </c>
      <c r="J2382" t="s">
        <v>37</v>
      </c>
      <c r="K2382">
        <v>0</v>
      </c>
      <c r="L2382">
        <v>4</v>
      </c>
      <c r="M2382">
        <v>11.11</v>
      </c>
      <c r="N2382">
        <v>1</v>
      </c>
      <c r="O2382" t="str">
        <f>IF(financial_fraud_data[[#This Row],[Risk_Score]]&gt;8,"High",IF(financial_fraud_data[[#This Row],[Risk_Score]]&gt;5,"Med","Low"))</f>
        <v>High</v>
      </c>
      <c r="P2382" t="str">
        <f>TEXT(financial_fraud_data[[#This Row],[Transaction_Date]],"MMM")</f>
        <v>Apr</v>
      </c>
      <c r="Q2382" t="str">
        <f>IF(financial_fraud_data[[#This Row],[Is_Fraud]]=1,"Yes","No")</f>
        <v>Yes</v>
      </c>
    </row>
    <row r="2383" spans="1:17" x14ac:dyDescent="0.2">
      <c r="A2383" t="s">
        <v>2913</v>
      </c>
      <c r="B2383" t="s">
        <v>319</v>
      </c>
      <c r="C2383" s="1">
        <v>45391.208333333336</v>
      </c>
      <c r="D2383">
        <v>42885.24</v>
      </c>
      <c r="E2383" t="s">
        <v>16</v>
      </c>
      <c r="F2383" t="s">
        <v>27</v>
      </c>
      <c r="G2383" t="s">
        <v>56</v>
      </c>
      <c r="H2383" t="s">
        <v>24</v>
      </c>
      <c r="I2383" t="s">
        <v>23</v>
      </c>
      <c r="J2383" t="s">
        <v>51</v>
      </c>
      <c r="K2383">
        <v>0</v>
      </c>
      <c r="L2383">
        <v>1</v>
      </c>
      <c r="M2383">
        <v>6.79</v>
      </c>
      <c r="N2383">
        <v>1</v>
      </c>
      <c r="O2383" t="str">
        <f>IF(financial_fraud_data[[#This Row],[Risk_Score]]&gt;8,"High",IF(financial_fraud_data[[#This Row],[Risk_Score]]&gt;5,"Med","Low"))</f>
        <v>Med</v>
      </c>
      <c r="P2383" t="str">
        <f>TEXT(financial_fraud_data[[#This Row],[Transaction_Date]],"MMM")</f>
        <v>Apr</v>
      </c>
      <c r="Q2383" t="str">
        <f>IF(financial_fraud_data[[#This Row],[Is_Fraud]]=1,"Yes","No")</f>
        <v>Yes</v>
      </c>
    </row>
    <row r="2384" spans="1:17" x14ac:dyDescent="0.2">
      <c r="A2384" t="s">
        <v>2914</v>
      </c>
      <c r="B2384" t="s">
        <v>674</v>
      </c>
      <c r="C2384" s="1">
        <v>45391.25</v>
      </c>
      <c r="D2384">
        <v>45835.93</v>
      </c>
      <c r="E2384" t="s">
        <v>80</v>
      </c>
      <c r="F2384" t="s">
        <v>27</v>
      </c>
      <c r="G2384" t="s">
        <v>28</v>
      </c>
      <c r="H2384" t="s">
        <v>19</v>
      </c>
      <c r="I2384" t="s">
        <v>24</v>
      </c>
      <c r="J2384" t="s">
        <v>51</v>
      </c>
      <c r="K2384">
        <v>0</v>
      </c>
      <c r="L2384">
        <v>0</v>
      </c>
      <c r="M2384">
        <v>5.58</v>
      </c>
      <c r="N2384">
        <v>1</v>
      </c>
      <c r="O2384" t="str">
        <f>IF(financial_fraud_data[[#This Row],[Risk_Score]]&gt;8,"High",IF(financial_fraud_data[[#This Row],[Risk_Score]]&gt;5,"Med","Low"))</f>
        <v>Med</v>
      </c>
      <c r="P2384" t="str">
        <f>TEXT(financial_fraud_data[[#This Row],[Transaction_Date]],"MMM")</f>
        <v>Apr</v>
      </c>
      <c r="Q2384" t="str">
        <f>IF(financial_fraud_data[[#This Row],[Is_Fraud]]=1,"Yes","No")</f>
        <v>Yes</v>
      </c>
    </row>
    <row r="2385" spans="1:17" x14ac:dyDescent="0.2">
      <c r="A2385" t="s">
        <v>2915</v>
      </c>
      <c r="B2385" t="s">
        <v>446</v>
      </c>
      <c r="C2385" s="1">
        <v>45391.291666666664</v>
      </c>
      <c r="D2385">
        <v>21577.71</v>
      </c>
      <c r="E2385" t="s">
        <v>34</v>
      </c>
      <c r="F2385" t="s">
        <v>47</v>
      </c>
      <c r="G2385" t="s">
        <v>35</v>
      </c>
      <c r="H2385" t="s">
        <v>23</v>
      </c>
      <c r="I2385" t="s">
        <v>19</v>
      </c>
      <c r="J2385" t="s">
        <v>37</v>
      </c>
      <c r="K2385">
        <v>0</v>
      </c>
      <c r="L2385">
        <v>1</v>
      </c>
      <c r="M2385">
        <v>4.66</v>
      </c>
      <c r="N2385">
        <v>0</v>
      </c>
      <c r="O2385" t="str">
        <f>IF(financial_fraud_data[[#This Row],[Risk_Score]]&gt;8,"High",IF(financial_fraud_data[[#This Row],[Risk_Score]]&gt;5,"Med","Low"))</f>
        <v>Low</v>
      </c>
      <c r="P2385" t="str">
        <f>TEXT(financial_fraud_data[[#This Row],[Transaction_Date]],"MMM")</f>
        <v>Apr</v>
      </c>
      <c r="Q2385" t="str">
        <f>IF(financial_fraud_data[[#This Row],[Is_Fraud]]=1,"Yes","No")</f>
        <v>No</v>
      </c>
    </row>
    <row r="2386" spans="1:17" x14ac:dyDescent="0.2">
      <c r="A2386" t="s">
        <v>2916</v>
      </c>
      <c r="B2386" t="s">
        <v>1191</v>
      </c>
      <c r="C2386" s="1">
        <v>45391.333333333336</v>
      </c>
      <c r="D2386">
        <v>15977.4</v>
      </c>
      <c r="E2386" t="s">
        <v>42</v>
      </c>
      <c r="F2386" t="s">
        <v>27</v>
      </c>
      <c r="G2386" t="s">
        <v>65</v>
      </c>
      <c r="H2386" t="s">
        <v>19</v>
      </c>
      <c r="I2386" t="s">
        <v>24</v>
      </c>
      <c r="J2386" t="s">
        <v>51</v>
      </c>
      <c r="K2386">
        <v>0</v>
      </c>
      <c r="L2386">
        <v>4</v>
      </c>
      <c r="M2386">
        <v>8.6</v>
      </c>
      <c r="N2386">
        <v>1</v>
      </c>
      <c r="O2386" t="str">
        <f>IF(financial_fraud_data[[#This Row],[Risk_Score]]&gt;8,"High",IF(financial_fraud_data[[#This Row],[Risk_Score]]&gt;5,"Med","Low"))</f>
        <v>High</v>
      </c>
      <c r="P2386" t="str">
        <f>TEXT(financial_fraud_data[[#This Row],[Transaction_Date]],"MMM")</f>
        <v>Apr</v>
      </c>
      <c r="Q2386" t="str">
        <f>IF(financial_fraud_data[[#This Row],[Is_Fraud]]=1,"Yes","No")</f>
        <v>Yes</v>
      </c>
    </row>
    <row r="2387" spans="1:17" x14ac:dyDescent="0.2">
      <c r="A2387" t="s">
        <v>2917</v>
      </c>
      <c r="B2387" t="s">
        <v>1766</v>
      </c>
      <c r="C2387" s="1">
        <v>45391.375</v>
      </c>
      <c r="D2387">
        <v>29130.83</v>
      </c>
      <c r="E2387" t="s">
        <v>42</v>
      </c>
      <c r="F2387" t="s">
        <v>50</v>
      </c>
      <c r="G2387" t="s">
        <v>65</v>
      </c>
      <c r="H2387" t="s">
        <v>23</v>
      </c>
      <c r="I2387" t="s">
        <v>19</v>
      </c>
      <c r="J2387" t="s">
        <v>20</v>
      </c>
      <c r="K2387">
        <v>0</v>
      </c>
      <c r="L2387">
        <v>2</v>
      </c>
      <c r="M2387">
        <v>6.91</v>
      </c>
      <c r="N2387">
        <v>1</v>
      </c>
      <c r="O2387" t="str">
        <f>IF(financial_fraud_data[[#This Row],[Risk_Score]]&gt;8,"High",IF(financial_fraud_data[[#This Row],[Risk_Score]]&gt;5,"Med","Low"))</f>
        <v>Med</v>
      </c>
      <c r="P2387" t="str">
        <f>TEXT(financial_fraud_data[[#This Row],[Transaction_Date]],"MMM")</f>
        <v>Apr</v>
      </c>
      <c r="Q2387" t="str">
        <f>IF(financial_fraud_data[[#This Row],[Is_Fraud]]=1,"Yes","No")</f>
        <v>Yes</v>
      </c>
    </row>
    <row r="2388" spans="1:17" x14ac:dyDescent="0.2">
      <c r="A2388" t="s">
        <v>2918</v>
      </c>
      <c r="B2388" t="s">
        <v>904</v>
      </c>
      <c r="C2388" s="1">
        <v>45391.416666666664</v>
      </c>
      <c r="D2388">
        <v>18590.060000000001</v>
      </c>
      <c r="E2388" t="s">
        <v>16</v>
      </c>
      <c r="F2388" t="s">
        <v>27</v>
      </c>
      <c r="G2388" t="s">
        <v>65</v>
      </c>
      <c r="H2388" t="s">
        <v>23</v>
      </c>
      <c r="I2388" t="s">
        <v>19</v>
      </c>
      <c r="J2388" t="s">
        <v>20</v>
      </c>
      <c r="K2388">
        <v>0</v>
      </c>
      <c r="L2388">
        <v>4</v>
      </c>
      <c r="M2388">
        <v>8.86</v>
      </c>
      <c r="N2388">
        <v>1</v>
      </c>
      <c r="O2388" t="str">
        <f>IF(financial_fraud_data[[#This Row],[Risk_Score]]&gt;8,"High",IF(financial_fraud_data[[#This Row],[Risk_Score]]&gt;5,"Med","Low"))</f>
        <v>High</v>
      </c>
      <c r="P2388" t="str">
        <f>TEXT(financial_fraud_data[[#This Row],[Transaction_Date]],"MMM")</f>
        <v>Apr</v>
      </c>
      <c r="Q2388" t="str">
        <f>IF(financial_fraud_data[[#This Row],[Is_Fraud]]=1,"Yes","No")</f>
        <v>Yes</v>
      </c>
    </row>
    <row r="2389" spans="1:17" x14ac:dyDescent="0.2">
      <c r="A2389" t="s">
        <v>2919</v>
      </c>
      <c r="B2389" t="s">
        <v>2642</v>
      </c>
      <c r="C2389" s="1">
        <v>45391.458333333336</v>
      </c>
      <c r="D2389">
        <v>30073.65</v>
      </c>
      <c r="E2389" t="s">
        <v>16</v>
      </c>
      <c r="F2389" t="s">
        <v>17</v>
      </c>
      <c r="G2389" t="s">
        <v>56</v>
      </c>
      <c r="H2389" t="s">
        <v>29</v>
      </c>
      <c r="I2389" t="s">
        <v>24</v>
      </c>
      <c r="J2389" t="s">
        <v>20</v>
      </c>
      <c r="K2389">
        <v>0</v>
      </c>
      <c r="L2389">
        <v>3</v>
      </c>
      <c r="M2389">
        <v>8.51</v>
      </c>
      <c r="N2389">
        <v>1</v>
      </c>
      <c r="O2389" t="str">
        <f>IF(financial_fraud_data[[#This Row],[Risk_Score]]&gt;8,"High",IF(financial_fraud_data[[#This Row],[Risk_Score]]&gt;5,"Med","Low"))</f>
        <v>High</v>
      </c>
      <c r="P2389" t="str">
        <f>TEXT(financial_fraud_data[[#This Row],[Transaction_Date]],"MMM")</f>
        <v>Apr</v>
      </c>
      <c r="Q2389" t="str">
        <f>IF(financial_fraud_data[[#This Row],[Is_Fraud]]=1,"Yes","No")</f>
        <v>Yes</v>
      </c>
    </row>
    <row r="2390" spans="1:17" x14ac:dyDescent="0.2">
      <c r="A2390" t="s">
        <v>2920</v>
      </c>
      <c r="B2390" t="s">
        <v>274</v>
      </c>
      <c r="C2390" s="1">
        <v>45391.5</v>
      </c>
      <c r="D2390">
        <v>35294.01</v>
      </c>
      <c r="E2390" t="s">
        <v>16</v>
      </c>
      <c r="F2390" t="s">
        <v>17</v>
      </c>
      <c r="G2390" t="s">
        <v>28</v>
      </c>
      <c r="H2390" t="s">
        <v>19</v>
      </c>
      <c r="I2390" t="s">
        <v>36</v>
      </c>
      <c r="J2390" t="s">
        <v>51</v>
      </c>
      <c r="K2390">
        <v>0</v>
      </c>
      <c r="L2390">
        <v>2</v>
      </c>
      <c r="M2390">
        <v>7.53</v>
      </c>
      <c r="N2390">
        <v>1</v>
      </c>
      <c r="O2390" t="str">
        <f>IF(financial_fraud_data[[#This Row],[Risk_Score]]&gt;8,"High",IF(financial_fraud_data[[#This Row],[Risk_Score]]&gt;5,"Med","Low"))</f>
        <v>Med</v>
      </c>
      <c r="P2390" t="str">
        <f>TEXT(financial_fraud_data[[#This Row],[Transaction_Date]],"MMM")</f>
        <v>Apr</v>
      </c>
      <c r="Q2390" t="str">
        <f>IF(financial_fraud_data[[#This Row],[Is_Fraud]]=1,"Yes","No")</f>
        <v>Yes</v>
      </c>
    </row>
    <row r="2391" spans="1:17" x14ac:dyDescent="0.2">
      <c r="A2391" t="s">
        <v>2921</v>
      </c>
      <c r="B2391" t="s">
        <v>150</v>
      </c>
      <c r="C2391" s="1">
        <v>45391.541666666664</v>
      </c>
      <c r="D2391">
        <v>34435.83</v>
      </c>
      <c r="E2391" t="s">
        <v>34</v>
      </c>
      <c r="F2391" t="s">
        <v>17</v>
      </c>
      <c r="G2391" t="s">
        <v>18</v>
      </c>
      <c r="H2391" t="s">
        <v>36</v>
      </c>
      <c r="I2391" t="s">
        <v>29</v>
      </c>
      <c r="J2391" t="s">
        <v>37</v>
      </c>
      <c r="K2391">
        <v>0</v>
      </c>
      <c r="L2391">
        <v>4</v>
      </c>
      <c r="M2391">
        <v>10.44</v>
      </c>
      <c r="N2391">
        <v>1</v>
      </c>
      <c r="O2391" t="str">
        <f>IF(financial_fraud_data[[#This Row],[Risk_Score]]&gt;8,"High",IF(financial_fraud_data[[#This Row],[Risk_Score]]&gt;5,"Med","Low"))</f>
        <v>High</v>
      </c>
      <c r="P2391" t="str">
        <f>TEXT(financial_fraud_data[[#This Row],[Transaction_Date]],"MMM")</f>
        <v>Apr</v>
      </c>
      <c r="Q2391" t="str">
        <f>IF(financial_fraud_data[[#This Row],[Is_Fraud]]=1,"Yes","No")</f>
        <v>Yes</v>
      </c>
    </row>
    <row r="2392" spans="1:17" x14ac:dyDescent="0.2">
      <c r="A2392" t="s">
        <v>2922</v>
      </c>
      <c r="B2392" t="s">
        <v>593</v>
      </c>
      <c r="C2392" s="1">
        <v>45391.583333333336</v>
      </c>
      <c r="D2392">
        <v>18758.919999999998</v>
      </c>
      <c r="E2392" t="s">
        <v>42</v>
      </c>
      <c r="F2392" t="s">
        <v>47</v>
      </c>
      <c r="G2392" t="s">
        <v>56</v>
      </c>
      <c r="H2392" t="s">
        <v>29</v>
      </c>
      <c r="I2392" t="s">
        <v>23</v>
      </c>
      <c r="J2392" t="s">
        <v>37</v>
      </c>
      <c r="K2392">
        <v>1</v>
      </c>
      <c r="L2392">
        <v>0</v>
      </c>
      <c r="M2392">
        <v>4.88</v>
      </c>
      <c r="N2392">
        <v>0</v>
      </c>
      <c r="O2392" t="str">
        <f>IF(financial_fraud_data[[#This Row],[Risk_Score]]&gt;8,"High",IF(financial_fraud_data[[#This Row],[Risk_Score]]&gt;5,"Med","Low"))</f>
        <v>Low</v>
      </c>
      <c r="P2392" t="str">
        <f>TEXT(financial_fraud_data[[#This Row],[Transaction_Date]],"MMM")</f>
        <v>Apr</v>
      </c>
      <c r="Q2392" t="str">
        <f>IF(financial_fraud_data[[#This Row],[Is_Fraud]]=1,"Yes","No")</f>
        <v>No</v>
      </c>
    </row>
    <row r="2393" spans="1:17" x14ac:dyDescent="0.2">
      <c r="A2393" t="s">
        <v>2923</v>
      </c>
      <c r="B2393" t="s">
        <v>2685</v>
      </c>
      <c r="C2393" s="1">
        <v>45391.625</v>
      </c>
      <c r="D2393">
        <v>8384.67</v>
      </c>
      <c r="E2393" t="s">
        <v>42</v>
      </c>
      <c r="F2393" t="s">
        <v>50</v>
      </c>
      <c r="G2393" t="s">
        <v>18</v>
      </c>
      <c r="H2393" t="s">
        <v>23</v>
      </c>
      <c r="I2393" t="s">
        <v>23</v>
      </c>
      <c r="J2393" t="s">
        <v>37</v>
      </c>
      <c r="K2393">
        <v>0</v>
      </c>
      <c r="L2393">
        <v>0</v>
      </c>
      <c r="M2393">
        <v>0.84</v>
      </c>
      <c r="N2393">
        <v>0</v>
      </c>
      <c r="O2393" t="str">
        <f>IF(financial_fraud_data[[#This Row],[Risk_Score]]&gt;8,"High",IF(financial_fraud_data[[#This Row],[Risk_Score]]&gt;5,"Med","Low"))</f>
        <v>Low</v>
      </c>
      <c r="P2393" t="str">
        <f>TEXT(financial_fraud_data[[#This Row],[Transaction_Date]],"MMM")</f>
        <v>Apr</v>
      </c>
      <c r="Q2393" t="str">
        <f>IF(financial_fraud_data[[#This Row],[Is_Fraud]]=1,"Yes","No")</f>
        <v>No</v>
      </c>
    </row>
    <row r="2394" spans="1:17" x14ac:dyDescent="0.2">
      <c r="A2394" t="s">
        <v>2924</v>
      </c>
      <c r="B2394" t="s">
        <v>117</v>
      </c>
      <c r="C2394" s="1">
        <v>45391.666666666664</v>
      </c>
      <c r="D2394">
        <v>21554.94</v>
      </c>
      <c r="E2394" t="s">
        <v>16</v>
      </c>
      <c r="F2394" t="s">
        <v>27</v>
      </c>
      <c r="G2394" t="s">
        <v>28</v>
      </c>
      <c r="H2394" t="s">
        <v>36</v>
      </c>
      <c r="I2394" t="s">
        <v>23</v>
      </c>
      <c r="J2394" t="s">
        <v>51</v>
      </c>
      <c r="K2394">
        <v>0</v>
      </c>
      <c r="L2394">
        <v>0</v>
      </c>
      <c r="M2394">
        <v>3.16</v>
      </c>
      <c r="N2394">
        <v>0</v>
      </c>
      <c r="O2394" t="str">
        <f>IF(financial_fraud_data[[#This Row],[Risk_Score]]&gt;8,"High",IF(financial_fraud_data[[#This Row],[Risk_Score]]&gt;5,"Med","Low"))</f>
        <v>Low</v>
      </c>
      <c r="P2394" t="str">
        <f>TEXT(financial_fraud_data[[#This Row],[Transaction_Date]],"MMM")</f>
        <v>Apr</v>
      </c>
      <c r="Q2394" t="str">
        <f>IF(financial_fraud_data[[#This Row],[Is_Fraud]]=1,"Yes","No")</f>
        <v>No</v>
      </c>
    </row>
    <row r="2395" spans="1:17" x14ac:dyDescent="0.2">
      <c r="A2395" t="s">
        <v>2925</v>
      </c>
      <c r="B2395" t="s">
        <v>1101</v>
      </c>
      <c r="C2395" s="1">
        <v>45391.708333333336</v>
      </c>
      <c r="D2395">
        <v>7172.58</v>
      </c>
      <c r="E2395" t="s">
        <v>80</v>
      </c>
      <c r="F2395" t="s">
        <v>50</v>
      </c>
      <c r="G2395" t="s">
        <v>35</v>
      </c>
      <c r="H2395" t="s">
        <v>24</v>
      </c>
      <c r="I2395" t="s">
        <v>24</v>
      </c>
      <c r="J2395" t="s">
        <v>51</v>
      </c>
      <c r="K2395">
        <v>0</v>
      </c>
      <c r="L2395">
        <v>3</v>
      </c>
      <c r="M2395">
        <v>5.22</v>
      </c>
      <c r="N2395">
        <v>1</v>
      </c>
      <c r="O2395" t="str">
        <f>IF(financial_fraud_data[[#This Row],[Risk_Score]]&gt;8,"High",IF(financial_fraud_data[[#This Row],[Risk_Score]]&gt;5,"Med","Low"))</f>
        <v>Med</v>
      </c>
      <c r="P2395" t="str">
        <f>TEXT(financial_fraud_data[[#This Row],[Transaction_Date]],"MMM")</f>
        <v>Apr</v>
      </c>
      <c r="Q2395" t="str">
        <f>IF(financial_fraud_data[[#This Row],[Is_Fraud]]=1,"Yes","No")</f>
        <v>Yes</v>
      </c>
    </row>
    <row r="2396" spans="1:17" x14ac:dyDescent="0.2">
      <c r="A2396" t="s">
        <v>2926</v>
      </c>
      <c r="B2396" t="s">
        <v>58</v>
      </c>
      <c r="C2396" s="1">
        <v>45391.75</v>
      </c>
      <c r="D2396">
        <v>44510.35</v>
      </c>
      <c r="E2396" t="s">
        <v>16</v>
      </c>
      <c r="F2396" t="s">
        <v>50</v>
      </c>
      <c r="G2396" t="s">
        <v>65</v>
      </c>
      <c r="H2396" t="s">
        <v>24</v>
      </c>
      <c r="I2396" t="s">
        <v>24</v>
      </c>
      <c r="J2396" t="s">
        <v>20</v>
      </c>
      <c r="K2396">
        <v>0</v>
      </c>
      <c r="L2396">
        <v>1</v>
      </c>
      <c r="M2396">
        <v>5.95</v>
      </c>
      <c r="N2396">
        <v>1</v>
      </c>
      <c r="O2396" t="str">
        <f>IF(financial_fraud_data[[#This Row],[Risk_Score]]&gt;8,"High",IF(financial_fraud_data[[#This Row],[Risk_Score]]&gt;5,"Med","Low"))</f>
        <v>Med</v>
      </c>
      <c r="P2396" t="str">
        <f>TEXT(financial_fraud_data[[#This Row],[Transaction_Date]],"MMM")</f>
        <v>Apr</v>
      </c>
      <c r="Q2396" t="str">
        <f>IF(financial_fraud_data[[#This Row],[Is_Fraud]]=1,"Yes","No")</f>
        <v>Yes</v>
      </c>
    </row>
    <row r="2397" spans="1:17" x14ac:dyDescent="0.2">
      <c r="A2397" t="s">
        <v>2927</v>
      </c>
      <c r="B2397" t="s">
        <v>623</v>
      </c>
      <c r="C2397" s="1">
        <v>45391.791666666664</v>
      </c>
      <c r="D2397">
        <v>17326.580000000002</v>
      </c>
      <c r="E2397" t="s">
        <v>34</v>
      </c>
      <c r="F2397" t="s">
        <v>17</v>
      </c>
      <c r="G2397" t="s">
        <v>18</v>
      </c>
      <c r="H2397" t="s">
        <v>29</v>
      </c>
      <c r="I2397" t="s">
        <v>36</v>
      </c>
      <c r="J2397" t="s">
        <v>51</v>
      </c>
      <c r="K2397">
        <v>0</v>
      </c>
      <c r="L2397">
        <v>0</v>
      </c>
      <c r="M2397">
        <v>2.73</v>
      </c>
      <c r="N2397">
        <v>0</v>
      </c>
      <c r="O2397" t="str">
        <f>IF(financial_fraud_data[[#This Row],[Risk_Score]]&gt;8,"High",IF(financial_fraud_data[[#This Row],[Risk_Score]]&gt;5,"Med","Low"))</f>
        <v>Low</v>
      </c>
      <c r="P2397" t="str">
        <f>TEXT(financial_fraud_data[[#This Row],[Transaction_Date]],"MMM")</f>
        <v>Apr</v>
      </c>
      <c r="Q2397" t="str">
        <f>IF(financial_fraud_data[[#This Row],[Is_Fraud]]=1,"Yes","No")</f>
        <v>No</v>
      </c>
    </row>
    <row r="2398" spans="1:17" x14ac:dyDescent="0.2">
      <c r="A2398" t="s">
        <v>2928</v>
      </c>
      <c r="B2398" t="s">
        <v>477</v>
      </c>
      <c r="C2398" s="1">
        <v>45391.833333333336</v>
      </c>
      <c r="D2398">
        <v>7765.26</v>
      </c>
      <c r="E2398" t="s">
        <v>16</v>
      </c>
      <c r="F2398" t="s">
        <v>17</v>
      </c>
      <c r="G2398" t="s">
        <v>56</v>
      </c>
      <c r="H2398" t="s">
        <v>36</v>
      </c>
      <c r="I2398" t="s">
        <v>23</v>
      </c>
      <c r="J2398" t="s">
        <v>20</v>
      </c>
      <c r="K2398">
        <v>1</v>
      </c>
      <c r="L2398">
        <v>3</v>
      </c>
      <c r="M2398">
        <v>8.2799999999999994</v>
      </c>
      <c r="N2398">
        <v>1</v>
      </c>
      <c r="O2398" t="str">
        <f>IF(financial_fraud_data[[#This Row],[Risk_Score]]&gt;8,"High",IF(financial_fraud_data[[#This Row],[Risk_Score]]&gt;5,"Med","Low"))</f>
        <v>High</v>
      </c>
      <c r="P2398" t="str">
        <f>TEXT(financial_fraud_data[[#This Row],[Transaction_Date]],"MMM")</f>
        <v>Apr</v>
      </c>
      <c r="Q2398" t="str">
        <f>IF(financial_fraud_data[[#This Row],[Is_Fraud]]=1,"Yes","No")</f>
        <v>Yes</v>
      </c>
    </row>
    <row r="2399" spans="1:17" x14ac:dyDescent="0.2">
      <c r="A2399" t="s">
        <v>2929</v>
      </c>
      <c r="B2399" t="s">
        <v>1011</v>
      </c>
      <c r="C2399" s="1">
        <v>45391.875</v>
      </c>
      <c r="D2399">
        <v>1321.12</v>
      </c>
      <c r="E2399" t="s">
        <v>16</v>
      </c>
      <c r="F2399" t="s">
        <v>17</v>
      </c>
      <c r="G2399" t="s">
        <v>18</v>
      </c>
      <c r="H2399" t="s">
        <v>19</v>
      </c>
      <c r="I2399" t="s">
        <v>36</v>
      </c>
      <c r="J2399" t="s">
        <v>20</v>
      </c>
      <c r="K2399">
        <v>0</v>
      </c>
      <c r="L2399">
        <v>0</v>
      </c>
      <c r="M2399">
        <v>1.1299999999999999</v>
      </c>
      <c r="N2399">
        <v>0</v>
      </c>
      <c r="O2399" t="str">
        <f>IF(financial_fraud_data[[#This Row],[Risk_Score]]&gt;8,"High",IF(financial_fraud_data[[#This Row],[Risk_Score]]&gt;5,"Med","Low"))</f>
        <v>Low</v>
      </c>
      <c r="P2399" t="str">
        <f>TEXT(financial_fraud_data[[#This Row],[Transaction_Date]],"MMM")</f>
        <v>Apr</v>
      </c>
      <c r="Q2399" t="str">
        <f>IF(financial_fraud_data[[#This Row],[Is_Fraud]]=1,"Yes","No")</f>
        <v>No</v>
      </c>
    </row>
    <row r="2400" spans="1:17" x14ac:dyDescent="0.2">
      <c r="A2400" t="s">
        <v>2930</v>
      </c>
      <c r="B2400" t="s">
        <v>347</v>
      </c>
      <c r="C2400" s="1">
        <v>45391.916666666664</v>
      </c>
      <c r="D2400">
        <v>32308.83</v>
      </c>
      <c r="E2400" t="s">
        <v>34</v>
      </c>
      <c r="F2400" t="s">
        <v>47</v>
      </c>
      <c r="G2400" t="s">
        <v>35</v>
      </c>
      <c r="H2400" t="s">
        <v>36</v>
      </c>
      <c r="I2400" t="s">
        <v>23</v>
      </c>
      <c r="J2400" t="s">
        <v>37</v>
      </c>
      <c r="K2400">
        <v>1</v>
      </c>
      <c r="L2400">
        <v>3</v>
      </c>
      <c r="M2400">
        <v>10.73</v>
      </c>
      <c r="N2400">
        <v>1</v>
      </c>
      <c r="O2400" t="str">
        <f>IF(financial_fraud_data[[#This Row],[Risk_Score]]&gt;8,"High",IF(financial_fraud_data[[#This Row],[Risk_Score]]&gt;5,"Med","Low"))</f>
        <v>High</v>
      </c>
      <c r="P2400" t="str">
        <f>TEXT(financial_fraud_data[[#This Row],[Transaction_Date]],"MMM")</f>
        <v>Apr</v>
      </c>
      <c r="Q2400" t="str">
        <f>IF(financial_fraud_data[[#This Row],[Is_Fraud]]=1,"Yes","No")</f>
        <v>Yes</v>
      </c>
    </row>
    <row r="2401" spans="1:17" x14ac:dyDescent="0.2">
      <c r="A2401" t="s">
        <v>2931</v>
      </c>
      <c r="B2401" t="s">
        <v>1017</v>
      </c>
      <c r="C2401" s="1">
        <v>45391.958333333336</v>
      </c>
      <c r="D2401">
        <v>31863.27</v>
      </c>
      <c r="E2401" t="s">
        <v>16</v>
      </c>
      <c r="F2401" t="s">
        <v>50</v>
      </c>
      <c r="G2401" t="s">
        <v>65</v>
      </c>
      <c r="H2401" t="s">
        <v>29</v>
      </c>
      <c r="I2401" t="s">
        <v>24</v>
      </c>
      <c r="J2401" t="s">
        <v>51</v>
      </c>
      <c r="K2401">
        <v>0</v>
      </c>
      <c r="L2401">
        <v>0</v>
      </c>
      <c r="M2401">
        <v>4.1900000000000004</v>
      </c>
      <c r="N2401">
        <v>0</v>
      </c>
      <c r="O2401" t="str">
        <f>IF(financial_fraud_data[[#This Row],[Risk_Score]]&gt;8,"High",IF(financial_fraud_data[[#This Row],[Risk_Score]]&gt;5,"Med","Low"))</f>
        <v>Low</v>
      </c>
      <c r="P2401" t="str">
        <f>TEXT(financial_fraud_data[[#This Row],[Transaction_Date]],"MMM")</f>
        <v>Apr</v>
      </c>
      <c r="Q2401" t="str">
        <f>IF(financial_fraud_data[[#This Row],[Is_Fraud]]=1,"Yes","No")</f>
        <v>No</v>
      </c>
    </row>
    <row r="2402" spans="1:17" x14ac:dyDescent="0.2">
      <c r="A2402" t="s">
        <v>2932</v>
      </c>
      <c r="B2402" t="s">
        <v>588</v>
      </c>
      <c r="C2402" s="1">
        <v>45392</v>
      </c>
      <c r="D2402">
        <v>17063.18</v>
      </c>
      <c r="E2402" t="s">
        <v>42</v>
      </c>
      <c r="F2402" t="s">
        <v>50</v>
      </c>
      <c r="G2402" t="s">
        <v>18</v>
      </c>
      <c r="H2402" t="s">
        <v>19</v>
      </c>
      <c r="I2402" t="s">
        <v>29</v>
      </c>
      <c r="J2402" t="s">
        <v>37</v>
      </c>
      <c r="K2402">
        <v>0</v>
      </c>
      <c r="L2402">
        <v>1</v>
      </c>
      <c r="M2402">
        <v>4.21</v>
      </c>
      <c r="N2402">
        <v>0</v>
      </c>
      <c r="O2402" t="str">
        <f>IF(financial_fraud_data[[#This Row],[Risk_Score]]&gt;8,"High",IF(financial_fraud_data[[#This Row],[Risk_Score]]&gt;5,"Med","Low"))</f>
        <v>Low</v>
      </c>
      <c r="P2402" t="str">
        <f>TEXT(financial_fraud_data[[#This Row],[Transaction_Date]],"MMM")</f>
        <v>Apr</v>
      </c>
      <c r="Q2402" t="str">
        <f>IF(financial_fraud_data[[#This Row],[Is_Fraud]]=1,"Yes","No")</f>
        <v>No</v>
      </c>
    </row>
    <row r="2403" spans="1:17" x14ac:dyDescent="0.2">
      <c r="A2403" t="s">
        <v>2933</v>
      </c>
      <c r="B2403" t="s">
        <v>1671</v>
      </c>
      <c r="C2403" s="1">
        <v>45392.041666666664</v>
      </c>
      <c r="D2403">
        <v>3632.01</v>
      </c>
      <c r="E2403" t="s">
        <v>80</v>
      </c>
      <c r="F2403" t="s">
        <v>47</v>
      </c>
      <c r="G2403" t="s">
        <v>35</v>
      </c>
      <c r="H2403" t="s">
        <v>19</v>
      </c>
      <c r="I2403" t="s">
        <v>29</v>
      </c>
      <c r="J2403" t="s">
        <v>37</v>
      </c>
      <c r="K2403">
        <v>0</v>
      </c>
      <c r="L2403">
        <v>4</v>
      </c>
      <c r="M2403">
        <v>7.36</v>
      </c>
      <c r="N2403">
        <v>1</v>
      </c>
      <c r="O2403" t="str">
        <f>IF(financial_fraud_data[[#This Row],[Risk_Score]]&gt;8,"High",IF(financial_fraud_data[[#This Row],[Risk_Score]]&gt;5,"Med","Low"))</f>
        <v>Med</v>
      </c>
      <c r="P2403" t="str">
        <f>TEXT(financial_fraud_data[[#This Row],[Transaction_Date]],"MMM")</f>
        <v>Apr</v>
      </c>
      <c r="Q2403" t="str">
        <f>IF(financial_fraud_data[[#This Row],[Is_Fraud]]=1,"Yes","No")</f>
        <v>Yes</v>
      </c>
    </row>
    <row r="2404" spans="1:17" x14ac:dyDescent="0.2">
      <c r="A2404" t="s">
        <v>2934</v>
      </c>
      <c r="B2404" t="s">
        <v>439</v>
      </c>
      <c r="C2404" s="1">
        <v>45392.083333333336</v>
      </c>
      <c r="D2404">
        <v>20510.96</v>
      </c>
      <c r="E2404" t="s">
        <v>16</v>
      </c>
      <c r="F2404" t="s">
        <v>47</v>
      </c>
      <c r="G2404" t="s">
        <v>56</v>
      </c>
      <c r="H2404" t="s">
        <v>24</v>
      </c>
      <c r="I2404" t="s">
        <v>29</v>
      </c>
      <c r="J2404" t="s">
        <v>51</v>
      </c>
      <c r="K2404">
        <v>0</v>
      </c>
      <c r="L2404">
        <v>0</v>
      </c>
      <c r="M2404">
        <v>3.05</v>
      </c>
      <c r="N2404">
        <v>0</v>
      </c>
      <c r="O2404" t="str">
        <f>IF(financial_fraud_data[[#This Row],[Risk_Score]]&gt;8,"High",IF(financial_fraud_data[[#This Row],[Risk_Score]]&gt;5,"Med","Low"))</f>
        <v>Low</v>
      </c>
      <c r="P2404" t="str">
        <f>TEXT(financial_fraud_data[[#This Row],[Transaction_Date]],"MMM")</f>
        <v>Apr</v>
      </c>
      <c r="Q2404" t="str">
        <f>IF(financial_fraud_data[[#This Row],[Is_Fraud]]=1,"Yes","No")</f>
        <v>No</v>
      </c>
    </row>
    <row r="2405" spans="1:17" x14ac:dyDescent="0.2">
      <c r="A2405" t="s">
        <v>2935</v>
      </c>
      <c r="B2405" t="s">
        <v>595</v>
      </c>
      <c r="C2405" s="1">
        <v>45392.125</v>
      </c>
      <c r="D2405">
        <v>15595.31</v>
      </c>
      <c r="E2405" t="s">
        <v>34</v>
      </c>
      <c r="F2405" t="s">
        <v>47</v>
      </c>
      <c r="G2405" t="s">
        <v>28</v>
      </c>
      <c r="H2405" t="s">
        <v>36</v>
      </c>
      <c r="I2405" t="s">
        <v>29</v>
      </c>
      <c r="J2405" t="s">
        <v>51</v>
      </c>
      <c r="K2405">
        <v>1</v>
      </c>
      <c r="L2405">
        <v>4</v>
      </c>
      <c r="M2405">
        <v>10.56</v>
      </c>
      <c r="N2405">
        <v>1</v>
      </c>
      <c r="O2405" t="str">
        <f>IF(financial_fraud_data[[#This Row],[Risk_Score]]&gt;8,"High",IF(financial_fraud_data[[#This Row],[Risk_Score]]&gt;5,"Med","Low"))</f>
        <v>High</v>
      </c>
      <c r="P2405" t="str">
        <f>TEXT(financial_fraud_data[[#This Row],[Transaction_Date]],"MMM")</f>
        <v>Apr</v>
      </c>
      <c r="Q2405" t="str">
        <f>IF(financial_fraud_data[[#This Row],[Is_Fraud]]=1,"Yes","No")</f>
        <v>Yes</v>
      </c>
    </row>
    <row r="2406" spans="1:17" x14ac:dyDescent="0.2">
      <c r="A2406" t="s">
        <v>2936</v>
      </c>
      <c r="B2406" t="s">
        <v>920</v>
      </c>
      <c r="C2406" s="1">
        <v>45392.166666666664</v>
      </c>
      <c r="D2406">
        <v>33872.18</v>
      </c>
      <c r="E2406" t="s">
        <v>80</v>
      </c>
      <c r="F2406" t="s">
        <v>50</v>
      </c>
      <c r="G2406" t="s">
        <v>56</v>
      </c>
      <c r="H2406" t="s">
        <v>19</v>
      </c>
      <c r="I2406" t="s">
        <v>19</v>
      </c>
      <c r="J2406" t="s">
        <v>20</v>
      </c>
      <c r="K2406">
        <v>0</v>
      </c>
      <c r="L2406">
        <v>0</v>
      </c>
      <c r="M2406">
        <v>3.39</v>
      </c>
      <c r="N2406">
        <v>0</v>
      </c>
      <c r="O2406" t="str">
        <f>IF(financial_fraud_data[[#This Row],[Risk_Score]]&gt;8,"High",IF(financial_fraud_data[[#This Row],[Risk_Score]]&gt;5,"Med","Low"))</f>
        <v>Low</v>
      </c>
      <c r="P2406" t="str">
        <f>TEXT(financial_fraud_data[[#This Row],[Transaction_Date]],"MMM")</f>
        <v>Apr</v>
      </c>
      <c r="Q2406" t="str">
        <f>IF(financial_fraud_data[[#This Row],[Is_Fraud]]=1,"Yes","No")</f>
        <v>No</v>
      </c>
    </row>
    <row r="2407" spans="1:17" x14ac:dyDescent="0.2">
      <c r="A2407" t="s">
        <v>2937</v>
      </c>
      <c r="B2407" t="s">
        <v>772</v>
      </c>
      <c r="C2407" s="1">
        <v>45392.208333333336</v>
      </c>
      <c r="D2407">
        <v>30308.67</v>
      </c>
      <c r="E2407" t="s">
        <v>34</v>
      </c>
      <c r="F2407" t="s">
        <v>50</v>
      </c>
      <c r="G2407" t="s">
        <v>65</v>
      </c>
      <c r="H2407" t="s">
        <v>29</v>
      </c>
      <c r="I2407" t="s">
        <v>23</v>
      </c>
      <c r="J2407" t="s">
        <v>20</v>
      </c>
      <c r="K2407">
        <v>0</v>
      </c>
      <c r="L2407">
        <v>1</v>
      </c>
      <c r="M2407">
        <v>5.53</v>
      </c>
      <c r="N2407">
        <v>1</v>
      </c>
      <c r="O2407" t="str">
        <f>IF(financial_fraud_data[[#This Row],[Risk_Score]]&gt;8,"High",IF(financial_fraud_data[[#This Row],[Risk_Score]]&gt;5,"Med","Low"))</f>
        <v>Med</v>
      </c>
      <c r="P2407" t="str">
        <f>TEXT(financial_fraud_data[[#This Row],[Transaction_Date]],"MMM")</f>
        <v>Apr</v>
      </c>
      <c r="Q2407" t="str">
        <f>IF(financial_fraud_data[[#This Row],[Is_Fraud]]=1,"Yes","No")</f>
        <v>Yes</v>
      </c>
    </row>
    <row r="2408" spans="1:17" x14ac:dyDescent="0.2">
      <c r="A2408" t="s">
        <v>2938</v>
      </c>
      <c r="B2408" t="s">
        <v>661</v>
      </c>
      <c r="C2408" s="1">
        <v>45392.25</v>
      </c>
      <c r="D2408">
        <v>18261.46</v>
      </c>
      <c r="E2408" t="s">
        <v>80</v>
      </c>
      <c r="F2408" t="s">
        <v>17</v>
      </c>
      <c r="G2408" t="s">
        <v>56</v>
      </c>
      <c r="H2408" t="s">
        <v>24</v>
      </c>
      <c r="I2408" t="s">
        <v>29</v>
      </c>
      <c r="J2408" t="s">
        <v>20</v>
      </c>
      <c r="K2408">
        <v>0</v>
      </c>
      <c r="L2408">
        <v>4</v>
      </c>
      <c r="M2408">
        <v>8.83</v>
      </c>
      <c r="N2408">
        <v>1</v>
      </c>
      <c r="O2408" t="str">
        <f>IF(financial_fraud_data[[#This Row],[Risk_Score]]&gt;8,"High",IF(financial_fraud_data[[#This Row],[Risk_Score]]&gt;5,"Med","Low"))</f>
        <v>High</v>
      </c>
      <c r="P2408" t="str">
        <f>TEXT(financial_fraud_data[[#This Row],[Transaction_Date]],"MMM")</f>
        <v>Apr</v>
      </c>
      <c r="Q2408" t="str">
        <f>IF(financial_fraud_data[[#This Row],[Is_Fraud]]=1,"Yes","No")</f>
        <v>Yes</v>
      </c>
    </row>
    <row r="2409" spans="1:17" x14ac:dyDescent="0.2">
      <c r="A2409" t="s">
        <v>2939</v>
      </c>
      <c r="B2409" t="s">
        <v>341</v>
      </c>
      <c r="C2409" s="1">
        <v>45392.291666666664</v>
      </c>
      <c r="D2409">
        <v>10933.73</v>
      </c>
      <c r="E2409" t="s">
        <v>80</v>
      </c>
      <c r="F2409" t="s">
        <v>17</v>
      </c>
      <c r="G2409" t="s">
        <v>56</v>
      </c>
      <c r="H2409" t="s">
        <v>19</v>
      </c>
      <c r="I2409" t="s">
        <v>19</v>
      </c>
      <c r="J2409" t="s">
        <v>20</v>
      </c>
      <c r="K2409">
        <v>0</v>
      </c>
      <c r="L2409">
        <v>3</v>
      </c>
      <c r="M2409">
        <v>5.59</v>
      </c>
      <c r="N2409">
        <v>1</v>
      </c>
      <c r="O2409" t="str">
        <f>IF(financial_fraud_data[[#This Row],[Risk_Score]]&gt;8,"High",IF(financial_fraud_data[[#This Row],[Risk_Score]]&gt;5,"Med","Low"))</f>
        <v>Med</v>
      </c>
      <c r="P2409" t="str">
        <f>TEXT(financial_fraud_data[[#This Row],[Transaction_Date]],"MMM")</f>
        <v>Apr</v>
      </c>
      <c r="Q2409" t="str">
        <f>IF(financial_fraud_data[[#This Row],[Is_Fraud]]=1,"Yes","No")</f>
        <v>Yes</v>
      </c>
    </row>
    <row r="2410" spans="1:17" x14ac:dyDescent="0.2">
      <c r="A2410" t="s">
        <v>2940</v>
      </c>
      <c r="B2410" t="s">
        <v>853</v>
      </c>
      <c r="C2410" s="1">
        <v>45392.333333333336</v>
      </c>
      <c r="D2410">
        <v>49402.400000000001</v>
      </c>
      <c r="E2410" t="s">
        <v>16</v>
      </c>
      <c r="F2410" t="s">
        <v>50</v>
      </c>
      <c r="G2410" t="s">
        <v>56</v>
      </c>
      <c r="H2410" t="s">
        <v>36</v>
      </c>
      <c r="I2410" t="s">
        <v>19</v>
      </c>
      <c r="J2410" t="s">
        <v>37</v>
      </c>
      <c r="K2410">
        <v>0</v>
      </c>
      <c r="L2410">
        <v>0</v>
      </c>
      <c r="M2410">
        <v>5.94</v>
      </c>
      <c r="N2410">
        <v>1</v>
      </c>
      <c r="O2410" t="str">
        <f>IF(financial_fraud_data[[#This Row],[Risk_Score]]&gt;8,"High",IF(financial_fraud_data[[#This Row],[Risk_Score]]&gt;5,"Med","Low"))</f>
        <v>Med</v>
      </c>
      <c r="P2410" t="str">
        <f>TEXT(financial_fraud_data[[#This Row],[Transaction_Date]],"MMM")</f>
        <v>Apr</v>
      </c>
      <c r="Q2410" t="str">
        <f>IF(financial_fraud_data[[#This Row],[Is_Fraud]]=1,"Yes","No")</f>
        <v>Yes</v>
      </c>
    </row>
    <row r="2411" spans="1:17" x14ac:dyDescent="0.2">
      <c r="A2411" t="s">
        <v>2941</v>
      </c>
      <c r="B2411" t="s">
        <v>1194</v>
      </c>
      <c r="C2411" s="1">
        <v>45392.375</v>
      </c>
      <c r="D2411">
        <v>22727.38</v>
      </c>
      <c r="E2411" t="s">
        <v>42</v>
      </c>
      <c r="F2411" t="s">
        <v>17</v>
      </c>
      <c r="G2411" t="s">
        <v>56</v>
      </c>
      <c r="H2411" t="s">
        <v>24</v>
      </c>
      <c r="I2411" t="s">
        <v>19</v>
      </c>
      <c r="J2411" t="s">
        <v>37</v>
      </c>
      <c r="K2411">
        <v>0</v>
      </c>
      <c r="L2411">
        <v>0</v>
      </c>
      <c r="M2411">
        <v>3.27</v>
      </c>
      <c r="N2411">
        <v>0</v>
      </c>
      <c r="O2411" t="str">
        <f>IF(financial_fraud_data[[#This Row],[Risk_Score]]&gt;8,"High",IF(financial_fraud_data[[#This Row],[Risk_Score]]&gt;5,"Med","Low"))</f>
        <v>Low</v>
      </c>
      <c r="P2411" t="str">
        <f>TEXT(financial_fraud_data[[#This Row],[Transaction_Date]],"MMM")</f>
        <v>Apr</v>
      </c>
      <c r="Q2411" t="str">
        <f>IF(financial_fraud_data[[#This Row],[Is_Fraud]]=1,"Yes","No")</f>
        <v>No</v>
      </c>
    </row>
    <row r="2412" spans="1:17" x14ac:dyDescent="0.2">
      <c r="A2412" t="s">
        <v>2942</v>
      </c>
      <c r="B2412" t="s">
        <v>724</v>
      </c>
      <c r="C2412" s="1">
        <v>45392.416666666664</v>
      </c>
      <c r="D2412">
        <v>34429.300000000003</v>
      </c>
      <c r="E2412" t="s">
        <v>16</v>
      </c>
      <c r="F2412" t="s">
        <v>47</v>
      </c>
      <c r="G2412" t="s">
        <v>65</v>
      </c>
      <c r="H2412" t="s">
        <v>36</v>
      </c>
      <c r="I2412" t="s">
        <v>36</v>
      </c>
      <c r="J2412" t="s">
        <v>51</v>
      </c>
      <c r="K2412">
        <v>0</v>
      </c>
      <c r="L2412">
        <v>3</v>
      </c>
      <c r="M2412">
        <v>7.94</v>
      </c>
      <c r="N2412">
        <v>1</v>
      </c>
      <c r="O2412" t="str">
        <f>IF(financial_fraud_data[[#This Row],[Risk_Score]]&gt;8,"High",IF(financial_fraud_data[[#This Row],[Risk_Score]]&gt;5,"Med","Low"))</f>
        <v>Med</v>
      </c>
      <c r="P2412" t="str">
        <f>TEXT(financial_fraud_data[[#This Row],[Transaction_Date]],"MMM")</f>
        <v>Apr</v>
      </c>
      <c r="Q2412" t="str">
        <f>IF(financial_fraud_data[[#This Row],[Is_Fraud]]=1,"Yes","No")</f>
        <v>Yes</v>
      </c>
    </row>
    <row r="2413" spans="1:17" x14ac:dyDescent="0.2">
      <c r="A2413" t="s">
        <v>2943</v>
      </c>
      <c r="B2413" t="s">
        <v>1574</v>
      </c>
      <c r="C2413" s="1">
        <v>45392.458333333336</v>
      </c>
      <c r="D2413">
        <v>7070.62</v>
      </c>
      <c r="E2413" t="s">
        <v>34</v>
      </c>
      <c r="F2413" t="s">
        <v>27</v>
      </c>
      <c r="G2413" t="s">
        <v>35</v>
      </c>
      <c r="H2413" t="s">
        <v>36</v>
      </c>
      <c r="I2413" t="s">
        <v>36</v>
      </c>
      <c r="J2413" t="s">
        <v>20</v>
      </c>
      <c r="K2413">
        <v>0</v>
      </c>
      <c r="L2413">
        <v>1</v>
      </c>
      <c r="M2413">
        <v>2.21</v>
      </c>
      <c r="N2413">
        <v>0</v>
      </c>
      <c r="O2413" t="str">
        <f>IF(financial_fraud_data[[#This Row],[Risk_Score]]&gt;8,"High",IF(financial_fraud_data[[#This Row],[Risk_Score]]&gt;5,"Med","Low"))</f>
        <v>Low</v>
      </c>
      <c r="P2413" t="str">
        <f>TEXT(financial_fraud_data[[#This Row],[Transaction_Date]],"MMM")</f>
        <v>Apr</v>
      </c>
      <c r="Q2413" t="str">
        <f>IF(financial_fraud_data[[#This Row],[Is_Fraud]]=1,"Yes","No")</f>
        <v>No</v>
      </c>
    </row>
    <row r="2414" spans="1:17" x14ac:dyDescent="0.2">
      <c r="A2414" t="s">
        <v>2944</v>
      </c>
      <c r="B2414" t="s">
        <v>312</v>
      </c>
      <c r="C2414" s="1">
        <v>45392.5</v>
      </c>
      <c r="D2414">
        <v>24305.21</v>
      </c>
      <c r="E2414" t="s">
        <v>34</v>
      </c>
      <c r="F2414" t="s">
        <v>17</v>
      </c>
      <c r="G2414" t="s">
        <v>18</v>
      </c>
      <c r="H2414" t="s">
        <v>36</v>
      </c>
      <c r="I2414" t="s">
        <v>19</v>
      </c>
      <c r="J2414" t="s">
        <v>20</v>
      </c>
      <c r="K2414">
        <v>0</v>
      </c>
      <c r="L2414">
        <v>2</v>
      </c>
      <c r="M2414">
        <v>6.43</v>
      </c>
      <c r="N2414">
        <v>1</v>
      </c>
      <c r="O2414" t="str">
        <f>IF(financial_fraud_data[[#This Row],[Risk_Score]]&gt;8,"High",IF(financial_fraud_data[[#This Row],[Risk_Score]]&gt;5,"Med","Low"))</f>
        <v>Med</v>
      </c>
      <c r="P2414" t="str">
        <f>TEXT(financial_fraud_data[[#This Row],[Transaction_Date]],"MMM")</f>
        <v>Apr</v>
      </c>
      <c r="Q2414" t="str">
        <f>IF(financial_fraud_data[[#This Row],[Is_Fraud]]=1,"Yes","No")</f>
        <v>Yes</v>
      </c>
    </row>
    <row r="2415" spans="1:17" x14ac:dyDescent="0.2">
      <c r="A2415" t="s">
        <v>2945</v>
      </c>
      <c r="B2415" t="s">
        <v>678</v>
      </c>
      <c r="C2415" s="1">
        <v>45392.541666666664</v>
      </c>
      <c r="D2415">
        <v>1425.46</v>
      </c>
      <c r="E2415" t="s">
        <v>80</v>
      </c>
      <c r="F2415" t="s">
        <v>50</v>
      </c>
      <c r="G2415" t="s">
        <v>28</v>
      </c>
      <c r="H2415" t="s">
        <v>24</v>
      </c>
      <c r="I2415" t="s">
        <v>29</v>
      </c>
      <c r="J2415" t="s">
        <v>20</v>
      </c>
      <c r="K2415">
        <v>0</v>
      </c>
      <c r="L2415">
        <v>0</v>
      </c>
      <c r="M2415">
        <v>1.1399999999999999</v>
      </c>
      <c r="N2415">
        <v>0</v>
      </c>
      <c r="O2415" t="str">
        <f>IF(financial_fraud_data[[#This Row],[Risk_Score]]&gt;8,"High",IF(financial_fraud_data[[#This Row],[Risk_Score]]&gt;5,"Med","Low"))</f>
        <v>Low</v>
      </c>
      <c r="P2415" t="str">
        <f>TEXT(financial_fraud_data[[#This Row],[Transaction_Date]],"MMM")</f>
        <v>Apr</v>
      </c>
      <c r="Q2415" t="str">
        <f>IF(financial_fraud_data[[#This Row],[Is_Fraud]]=1,"Yes","No")</f>
        <v>No</v>
      </c>
    </row>
    <row r="2416" spans="1:17" x14ac:dyDescent="0.2">
      <c r="A2416" t="s">
        <v>2946</v>
      </c>
      <c r="B2416" t="s">
        <v>67</v>
      </c>
      <c r="C2416" s="1">
        <v>45392.583333333336</v>
      </c>
      <c r="D2416">
        <v>25297.48</v>
      </c>
      <c r="E2416" t="s">
        <v>80</v>
      </c>
      <c r="F2416" t="s">
        <v>17</v>
      </c>
      <c r="G2416" t="s">
        <v>18</v>
      </c>
      <c r="H2416" t="s">
        <v>19</v>
      </c>
      <c r="I2416" t="s">
        <v>23</v>
      </c>
      <c r="J2416" t="s">
        <v>37</v>
      </c>
      <c r="K2416">
        <v>0</v>
      </c>
      <c r="L2416">
        <v>3</v>
      </c>
      <c r="M2416">
        <v>8.0299999999999994</v>
      </c>
      <c r="N2416">
        <v>1</v>
      </c>
      <c r="O2416" t="str">
        <f>IF(financial_fraud_data[[#This Row],[Risk_Score]]&gt;8,"High",IF(financial_fraud_data[[#This Row],[Risk_Score]]&gt;5,"Med","Low"))</f>
        <v>High</v>
      </c>
      <c r="P2416" t="str">
        <f>TEXT(financial_fraud_data[[#This Row],[Transaction_Date]],"MMM")</f>
        <v>Apr</v>
      </c>
      <c r="Q2416" t="str">
        <f>IF(financial_fraud_data[[#This Row],[Is_Fraud]]=1,"Yes","No")</f>
        <v>Yes</v>
      </c>
    </row>
    <row r="2417" spans="1:17" x14ac:dyDescent="0.2">
      <c r="A2417" t="s">
        <v>2947</v>
      </c>
      <c r="B2417" t="s">
        <v>953</v>
      </c>
      <c r="C2417" s="1">
        <v>45392.625</v>
      </c>
      <c r="D2417">
        <v>48202.67</v>
      </c>
      <c r="E2417" t="s">
        <v>42</v>
      </c>
      <c r="F2417" t="s">
        <v>17</v>
      </c>
      <c r="G2417" t="s">
        <v>18</v>
      </c>
      <c r="H2417" t="s">
        <v>23</v>
      </c>
      <c r="I2417" t="s">
        <v>24</v>
      </c>
      <c r="J2417" t="s">
        <v>51</v>
      </c>
      <c r="K2417">
        <v>1</v>
      </c>
      <c r="L2417">
        <v>2</v>
      </c>
      <c r="M2417">
        <v>10.82</v>
      </c>
      <c r="N2417">
        <v>1</v>
      </c>
      <c r="O2417" t="str">
        <f>IF(financial_fraud_data[[#This Row],[Risk_Score]]&gt;8,"High",IF(financial_fraud_data[[#This Row],[Risk_Score]]&gt;5,"Med","Low"))</f>
        <v>High</v>
      </c>
      <c r="P2417" t="str">
        <f>TEXT(financial_fraud_data[[#This Row],[Transaction_Date]],"MMM")</f>
        <v>Apr</v>
      </c>
      <c r="Q2417" t="str">
        <f>IF(financial_fraud_data[[#This Row],[Is_Fraud]]=1,"Yes","No")</f>
        <v>Yes</v>
      </c>
    </row>
    <row r="2418" spans="1:17" x14ac:dyDescent="0.2">
      <c r="A2418" t="s">
        <v>2948</v>
      </c>
      <c r="B2418" t="s">
        <v>1378</v>
      </c>
      <c r="C2418" s="1">
        <v>45392.666666666664</v>
      </c>
      <c r="D2418">
        <v>19241.13</v>
      </c>
      <c r="E2418" t="s">
        <v>16</v>
      </c>
      <c r="F2418" t="s">
        <v>17</v>
      </c>
      <c r="G2418" t="s">
        <v>28</v>
      </c>
      <c r="H2418" t="s">
        <v>19</v>
      </c>
      <c r="I2418" t="s">
        <v>36</v>
      </c>
      <c r="J2418" t="s">
        <v>37</v>
      </c>
      <c r="K2418">
        <v>0</v>
      </c>
      <c r="L2418">
        <v>0</v>
      </c>
      <c r="M2418">
        <v>2.92</v>
      </c>
      <c r="N2418">
        <v>0</v>
      </c>
      <c r="O2418" t="str">
        <f>IF(financial_fraud_data[[#This Row],[Risk_Score]]&gt;8,"High",IF(financial_fraud_data[[#This Row],[Risk_Score]]&gt;5,"Med","Low"))</f>
        <v>Low</v>
      </c>
      <c r="P2418" t="str">
        <f>TEXT(financial_fraud_data[[#This Row],[Transaction_Date]],"MMM")</f>
        <v>Apr</v>
      </c>
      <c r="Q2418" t="str">
        <f>IF(financial_fraud_data[[#This Row],[Is_Fraud]]=1,"Yes","No")</f>
        <v>No</v>
      </c>
    </row>
    <row r="2419" spans="1:17" x14ac:dyDescent="0.2">
      <c r="A2419" t="s">
        <v>2949</v>
      </c>
      <c r="B2419" t="s">
        <v>1088</v>
      </c>
      <c r="C2419" s="1">
        <v>45392.708333333336</v>
      </c>
      <c r="D2419">
        <v>1997.85</v>
      </c>
      <c r="E2419" t="s">
        <v>34</v>
      </c>
      <c r="F2419" t="s">
        <v>27</v>
      </c>
      <c r="G2419" t="s">
        <v>65</v>
      </c>
      <c r="H2419" t="s">
        <v>24</v>
      </c>
      <c r="I2419" t="s">
        <v>29</v>
      </c>
      <c r="J2419" t="s">
        <v>51</v>
      </c>
      <c r="K2419">
        <v>0</v>
      </c>
      <c r="L2419">
        <v>4</v>
      </c>
      <c r="M2419">
        <v>7.2</v>
      </c>
      <c r="N2419">
        <v>1</v>
      </c>
      <c r="O2419" t="str">
        <f>IF(financial_fraud_data[[#This Row],[Risk_Score]]&gt;8,"High",IF(financial_fraud_data[[#This Row],[Risk_Score]]&gt;5,"Med","Low"))</f>
        <v>Med</v>
      </c>
      <c r="P2419" t="str">
        <f>TEXT(financial_fraud_data[[#This Row],[Transaction_Date]],"MMM")</f>
        <v>Apr</v>
      </c>
      <c r="Q2419" t="str">
        <f>IF(financial_fraud_data[[#This Row],[Is_Fraud]]=1,"Yes","No")</f>
        <v>Yes</v>
      </c>
    </row>
    <row r="2420" spans="1:17" x14ac:dyDescent="0.2">
      <c r="A2420" t="s">
        <v>2950</v>
      </c>
      <c r="B2420" t="s">
        <v>1757</v>
      </c>
      <c r="C2420" s="1">
        <v>45392.75</v>
      </c>
      <c r="D2420">
        <v>1596.24</v>
      </c>
      <c r="E2420" t="s">
        <v>80</v>
      </c>
      <c r="F2420" t="s">
        <v>47</v>
      </c>
      <c r="G2420" t="s">
        <v>28</v>
      </c>
      <c r="H2420" t="s">
        <v>23</v>
      </c>
      <c r="I2420" t="s">
        <v>29</v>
      </c>
      <c r="J2420" t="s">
        <v>51</v>
      </c>
      <c r="K2420">
        <v>1</v>
      </c>
      <c r="L2420">
        <v>3</v>
      </c>
      <c r="M2420">
        <v>7.66</v>
      </c>
      <c r="N2420">
        <v>1</v>
      </c>
      <c r="O2420" t="str">
        <f>IF(financial_fraud_data[[#This Row],[Risk_Score]]&gt;8,"High",IF(financial_fraud_data[[#This Row],[Risk_Score]]&gt;5,"Med","Low"))</f>
        <v>Med</v>
      </c>
      <c r="P2420" t="str">
        <f>TEXT(financial_fraud_data[[#This Row],[Transaction_Date]],"MMM")</f>
        <v>Apr</v>
      </c>
      <c r="Q2420" t="str">
        <f>IF(financial_fraud_data[[#This Row],[Is_Fraud]]=1,"Yes","No")</f>
        <v>Yes</v>
      </c>
    </row>
    <row r="2421" spans="1:17" x14ac:dyDescent="0.2">
      <c r="A2421" t="s">
        <v>2951</v>
      </c>
      <c r="B2421" t="s">
        <v>697</v>
      </c>
      <c r="C2421" s="1">
        <v>45392.791666666664</v>
      </c>
      <c r="D2421">
        <v>19429.939999999999</v>
      </c>
      <c r="E2421" t="s">
        <v>42</v>
      </c>
      <c r="F2421" t="s">
        <v>50</v>
      </c>
      <c r="G2421" t="s">
        <v>65</v>
      </c>
      <c r="H2421" t="s">
        <v>23</v>
      </c>
      <c r="I2421" t="s">
        <v>24</v>
      </c>
      <c r="J2421" t="s">
        <v>37</v>
      </c>
      <c r="K2421">
        <v>0</v>
      </c>
      <c r="L2421">
        <v>4</v>
      </c>
      <c r="M2421">
        <v>8.94</v>
      </c>
      <c r="N2421">
        <v>1</v>
      </c>
      <c r="O2421" t="str">
        <f>IF(financial_fraud_data[[#This Row],[Risk_Score]]&gt;8,"High",IF(financial_fraud_data[[#This Row],[Risk_Score]]&gt;5,"Med","Low"))</f>
        <v>High</v>
      </c>
      <c r="P2421" t="str">
        <f>TEXT(financial_fraud_data[[#This Row],[Transaction_Date]],"MMM")</f>
        <v>Apr</v>
      </c>
      <c r="Q2421" t="str">
        <f>IF(financial_fraud_data[[#This Row],[Is_Fraud]]=1,"Yes","No")</f>
        <v>Yes</v>
      </c>
    </row>
    <row r="2422" spans="1:17" x14ac:dyDescent="0.2">
      <c r="A2422" t="s">
        <v>2952</v>
      </c>
      <c r="B2422" t="s">
        <v>255</v>
      </c>
      <c r="C2422" s="1">
        <v>45392.833333333336</v>
      </c>
      <c r="D2422">
        <v>8043.25</v>
      </c>
      <c r="E2422" t="s">
        <v>34</v>
      </c>
      <c r="F2422" t="s">
        <v>27</v>
      </c>
      <c r="G2422" t="s">
        <v>18</v>
      </c>
      <c r="H2422" t="s">
        <v>23</v>
      </c>
      <c r="I2422" t="s">
        <v>24</v>
      </c>
      <c r="J2422" t="s">
        <v>37</v>
      </c>
      <c r="K2422">
        <v>0</v>
      </c>
      <c r="L2422">
        <v>1</v>
      </c>
      <c r="M2422">
        <v>3.3</v>
      </c>
      <c r="N2422">
        <v>0</v>
      </c>
      <c r="O2422" t="str">
        <f>IF(financial_fraud_data[[#This Row],[Risk_Score]]&gt;8,"High",IF(financial_fraud_data[[#This Row],[Risk_Score]]&gt;5,"Med","Low"))</f>
        <v>Low</v>
      </c>
      <c r="P2422" t="str">
        <f>TEXT(financial_fraud_data[[#This Row],[Transaction_Date]],"MMM")</f>
        <v>Apr</v>
      </c>
      <c r="Q2422" t="str">
        <f>IF(financial_fraud_data[[#This Row],[Is_Fraud]]=1,"Yes","No")</f>
        <v>No</v>
      </c>
    </row>
    <row r="2423" spans="1:17" x14ac:dyDescent="0.2">
      <c r="A2423" t="s">
        <v>2953</v>
      </c>
      <c r="B2423" t="s">
        <v>390</v>
      </c>
      <c r="C2423" s="1">
        <v>45392.875</v>
      </c>
      <c r="D2423">
        <v>1216.44</v>
      </c>
      <c r="E2423" t="s">
        <v>80</v>
      </c>
      <c r="F2423" t="s">
        <v>50</v>
      </c>
      <c r="G2423" t="s">
        <v>65</v>
      </c>
      <c r="H2423" t="s">
        <v>29</v>
      </c>
      <c r="I2423" t="s">
        <v>29</v>
      </c>
      <c r="J2423" t="s">
        <v>51</v>
      </c>
      <c r="K2423">
        <v>0</v>
      </c>
      <c r="L2423">
        <v>2</v>
      </c>
      <c r="M2423">
        <v>3.12</v>
      </c>
      <c r="N2423">
        <v>0</v>
      </c>
      <c r="O2423" t="str">
        <f>IF(financial_fraud_data[[#This Row],[Risk_Score]]&gt;8,"High",IF(financial_fraud_data[[#This Row],[Risk_Score]]&gt;5,"Med","Low"))</f>
        <v>Low</v>
      </c>
      <c r="P2423" t="str">
        <f>TEXT(financial_fraud_data[[#This Row],[Transaction_Date]],"MMM")</f>
        <v>Apr</v>
      </c>
      <c r="Q2423" t="str">
        <f>IF(financial_fraud_data[[#This Row],[Is_Fraud]]=1,"Yes","No")</f>
        <v>No</v>
      </c>
    </row>
    <row r="2424" spans="1:17" x14ac:dyDescent="0.2">
      <c r="A2424" t="s">
        <v>2954</v>
      </c>
      <c r="B2424" t="s">
        <v>930</v>
      </c>
      <c r="C2424" s="1">
        <v>45392.916666666664</v>
      </c>
      <c r="D2424">
        <v>37822.870000000003</v>
      </c>
      <c r="E2424" t="s">
        <v>34</v>
      </c>
      <c r="F2424" t="s">
        <v>50</v>
      </c>
      <c r="G2424" t="s">
        <v>35</v>
      </c>
      <c r="H2424" t="s">
        <v>24</v>
      </c>
      <c r="I2424" t="s">
        <v>24</v>
      </c>
      <c r="J2424" t="s">
        <v>37</v>
      </c>
      <c r="K2424">
        <v>0</v>
      </c>
      <c r="L2424">
        <v>3</v>
      </c>
      <c r="M2424">
        <v>8.2799999999999994</v>
      </c>
      <c r="N2424">
        <v>1</v>
      </c>
      <c r="O2424" t="str">
        <f>IF(financial_fraud_data[[#This Row],[Risk_Score]]&gt;8,"High",IF(financial_fraud_data[[#This Row],[Risk_Score]]&gt;5,"Med","Low"))</f>
        <v>High</v>
      </c>
      <c r="P2424" t="str">
        <f>TEXT(financial_fraud_data[[#This Row],[Transaction_Date]],"MMM")</f>
        <v>Apr</v>
      </c>
      <c r="Q2424" t="str">
        <f>IF(financial_fraud_data[[#This Row],[Is_Fraud]]=1,"Yes","No")</f>
        <v>Yes</v>
      </c>
    </row>
    <row r="2425" spans="1:17" x14ac:dyDescent="0.2">
      <c r="A2425" t="s">
        <v>2955</v>
      </c>
      <c r="B2425" t="s">
        <v>1341</v>
      </c>
      <c r="C2425" s="1">
        <v>45392.958333333336</v>
      </c>
      <c r="D2425">
        <v>22953.22</v>
      </c>
      <c r="E2425" t="s">
        <v>42</v>
      </c>
      <c r="F2425" t="s">
        <v>50</v>
      </c>
      <c r="G2425" t="s">
        <v>28</v>
      </c>
      <c r="H2425" t="s">
        <v>29</v>
      </c>
      <c r="I2425" t="s">
        <v>29</v>
      </c>
      <c r="J2425" t="s">
        <v>37</v>
      </c>
      <c r="K2425">
        <v>0</v>
      </c>
      <c r="L2425">
        <v>0</v>
      </c>
      <c r="M2425">
        <v>2.2999999999999998</v>
      </c>
      <c r="N2425">
        <v>0</v>
      </c>
      <c r="O2425" t="str">
        <f>IF(financial_fraud_data[[#This Row],[Risk_Score]]&gt;8,"High",IF(financial_fraud_data[[#This Row],[Risk_Score]]&gt;5,"Med","Low"))</f>
        <v>Low</v>
      </c>
      <c r="P2425" t="str">
        <f>TEXT(financial_fraud_data[[#This Row],[Transaction_Date]],"MMM")</f>
        <v>Apr</v>
      </c>
      <c r="Q2425" t="str">
        <f>IF(financial_fraud_data[[#This Row],[Is_Fraud]]=1,"Yes","No")</f>
        <v>No</v>
      </c>
    </row>
    <row r="2426" spans="1:17" x14ac:dyDescent="0.2">
      <c r="A2426" t="s">
        <v>2956</v>
      </c>
      <c r="B2426" t="s">
        <v>736</v>
      </c>
      <c r="C2426" s="1">
        <v>45393</v>
      </c>
      <c r="D2426">
        <v>14497.78</v>
      </c>
      <c r="E2426" t="s">
        <v>42</v>
      </c>
      <c r="F2426" t="s">
        <v>27</v>
      </c>
      <c r="G2426" t="s">
        <v>35</v>
      </c>
      <c r="H2426" t="s">
        <v>23</v>
      </c>
      <c r="I2426" t="s">
        <v>24</v>
      </c>
      <c r="J2426" t="s">
        <v>51</v>
      </c>
      <c r="K2426">
        <v>0</v>
      </c>
      <c r="L2426">
        <v>0</v>
      </c>
      <c r="M2426">
        <v>2.4500000000000002</v>
      </c>
      <c r="N2426">
        <v>0</v>
      </c>
      <c r="O2426" t="str">
        <f>IF(financial_fraud_data[[#This Row],[Risk_Score]]&gt;8,"High",IF(financial_fraud_data[[#This Row],[Risk_Score]]&gt;5,"Med","Low"))</f>
        <v>Low</v>
      </c>
      <c r="P2426" t="str">
        <f>TEXT(financial_fraud_data[[#This Row],[Transaction_Date]],"MMM")</f>
        <v>Apr</v>
      </c>
      <c r="Q2426" t="str">
        <f>IF(financial_fraud_data[[#This Row],[Is_Fraud]]=1,"Yes","No")</f>
        <v>No</v>
      </c>
    </row>
    <row r="2427" spans="1:17" x14ac:dyDescent="0.2">
      <c r="A2427" t="s">
        <v>2957</v>
      </c>
      <c r="B2427" t="s">
        <v>913</v>
      </c>
      <c r="C2427" s="1">
        <v>45393.041666666664</v>
      </c>
      <c r="D2427">
        <v>45009.15</v>
      </c>
      <c r="E2427" t="s">
        <v>34</v>
      </c>
      <c r="F2427" t="s">
        <v>47</v>
      </c>
      <c r="G2427" t="s">
        <v>18</v>
      </c>
      <c r="H2427" t="s">
        <v>29</v>
      </c>
      <c r="I2427" t="s">
        <v>24</v>
      </c>
      <c r="J2427" t="s">
        <v>51</v>
      </c>
      <c r="K2427">
        <v>0</v>
      </c>
      <c r="L2427">
        <v>2</v>
      </c>
      <c r="M2427">
        <v>8.5</v>
      </c>
      <c r="N2427">
        <v>1</v>
      </c>
      <c r="O2427" t="str">
        <f>IF(financial_fraud_data[[#This Row],[Risk_Score]]&gt;8,"High",IF(financial_fraud_data[[#This Row],[Risk_Score]]&gt;5,"Med","Low"))</f>
        <v>High</v>
      </c>
      <c r="P2427" t="str">
        <f>TEXT(financial_fraud_data[[#This Row],[Transaction_Date]],"MMM")</f>
        <v>Apr</v>
      </c>
      <c r="Q2427" t="str">
        <f>IF(financial_fraud_data[[#This Row],[Is_Fraud]]=1,"Yes","No")</f>
        <v>Yes</v>
      </c>
    </row>
    <row r="2428" spans="1:17" x14ac:dyDescent="0.2">
      <c r="A2428" t="s">
        <v>2958</v>
      </c>
      <c r="B2428" t="s">
        <v>470</v>
      </c>
      <c r="C2428" s="1">
        <v>45393.083333333336</v>
      </c>
      <c r="D2428">
        <v>5851.14</v>
      </c>
      <c r="E2428" t="s">
        <v>16</v>
      </c>
      <c r="F2428" t="s">
        <v>50</v>
      </c>
      <c r="G2428" t="s">
        <v>28</v>
      </c>
      <c r="H2428" t="s">
        <v>29</v>
      </c>
      <c r="I2428" t="s">
        <v>29</v>
      </c>
      <c r="J2428" t="s">
        <v>20</v>
      </c>
      <c r="K2428">
        <v>0</v>
      </c>
      <c r="L2428">
        <v>4</v>
      </c>
      <c r="M2428">
        <v>6.59</v>
      </c>
      <c r="N2428">
        <v>1</v>
      </c>
      <c r="O2428" t="str">
        <f>IF(financial_fraud_data[[#This Row],[Risk_Score]]&gt;8,"High",IF(financial_fraud_data[[#This Row],[Risk_Score]]&gt;5,"Med","Low"))</f>
        <v>Med</v>
      </c>
      <c r="P2428" t="str">
        <f>TEXT(financial_fraud_data[[#This Row],[Transaction_Date]],"MMM")</f>
        <v>Apr</v>
      </c>
      <c r="Q2428" t="str">
        <f>IF(financial_fraud_data[[#This Row],[Is_Fraud]]=1,"Yes","No")</f>
        <v>Yes</v>
      </c>
    </row>
    <row r="2429" spans="1:17" x14ac:dyDescent="0.2">
      <c r="A2429" t="s">
        <v>2959</v>
      </c>
      <c r="B2429" t="s">
        <v>957</v>
      </c>
      <c r="C2429" s="1">
        <v>45393.125</v>
      </c>
      <c r="D2429">
        <v>47798.15</v>
      </c>
      <c r="E2429" t="s">
        <v>34</v>
      </c>
      <c r="F2429" t="s">
        <v>47</v>
      </c>
      <c r="G2429" t="s">
        <v>18</v>
      </c>
      <c r="H2429" t="s">
        <v>24</v>
      </c>
      <c r="I2429" t="s">
        <v>19</v>
      </c>
      <c r="J2429" t="s">
        <v>37</v>
      </c>
      <c r="K2429">
        <v>0</v>
      </c>
      <c r="L2429">
        <v>4</v>
      </c>
      <c r="M2429">
        <v>11.78</v>
      </c>
      <c r="N2429">
        <v>1</v>
      </c>
      <c r="O2429" t="str">
        <f>IF(financial_fraud_data[[#This Row],[Risk_Score]]&gt;8,"High",IF(financial_fraud_data[[#This Row],[Risk_Score]]&gt;5,"Med","Low"))</f>
        <v>High</v>
      </c>
      <c r="P2429" t="str">
        <f>TEXT(financial_fraud_data[[#This Row],[Transaction_Date]],"MMM")</f>
        <v>Apr</v>
      </c>
      <c r="Q2429" t="str">
        <f>IF(financial_fraud_data[[#This Row],[Is_Fraud]]=1,"Yes","No")</f>
        <v>Yes</v>
      </c>
    </row>
    <row r="2430" spans="1:17" x14ac:dyDescent="0.2">
      <c r="A2430" t="s">
        <v>2960</v>
      </c>
      <c r="B2430" t="s">
        <v>450</v>
      </c>
      <c r="C2430" s="1">
        <v>45393.166666666664</v>
      </c>
      <c r="D2430">
        <v>15732.64</v>
      </c>
      <c r="E2430" t="s">
        <v>80</v>
      </c>
      <c r="F2430" t="s">
        <v>47</v>
      </c>
      <c r="G2430" t="s">
        <v>35</v>
      </c>
      <c r="H2430" t="s">
        <v>36</v>
      </c>
      <c r="I2430" t="s">
        <v>29</v>
      </c>
      <c r="J2430" t="s">
        <v>51</v>
      </c>
      <c r="K2430">
        <v>0</v>
      </c>
      <c r="L2430">
        <v>3</v>
      </c>
      <c r="M2430">
        <v>7.07</v>
      </c>
      <c r="N2430">
        <v>1</v>
      </c>
      <c r="O2430" t="str">
        <f>IF(financial_fraud_data[[#This Row],[Risk_Score]]&gt;8,"High",IF(financial_fraud_data[[#This Row],[Risk_Score]]&gt;5,"Med","Low"))</f>
        <v>Med</v>
      </c>
      <c r="P2430" t="str">
        <f>TEXT(financial_fraud_data[[#This Row],[Transaction_Date]],"MMM")</f>
        <v>Apr</v>
      </c>
      <c r="Q2430" t="str">
        <f>IF(financial_fraud_data[[#This Row],[Is_Fraud]]=1,"Yes","No")</f>
        <v>Yes</v>
      </c>
    </row>
    <row r="2431" spans="1:17" x14ac:dyDescent="0.2">
      <c r="A2431" t="s">
        <v>2961</v>
      </c>
      <c r="B2431" t="s">
        <v>661</v>
      </c>
      <c r="C2431" s="1">
        <v>45393.208333333336</v>
      </c>
      <c r="D2431">
        <v>44425.760000000002</v>
      </c>
      <c r="E2431" t="s">
        <v>16</v>
      </c>
      <c r="F2431" t="s">
        <v>17</v>
      </c>
      <c r="G2431" t="s">
        <v>18</v>
      </c>
      <c r="H2431" t="s">
        <v>29</v>
      </c>
      <c r="I2431" t="s">
        <v>23</v>
      </c>
      <c r="J2431" t="s">
        <v>37</v>
      </c>
      <c r="K2431">
        <v>0</v>
      </c>
      <c r="L2431">
        <v>3</v>
      </c>
      <c r="M2431">
        <v>9.94</v>
      </c>
      <c r="N2431">
        <v>1</v>
      </c>
      <c r="O2431" t="str">
        <f>IF(financial_fraud_data[[#This Row],[Risk_Score]]&gt;8,"High",IF(financial_fraud_data[[#This Row],[Risk_Score]]&gt;5,"Med","Low"))</f>
        <v>High</v>
      </c>
      <c r="P2431" t="str">
        <f>TEXT(financial_fraud_data[[#This Row],[Transaction_Date]],"MMM")</f>
        <v>Apr</v>
      </c>
      <c r="Q2431" t="str">
        <f>IF(financial_fraud_data[[#This Row],[Is_Fraud]]=1,"Yes","No")</f>
        <v>Yes</v>
      </c>
    </row>
    <row r="2432" spans="1:17" x14ac:dyDescent="0.2">
      <c r="A2432" t="s">
        <v>2962</v>
      </c>
      <c r="B2432" t="s">
        <v>337</v>
      </c>
      <c r="C2432" s="1">
        <v>45393.25</v>
      </c>
      <c r="D2432">
        <v>30167</v>
      </c>
      <c r="E2432" t="s">
        <v>80</v>
      </c>
      <c r="F2432" t="s">
        <v>27</v>
      </c>
      <c r="G2432" t="s">
        <v>28</v>
      </c>
      <c r="H2432" t="s">
        <v>29</v>
      </c>
      <c r="I2432" t="s">
        <v>24</v>
      </c>
      <c r="J2432" t="s">
        <v>37</v>
      </c>
      <c r="K2432">
        <v>0</v>
      </c>
      <c r="L2432">
        <v>4</v>
      </c>
      <c r="M2432">
        <v>10.02</v>
      </c>
      <c r="N2432">
        <v>1</v>
      </c>
      <c r="O2432" t="str">
        <f>IF(financial_fraud_data[[#This Row],[Risk_Score]]&gt;8,"High",IF(financial_fraud_data[[#This Row],[Risk_Score]]&gt;5,"Med","Low"))</f>
        <v>High</v>
      </c>
      <c r="P2432" t="str">
        <f>TEXT(financial_fraud_data[[#This Row],[Transaction_Date]],"MMM")</f>
        <v>Apr</v>
      </c>
      <c r="Q2432" t="str">
        <f>IF(financial_fraud_data[[#This Row],[Is_Fraud]]=1,"Yes","No")</f>
        <v>Yes</v>
      </c>
    </row>
    <row r="2433" spans="1:17" x14ac:dyDescent="0.2">
      <c r="A2433" t="s">
        <v>2963</v>
      </c>
      <c r="B2433" t="s">
        <v>514</v>
      </c>
      <c r="C2433" s="1">
        <v>45393.291666666664</v>
      </c>
      <c r="D2433">
        <v>41344.03</v>
      </c>
      <c r="E2433" t="s">
        <v>34</v>
      </c>
      <c r="F2433" t="s">
        <v>27</v>
      </c>
      <c r="G2433" t="s">
        <v>28</v>
      </c>
      <c r="H2433" t="s">
        <v>23</v>
      </c>
      <c r="I2433" t="s">
        <v>36</v>
      </c>
      <c r="J2433" t="s">
        <v>51</v>
      </c>
      <c r="K2433">
        <v>0</v>
      </c>
      <c r="L2433">
        <v>3</v>
      </c>
      <c r="M2433">
        <v>9.6300000000000008</v>
      </c>
      <c r="N2433">
        <v>1</v>
      </c>
      <c r="O2433" t="str">
        <f>IF(financial_fraud_data[[#This Row],[Risk_Score]]&gt;8,"High",IF(financial_fraud_data[[#This Row],[Risk_Score]]&gt;5,"Med","Low"))</f>
        <v>High</v>
      </c>
      <c r="P2433" t="str">
        <f>TEXT(financial_fraud_data[[#This Row],[Transaction_Date]],"MMM")</f>
        <v>Apr</v>
      </c>
      <c r="Q2433" t="str">
        <f>IF(financial_fraud_data[[#This Row],[Is_Fraud]]=1,"Yes","No")</f>
        <v>Yes</v>
      </c>
    </row>
    <row r="2434" spans="1:17" x14ac:dyDescent="0.2">
      <c r="A2434" t="s">
        <v>2964</v>
      </c>
      <c r="B2434" t="s">
        <v>778</v>
      </c>
      <c r="C2434" s="1">
        <v>45393.333333333336</v>
      </c>
      <c r="D2434">
        <v>49201.46</v>
      </c>
      <c r="E2434" t="s">
        <v>16</v>
      </c>
      <c r="F2434" t="s">
        <v>17</v>
      </c>
      <c r="G2434" t="s">
        <v>18</v>
      </c>
      <c r="H2434" t="s">
        <v>23</v>
      </c>
      <c r="I2434" t="s">
        <v>24</v>
      </c>
      <c r="J2434" t="s">
        <v>20</v>
      </c>
      <c r="K2434">
        <v>0</v>
      </c>
      <c r="L2434">
        <v>4</v>
      </c>
      <c r="M2434">
        <v>11.92</v>
      </c>
      <c r="N2434">
        <v>1</v>
      </c>
      <c r="O2434" t="str">
        <f>IF(financial_fraud_data[[#This Row],[Risk_Score]]&gt;8,"High",IF(financial_fraud_data[[#This Row],[Risk_Score]]&gt;5,"Med","Low"))</f>
        <v>High</v>
      </c>
      <c r="P2434" t="str">
        <f>TEXT(financial_fraud_data[[#This Row],[Transaction_Date]],"MMM")</f>
        <v>Apr</v>
      </c>
      <c r="Q2434" t="str">
        <f>IF(financial_fraud_data[[#This Row],[Is_Fraud]]=1,"Yes","No")</f>
        <v>Yes</v>
      </c>
    </row>
    <row r="2435" spans="1:17" x14ac:dyDescent="0.2">
      <c r="A2435" t="s">
        <v>2965</v>
      </c>
      <c r="B2435" t="s">
        <v>1521</v>
      </c>
      <c r="C2435" s="1">
        <v>45393.375</v>
      </c>
      <c r="D2435">
        <v>14455.85</v>
      </c>
      <c r="E2435" t="s">
        <v>80</v>
      </c>
      <c r="F2435" t="s">
        <v>17</v>
      </c>
      <c r="G2435" t="s">
        <v>28</v>
      </c>
      <c r="H2435" t="s">
        <v>23</v>
      </c>
      <c r="I2435" t="s">
        <v>23</v>
      </c>
      <c r="J2435" t="s">
        <v>51</v>
      </c>
      <c r="K2435">
        <v>0</v>
      </c>
      <c r="L2435">
        <v>2</v>
      </c>
      <c r="M2435">
        <v>4.45</v>
      </c>
      <c r="N2435">
        <v>0</v>
      </c>
      <c r="O2435" t="str">
        <f>IF(financial_fraud_data[[#This Row],[Risk_Score]]&gt;8,"High",IF(financial_fraud_data[[#This Row],[Risk_Score]]&gt;5,"Med","Low"))</f>
        <v>Low</v>
      </c>
      <c r="P2435" t="str">
        <f>TEXT(financial_fraud_data[[#This Row],[Transaction_Date]],"MMM")</f>
        <v>Apr</v>
      </c>
      <c r="Q2435" t="str">
        <f>IF(financial_fraud_data[[#This Row],[Is_Fraud]]=1,"Yes","No")</f>
        <v>No</v>
      </c>
    </row>
    <row r="2436" spans="1:17" x14ac:dyDescent="0.2">
      <c r="A2436" t="s">
        <v>2966</v>
      </c>
      <c r="B2436" t="s">
        <v>75</v>
      </c>
      <c r="C2436" s="1">
        <v>45393.416666666664</v>
      </c>
      <c r="D2436">
        <v>48058.720000000001</v>
      </c>
      <c r="E2436" t="s">
        <v>34</v>
      </c>
      <c r="F2436" t="s">
        <v>47</v>
      </c>
      <c r="G2436" t="s">
        <v>28</v>
      </c>
      <c r="H2436" t="s">
        <v>19</v>
      </c>
      <c r="I2436" t="s">
        <v>36</v>
      </c>
      <c r="J2436" t="s">
        <v>51</v>
      </c>
      <c r="K2436">
        <v>1</v>
      </c>
      <c r="L2436">
        <v>3</v>
      </c>
      <c r="M2436">
        <v>12.31</v>
      </c>
      <c r="N2436">
        <v>1</v>
      </c>
      <c r="O2436" t="str">
        <f>IF(financial_fraud_data[[#This Row],[Risk_Score]]&gt;8,"High",IF(financial_fraud_data[[#This Row],[Risk_Score]]&gt;5,"Med","Low"))</f>
        <v>High</v>
      </c>
      <c r="P2436" t="str">
        <f>TEXT(financial_fraud_data[[#This Row],[Transaction_Date]],"MMM")</f>
        <v>Apr</v>
      </c>
      <c r="Q2436" t="str">
        <f>IF(financial_fraud_data[[#This Row],[Is_Fraud]]=1,"Yes","No")</f>
        <v>Yes</v>
      </c>
    </row>
    <row r="2437" spans="1:17" x14ac:dyDescent="0.2">
      <c r="A2437" t="s">
        <v>2967</v>
      </c>
      <c r="B2437" t="s">
        <v>1077</v>
      </c>
      <c r="C2437" s="1">
        <v>45393.458333333336</v>
      </c>
      <c r="D2437">
        <v>19504.62</v>
      </c>
      <c r="E2437" t="s">
        <v>34</v>
      </c>
      <c r="F2437" t="s">
        <v>50</v>
      </c>
      <c r="G2437" t="s">
        <v>18</v>
      </c>
      <c r="H2437" t="s">
        <v>29</v>
      </c>
      <c r="I2437" t="s">
        <v>36</v>
      </c>
      <c r="J2437" t="s">
        <v>37</v>
      </c>
      <c r="K2437">
        <v>1</v>
      </c>
      <c r="L2437">
        <v>4</v>
      </c>
      <c r="M2437">
        <v>10.95</v>
      </c>
      <c r="N2437">
        <v>1</v>
      </c>
      <c r="O2437" t="str">
        <f>IF(financial_fraud_data[[#This Row],[Risk_Score]]&gt;8,"High",IF(financial_fraud_data[[#This Row],[Risk_Score]]&gt;5,"Med","Low"))</f>
        <v>High</v>
      </c>
      <c r="P2437" t="str">
        <f>TEXT(financial_fraud_data[[#This Row],[Transaction_Date]],"MMM")</f>
        <v>Apr</v>
      </c>
      <c r="Q2437" t="str">
        <f>IF(financial_fraud_data[[#This Row],[Is_Fraud]]=1,"Yes","No")</f>
        <v>Yes</v>
      </c>
    </row>
    <row r="2438" spans="1:17" x14ac:dyDescent="0.2">
      <c r="A2438" t="s">
        <v>2968</v>
      </c>
      <c r="B2438" t="s">
        <v>1401</v>
      </c>
      <c r="C2438" s="1">
        <v>45393.5</v>
      </c>
      <c r="D2438">
        <v>19306.32</v>
      </c>
      <c r="E2438" t="s">
        <v>16</v>
      </c>
      <c r="F2438" t="s">
        <v>27</v>
      </c>
      <c r="G2438" t="s">
        <v>35</v>
      </c>
      <c r="H2438" t="s">
        <v>23</v>
      </c>
      <c r="I2438" t="s">
        <v>29</v>
      </c>
      <c r="J2438" t="s">
        <v>20</v>
      </c>
      <c r="K2438">
        <v>0</v>
      </c>
      <c r="L2438">
        <v>3</v>
      </c>
      <c r="M2438">
        <v>7.43</v>
      </c>
      <c r="N2438">
        <v>1</v>
      </c>
      <c r="O2438" t="str">
        <f>IF(financial_fraud_data[[#This Row],[Risk_Score]]&gt;8,"High",IF(financial_fraud_data[[#This Row],[Risk_Score]]&gt;5,"Med","Low"))</f>
        <v>Med</v>
      </c>
      <c r="P2438" t="str">
        <f>TEXT(financial_fraud_data[[#This Row],[Transaction_Date]],"MMM")</f>
        <v>Apr</v>
      </c>
      <c r="Q2438" t="str">
        <f>IF(financial_fraud_data[[#This Row],[Is_Fraud]]=1,"Yes","No")</f>
        <v>Yes</v>
      </c>
    </row>
    <row r="2439" spans="1:17" x14ac:dyDescent="0.2">
      <c r="A2439" t="s">
        <v>2969</v>
      </c>
      <c r="B2439" t="s">
        <v>1671</v>
      </c>
      <c r="C2439" s="1">
        <v>45393.541666666664</v>
      </c>
      <c r="D2439">
        <v>17052.34</v>
      </c>
      <c r="E2439" t="s">
        <v>34</v>
      </c>
      <c r="F2439" t="s">
        <v>50</v>
      </c>
      <c r="G2439" t="s">
        <v>28</v>
      </c>
      <c r="H2439" t="s">
        <v>24</v>
      </c>
      <c r="I2439" t="s">
        <v>19</v>
      </c>
      <c r="J2439" t="s">
        <v>51</v>
      </c>
      <c r="K2439">
        <v>0</v>
      </c>
      <c r="L2439">
        <v>0</v>
      </c>
      <c r="M2439">
        <v>2.71</v>
      </c>
      <c r="N2439">
        <v>0</v>
      </c>
      <c r="O2439" t="str">
        <f>IF(financial_fraud_data[[#This Row],[Risk_Score]]&gt;8,"High",IF(financial_fraud_data[[#This Row],[Risk_Score]]&gt;5,"Med","Low"))</f>
        <v>Low</v>
      </c>
      <c r="P2439" t="str">
        <f>TEXT(financial_fraud_data[[#This Row],[Transaction_Date]],"MMM")</f>
        <v>Apr</v>
      </c>
      <c r="Q2439" t="str">
        <f>IF(financial_fraud_data[[#This Row],[Is_Fraud]]=1,"Yes","No")</f>
        <v>No</v>
      </c>
    </row>
    <row r="2440" spans="1:17" x14ac:dyDescent="0.2">
      <c r="A2440" t="s">
        <v>2970</v>
      </c>
      <c r="B2440" t="s">
        <v>98</v>
      </c>
      <c r="C2440" s="1">
        <v>45393.583333333336</v>
      </c>
      <c r="D2440">
        <v>27093.31</v>
      </c>
      <c r="E2440" t="s">
        <v>42</v>
      </c>
      <c r="F2440" t="s">
        <v>50</v>
      </c>
      <c r="G2440" t="s">
        <v>28</v>
      </c>
      <c r="H2440" t="s">
        <v>19</v>
      </c>
      <c r="I2440" t="s">
        <v>29</v>
      </c>
      <c r="J2440" t="s">
        <v>37</v>
      </c>
      <c r="K2440">
        <v>0</v>
      </c>
      <c r="L2440">
        <v>0</v>
      </c>
      <c r="M2440">
        <v>3.71</v>
      </c>
      <c r="N2440">
        <v>0</v>
      </c>
      <c r="O2440" t="str">
        <f>IF(financial_fraud_data[[#This Row],[Risk_Score]]&gt;8,"High",IF(financial_fraud_data[[#This Row],[Risk_Score]]&gt;5,"Med","Low"))</f>
        <v>Low</v>
      </c>
      <c r="P2440" t="str">
        <f>TEXT(financial_fraud_data[[#This Row],[Transaction_Date]],"MMM")</f>
        <v>Apr</v>
      </c>
      <c r="Q2440" t="str">
        <f>IF(financial_fraud_data[[#This Row],[Is_Fraud]]=1,"Yes","No")</f>
        <v>No</v>
      </c>
    </row>
    <row r="2441" spans="1:17" x14ac:dyDescent="0.2">
      <c r="A2441" t="s">
        <v>2971</v>
      </c>
      <c r="B2441" t="s">
        <v>586</v>
      </c>
      <c r="C2441" s="1">
        <v>45393.625</v>
      </c>
      <c r="D2441">
        <v>7749.54</v>
      </c>
      <c r="E2441" t="s">
        <v>80</v>
      </c>
      <c r="F2441" t="s">
        <v>17</v>
      </c>
      <c r="G2441" t="s">
        <v>28</v>
      </c>
      <c r="H2441" t="s">
        <v>36</v>
      </c>
      <c r="I2441" t="s">
        <v>36</v>
      </c>
      <c r="J2441" t="s">
        <v>51</v>
      </c>
      <c r="K2441">
        <v>1</v>
      </c>
      <c r="L2441">
        <v>1</v>
      </c>
      <c r="M2441">
        <v>4.2699999999999996</v>
      </c>
      <c r="N2441">
        <v>0</v>
      </c>
      <c r="O2441" t="str">
        <f>IF(financial_fraud_data[[#This Row],[Risk_Score]]&gt;8,"High",IF(financial_fraud_data[[#This Row],[Risk_Score]]&gt;5,"Med","Low"))</f>
        <v>Low</v>
      </c>
      <c r="P2441" t="str">
        <f>TEXT(financial_fraud_data[[#This Row],[Transaction_Date]],"MMM")</f>
        <v>Apr</v>
      </c>
      <c r="Q2441" t="str">
        <f>IF(financial_fraud_data[[#This Row],[Is_Fraud]]=1,"Yes","No")</f>
        <v>No</v>
      </c>
    </row>
    <row r="2442" spans="1:17" x14ac:dyDescent="0.2">
      <c r="A2442" t="s">
        <v>2972</v>
      </c>
      <c r="B2442" t="s">
        <v>306</v>
      </c>
      <c r="C2442" s="1">
        <v>45393.666666666664</v>
      </c>
      <c r="D2442">
        <v>27707.89</v>
      </c>
      <c r="E2442" t="s">
        <v>80</v>
      </c>
      <c r="F2442" t="s">
        <v>50</v>
      </c>
      <c r="G2442" t="s">
        <v>28</v>
      </c>
      <c r="H2442" t="s">
        <v>29</v>
      </c>
      <c r="I2442" t="s">
        <v>36</v>
      </c>
      <c r="J2442" t="s">
        <v>37</v>
      </c>
      <c r="K2442">
        <v>0</v>
      </c>
      <c r="L2442">
        <v>4</v>
      </c>
      <c r="M2442">
        <v>9.77</v>
      </c>
      <c r="N2442">
        <v>1</v>
      </c>
      <c r="O2442" t="str">
        <f>IF(financial_fraud_data[[#This Row],[Risk_Score]]&gt;8,"High",IF(financial_fraud_data[[#This Row],[Risk_Score]]&gt;5,"Med","Low"))</f>
        <v>High</v>
      </c>
      <c r="P2442" t="str">
        <f>TEXT(financial_fraud_data[[#This Row],[Transaction_Date]],"MMM")</f>
        <v>Apr</v>
      </c>
      <c r="Q2442" t="str">
        <f>IF(financial_fraud_data[[#This Row],[Is_Fraud]]=1,"Yes","No")</f>
        <v>Yes</v>
      </c>
    </row>
    <row r="2443" spans="1:17" x14ac:dyDescent="0.2">
      <c r="A2443" t="s">
        <v>2973</v>
      </c>
      <c r="B2443" t="s">
        <v>572</v>
      </c>
      <c r="C2443" s="1">
        <v>45393.708333333336</v>
      </c>
      <c r="D2443">
        <v>27108.16</v>
      </c>
      <c r="E2443" t="s">
        <v>34</v>
      </c>
      <c r="F2443" t="s">
        <v>47</v>
      </c>
      <c r="G2443" t="s">
        <v>18</v>
      </c>
      <c r="H2443" t="s">
        <v>29</v>
      </c>
      <c r="I2443" t="s">
        <v>19</v>
      </c>
      <c r="J2443" t="s">
        <v>51</v>
      </c>
      <c r="K2443">
        <v>0</v>
      </c>
      <c r="L2443">
        <v>1</v>
      </c>
      <c r="M2443">
        <v>5.21</v>
      </c>
      <c r="N2443">
        <v>1</v>
      </c>
      <c r="O2443" t="str">
        <f>IF(financial_fraud_data[[#This Row],[Risk_Score]]&gt;8,"High",IF(financial_fraud_data[[#This Row],[Risk_Score]]&gt;5,"Med","Low"))</f>
        <v>Med</v>
      </c>
      <c r="P2443" t="str">
        <f>TEXT(financial_fraud_data[[#This Row],[Transaction_Date]],"MMM")</f>
        <v>Apr</v>
      </c>
      <c r="Q2443" t="str">
        <f>IF(financial_fraud_data[[#This Row],[Is_Fraud]]=1,"Yes","No")</f>
        <v>Yes</v>
      </c>
    </row>
    <row r="2444" spans="1:17" x14ac:dyDescent="0.2">
      <c r="A2444" t="s">
        <v>2974</v>
      </c>
      <c r="B2444" t="s">
        <v>251</v>
      </c>
      <c r="C2444" s="1">
        <v>45393.75</v>
      </c>
      <c r="D2444">
        <v>38107</v>
      </c>
      <c r="E2444" t="s">
        <v>34</v>
      </c>
      <c r="F2444" t="s">
        <v>17</v>
      </c>
      <c r="G2444" t="s">
        <v>35</v>
      </c>
      <c r="H2444" t="s">
        <v>24</v>
      </c>
      <c r="I2444" t="s">
        <v>24</v>
      </c>
      <c r="J2444" t="s">
        <v>20</v>
      </c>
      <c r="K2444">
        <v>0</v>
      </c>
      <c r="L2444">
        <v>4</v>
      </c>
      <c r="M2444">
        <v>9.81</v>
      </c>
      <c r="N2444">
        <v>1</v>
      </c>
      <c r="O2444" t="str">
        <f>IF(financial_fraud_data[[#This Row],[Risk_Score]]&gt;8,"High",IF(financial_fraud_data[[#This Row],[Risk_Score]]&gt;5,"Med","Low"))</f>
        <v>High</v>
      </c>
      <c r="P2444" t="str">
        <f>TEXT(financial_fraud_data[[#This Row],[Transaction_Date]],"MMM")</f>
        <v>Apr</v>
      </c>
      <c r="Q2444" t="str">
        <f>IF(financial_fraud_data[[#This Row],[Is_Fraud]]=1,"Yes","No")</f>
        <v>Yes</v>
      </c>
    </row>
    <row r="2445" spans="1:17" x14ac:dyDescent="0.2">
      <c r="A2445" t="s">
        <v>2975</v>
      </c>
      <c r="B2445" t="s">
        <v>1671</v>
      </c>
      <c r="C2445" s="1">
        <v>45393.791666666664</v>
      </c>
      <c r="D2445">
        <v>41690.82</v>
      </c>
      <c r="E2445" t="s">
        <v>42</v>
      </c>
      <c r="F2445" t="s">
        <v>50</v>
      </c>
      <c r="G2445" t="s">
        <v>35</v>
      </c>
      <c r="H2445" t="s">
        <v>36</v>
      </c>
      <c r="I2445" t="s">
        <v>19</v>
      </c>
      <c r="J2445" t="s">
        <v>51</v>
      </c>
      <c r="K2445">
        <v>0</v>
      </c>
      <c r="L2445">
        <v>3</v>
      </c>
      <c r="M2445">
        <v>9.67</v>
      </c>
      <c r="N2445">
        <v>1</v>
      </c>
      <c r="O2445" t="str">
        <f>IF(financial_fraud_data[[#This Row],[Risk_Score]]&gt;8,"High",IF(financial_fraud_data[[#This Row],[Risk_Score]]&gt;5,"Med","Low"))</f>
        <v>High</v>
      </c>
      <c r="P2445" t="str">
        <f>TEXT(financial_fraud_data[[#This Row],[Transaction_Date]],"MMM")</f>
        <v>Apr</v>
      </c>
      <c r="Q2445" t="str">
        <f>IF(financial_fraud_data[[#This Row],[Is_Fraud]]=1,"Yes","No")</f>
        <v>Yes</v>
      </c>
    </row>
    <row r="2446" spans="1:17" x14ac:dyDescent="0.2">
      <c r="A2446" t="s">
        <v>2976</v>
      </c>
      <c r="B2446" t="s">
        <v>1373</v>
      </c>
      <c r="C2446" s="1">
        <v>45393.833333333336</v>
      </c>
      <c r="D2446">
        <v>22050.05</v>
      </c>
      <c r="E2446" t="s">
        <v>16</v>
      </c>
      <c r="F2446" t="s">
        <v>17</v>
      </c>
      <c r="G2446" t="s">
        <v>65</v>
      </c>
      <c r="H2446" t="s">
        <v>36</v>
      </c>
      <c r="I2446" t="s">
        <v>29</v>
      </c>
      <c r="J2446" t="s">
        <v>37</v>
      </c>
      <c r="K2446">
        <v>0</v>
      </c>
      <c r="L2446">
        <v>4</v>
      </c>
      <c r="M2446">
        <v>9.2100000000000009</v>
      </c>
      <c r="N2446">
        <v>1</v>
      </c>
      <c r="O2446" t="str">
        <f>IF(financial_fraud_data[[#This Row],[Risk_Score]]&gt;8,"High",IF(financial_fraud_data[[#This Row],[Risk_Score]]&gt;5,"Med","Low"))</f>
        <v>High</v>
      </c>
      <c r="P2446" t="str">
        <f>TEXT(financial_fraud_data[[#This Row],[Transaction_Date]],"MMM")</f>
        <v>Apr</v>
      </c>
      <c r="Q2446" t="str">
        <f>IF(financial_fraud_data[[#This Row],[Is_Fraud]]=1,"Yes","No")</f>
        <v>Yes</v>
      </c>
    </row>
    <row r="2447" spans="1:17" x14ac:dyDescent="0.2">
      <c r="A2447" t="s">
        <v>2977</v>
      </c>
      <c r="B2447" t="s">
        <v>199</v>
      </c>
      <c r="C2447" s="1">
        <v>45393.875</v>
      </c>
      <c r="D2447">
        <v>15151.55</v>
      </c>
      <c r="E2447" t="s">
        <v>34</v>
      </c>
      <c r="F2447" t="s">
        <v>47</v>
      </c>
      <c r="G2447" t="s">
        <v>28</v>
      </c>
      <c r="H2447" t="s">
        <v>19</v>
      </c>
      <c r="I2447" t="s">
        <v>24</v>
      </c>
      <c r="J2447" t="s">
        <v>51</v>
      </c>
      <c r="K2447">
        <v>0</v>
      </c>
      <c r="L2447">
        <v>0</v>
      </c>
      <c r="M2447">
        <v>2.52</v>
      </c>
      <c r="N2447">
        <v>0</v>
      </c>
      <c r="O2447" t="str">
        <f>IF(financial_fraud_data[[#This Row],[Risk_Score]]&gt;8,"High",IF(financial_fraud_data[[#This Row],[Risk_Score]]&gt;5,"Med","Low"))</f>
        <v>Low</v>
      </c>
      <c r="P2447" t="str">
        <f>TEXT(financial_fraud_data[[#This Row],[Transaction_Date]],"MMM")</f>
        <v>Apr</v>
      </c>
      <c r="Q2447" t="str">
        <f>IF(financial_fraud_data[[#This Row],[Is_Fraud]]=1,"Yes","No")</f>
        <v>No</v>
      </c>
    </row>
    <row r="2448" spans="1:17" x14ac:dyDescent="0.2">
      <c r="A2448" t="s">
        <v>2978</v>
      </c>
      <c r="B2448" t="s">
        <v>986</v>
      </c>
      <c r="C2448" s="1">
        <v>45393.916666666664</v>
      </c>
      <c r="D2448">
        <v>13003.78</v>
      </c>
      <c r="E2448" t="s">
        <v>34</v>
      </c>
      <c r="F2448" t="s">
        <v>47</v>
      </c>
      <c r="G2448" t="s">
        <v>28</v>
      </c>
      <c r="H2448" t="s">
        <v>29</v>
      </c>
      <c r="I2448" t="s">
        <v>29</v>
      </c>
      <c r="J2448" t="s">
        <v>20</v>
      </c>
      <c r="K2448">
        <v>0</v>
      </c>
      <c r="L2448">
        <v>3</v>
      </c>
      <c r="M2448">
        <v>5.8</v>
      </c>
      <c r="N2448">
        <v>1</v>
      </c>
      <c r="O2448" t="str">
        <f>IF(financial_fraud_data[[#This Row],[Risk_Score]]&gt;8,"High",IF(financial_fraud_data[[#This Row],[Risk_Score]]&gt;5,"Med","Low"))</f>
        <v>Med</v>
      </c>
      <c r="P2448" t="str">
        <f>TEXT(financial_fraud_data[[#This Row],[Transaction_Date]],"MMM")</f>
        <v>Apr</v>
      </c>
      <c r="Q2448" t="str">
        <f>IF(financial_fraud_data[[#This Row],[Is_Fraud]]=1,"Yes","No")</f>
        <v>Yes</v>
      </c>
    </row>
    <row r="2449" spans="1:17" x14ac:dyDescent="0.2">
      <c r="A2449" t="s">
        <v>2979</v>
      </c>
      <c r="B2449" t="s">
        <v>319</v>
      </c>
      <c r="C2449" s="1">
        <v>45393.958333333336</v>
      </c>
      <c r="D2449">
        <v>9771.4599999999991</v>
      </c>
      <c r="E2449" t="s">
        <v>34</v>
      </c>
      <c r="F2449" t="s">
        <v>50</v>
      </c>
      <c r="G2449" t="s">
        <v>65</v>
      </c>
      <c r="H2449" t="s">
        <v>23</v>
      </c>
      <c r="I2449" t="s">
        <v>19</v>
      </c>
      <c r="J2449" t="s">
        <v>20</v>
      </c>
      <c r="K2449">
        <v>0</v>
      </c>
      <c r="L2449">
        <v>0</v>
      </c>
      <c r="M2449">
        <v>1.98</v>
      </c>
      <c r="N2449">
        <v>0</v>
      </c>
      <c r="O2449" t="str">
        <f>IF(financial_fraud_data[[#This Row],[Risk_Score]]&gt;8,"High",IF(financial_fraud_data[[#This Row],[Risk_Score]]&gt;5,"Med","Low"))</f>
        <v>Low</v>
      </c>
      <c r="P2449" t="str">
        <f>TEXT(financial_fraud_data[[#This Row],[Transaction_Date]],"MMM")</f>
        <v>Apr</v>
      </c>
      <c r="Q2449" t="str">
        <f>IF(financial_fraud_data[[#This Row],[Is_Fraud]]=1,"Yes","No")</f>
        <v>No</v>
      </c>
    </row>
    <row r="2450" spans="1:17" x14ac:dyDescent="0.2">
      <c r="A2450" t="s">
        <v>2980</v>
      </c>
      <c r="B2450" t="s">
        <v>111</v>
      </c>
      <c r="C2450" s="1">
        <v>45394</v>
      </c>
      <c r="D2450">
        <v>2929.5</v>
      </c>
      <c r="E2450" t="s">
        <v>34</v>
      </c>
      <c r="F2450" t="s">
        <v>17</v>
      </c>
      <c r="G2450" t="s">
        <v>35</v>
      </c>
      <c r="H2450" t="s">
        <v>24</v>
      </c>
      <c r="I2450" t="s">
        <v>24</v>
      </c>
      <c r="J2450" t="s">
        <v>20</v>
      </c>
      <c r="K2450">
        <v>0</v>
      </c>
      <c r="L2450">
        <v>3</v>
      </c>
      <c r="M2450">
        <v>4.79</v>
      </c>
      <c r="N2450">
        <v>0</v>
      </c>
      <c r="O2450" t="str">
        <f>IF(financial_fraud_data[[#This Row],[Risk_Score]]&gt;8,"High",IF(financial_fraud_data[[#This Row],[Risk_Score]]&gt;5,"Med","Low"))</f>
        <v>Low</v>
      </c>
      <c r="P2450" t="str">
        <f>TEXT(financial_fraud_data[[#This Row],[Transaction_Date]],"MMM")</f>
        <v>Apr</v>
      </c>
      <c r="Q2450" t="str">
        <f>IF(financial_fraud_data[[#This Row],[Is_Fraud]]=1,"Yes","No")</f>
        <v>No</v>
      </c>
    </row>
    <row r="2451" spans="1:17" x14ac:dyDescent="0.2">
      <c r="A2451" t="s">
        <v>2981</v>
      </c>
      <c r="B2451" t="s">
        <v>683</v>
      </c>
      <c r="C2451" s="1">
        <v>45394.041666666664</v>
      </c>
      <c r="D2451">
        <v>17155.28</v>
      </c>
      <c r="E2451" t="s">
        <v>80</v>
      </c>
      <c r="F2451" t="s">
        <v>50</v>
      </c>
      <c r="G2451" t="s">
        <v>56</v>
      </c>
      <c r="H2451" t="s">
        <v>24</v>
      </c>
      <c r="I2451" t="s">
        <v>19</v>
      </c>
      <c r="J2451" t="s">
        <v>20</v>
      </c>
      <c r="K2451">
        <v>0</v>
      </c>
      <c r="L2451">
        <v>4</v>
      </c>
      <c r="M2451">
        <v>8.7200000000000006</v>
      </c>
      <c r="N2451">
        <v>1</v>
      </c>
      <c r="O2451" t="str">
        <f>IF(financial_fraud_data[[#This Row],[Risk_Score]]&gt;8,"High",IF(financial_fraud_data[[#This Row],[Risk_Score]]&gt;5,"Med","Low"))</f>
        <v>High</v>
      </c>
      <c r="P2451" t="str">
        <f>TEXT(financial_fraud_data[[#This Row],[Transaction_Date]],"MMM")</f>
        <v>Apr</v>
      </c>
      <c r="Q2451" t="str">
        <f>IF(financial_fraud_data[[#This Row],[Is_Fraud]]=1,"Yes","No")</f>
        <v>Yes</v>
      </c>
    </row>
    <row r="2452" spans="1:17" x14ac:dyDescent="0.2">
      <c r="A2452" t="s">
        <v>2982</v>
      </c>
      <c r="B2452" t="s">
        <v>1090</v>
      </c>
      <c r="C2452" s="1">
        <v>45394.083333333336</v>
      </c>
      <c r="D2452">
        <v>13548.87</v>
      </c>
      <c r="E2452" t="s">
        <v>34</v>
      </c>
      <c r="F2452" t="s">
        <v>50</v>
      </c>
      <c r="G2452" t="s">
        <v>56</v>
      </c>
      <c r="H2452" t="s">
        <v>24</v>
      </c>
      <c r="I2452" t="s">
        <v>23</v>
      </c>
      <c r="J2452" t="s">
        <v>37</v>
      </c>
      <c r="K2452">
        <v>0</v>
      </c>
      <c r="L2452">
        <v>4</v>
      </c>
      <c r="M2452">
        <v>8.35</v>
      </c>
      <c r="N2452">
        <v>1</v>
      </c>
      <c r="O2452" t="str">
        <f>IF(financial_fraud_data[[#This Row],[Risk_Score]]&gt;8,"High",IF(financial_fraud_data[[#This Row],[Risk_Score]]&gt;5,"Med","Low"))</f>
        <v>High</v>
      </c>
      <c r="P2452" t="str">
        <f>TEXT(financial_fraud_data[[#This Row],[Transaction_Date]],"MMM")</f>
        <v>Apr</v>
      </c>
      <c r="Q2452" t="str">
        <f>IF(financial_fraud_data[[#This Row],[Is_Fraud]]=1,"Yes","No")</f>
        <v>Yes</v>
      </c>
    </row>
    <row r="2453" spans="1:17" x14ac:dyDescent="0.2">
      <c r="A2453" t="s">
        <v>2983</v>
      </c>
      <c r="B2453" t="s">
        <v>1446</v>
      </c>
      <c r="C2453" s="1">
        <v>45394.125</v>
      </c>
      <c r="D2453">
        <v>48322.55</v>
      </c>
      <c r="E2453" t="s">
        <v>80</v>
      </c>
      <c r="F2453" t="s">
        <v>17</v>
      </c>
      <c r="G2453" t="s">
        <v>35</v>
      </c>
      <c r="H2453" t="s">
        <v>24</v>
      </c>
      <c r="I2453" t="s">
        <v>36</v>
      </c>
      <c r="J2453" t="s">
        <v>51</v>
      </c>
      <c r="K2453">
        <v>0</v>
      </c>
      <c r="L2453">
        <v>0</v>
      </c>
      <c r="M2453">
        <v>5.83</v>
      </c>
      <c r="N2453">
        <v>1</v>
      </c>
      <c r="O2453" t="str">
        <f>IF(financial_fraud_data[[#This Row],[Risk_Score]]&gt;8,"High",IF(financial_fraud_data[[#This Row],[Risk_Score]]&gt;5,"Med","Low"))</f>
        <v>Med</v>
      </c>
      <c r="P2453" t="str">
        <f>TEXT(financial_fraud_data[[#This Row],[Transaction_Date]],"MMM")</f>
        <v>Apr</v>
      </c>
      <c r="Q2453" t="str">
        <f>IF(financial_fraud_data[[#This Row],[Is_Fraud]]=1,"Yes","No")</f>
        <v>Yes</v>
      </c>
    </row>
    <row r="2454" spans="1:17" x14ac:dyDescent="0.2">
      <c r="A2454" t="s">
        <v>2984</v>
      </c>
      <c r="B2454" t="s">
        <v>265</v>
      </c>
      <c r="C2454" s="1">
        <v>45394.166666666664</v>
      </c>
      <c r="D2454">
        <v>27907.56</v>
      </c>
      <c r="E2454" t="s">
        <v>34</v>
      </c>
      <c r="F2454" t="s">
        <v>50</v>
      </c>
      <c r="G2454" t="s">
        <v>28</v>
      </c>
      <c r="H2454" t="s">
        <v>23</v>
      </c>
      <c r="I2454" t="s">
        <v>24</v>
      </c>
      <c r="J2454" t="s">
        <v>20</v>
      </c>
      <c r="K2454">
        <v>0</v>
      </c>
      <c r="L2454">
        <v>2</v>
      </c>
      <c r="M2454">
        <v>6.79</v>
      </c>
      <c r="N2454">
        <v>1</v>
      </c>
      <c r="O2454" t="str">
        <f>IF(financial_fraud_data[[#This Row],[Risk_Score]]&gt;8,"High",IF(financial_fraud_data[[#This Row],[Risk_Score]]&gt;5,"Med","Low"))</f>
        <v>Med</v>
      </c>
      <c r="P2454" t="str">
        <f>TEXT(financial_fraud_data[[#This Row],[Transaction_Date]],"MMM")</f>
        <v>Apr</v>
      </c>
      <c r="Q2454" t="str">
        <f>IF(financial_fraud_data[[#This Row],[Is_Fraud]]=1,"Yes","No")</f>
        <v>Yes</v>
      </c>
    </row>
    <row r="2455" spans="1:17" x14ac:dyDescent="0.2">
      <c r="A2455" t="s">
        <v>2985</v>
      </c>
      <c r="B2455" t="s">
        <v>289</v>
      </c>
      <c r="C2455" s="1">
        <v>45394.208333333336</v>
      </c>
      <c r="D2455">
        <v>17396.490000000002</v>
      </c>
      <c r="E2455" t="s">
        <v>16</v>
      </c>
      <c r="F2455" t="s">
        <v>47</v>
      </c>
      <c r="G2455" t="s">
        <v>56</v>
      </c>
      <c r="H2455" t="s">
        <v>23</v>
      </c>
      <c r="I2455" t="s">
        <v>36</v>
      </c>
      <c r="J2455" t="s">
        <v>51</v>
      </c>
      <c r="K2455">
        <v>0</v>
      </c>
      <c r="L2455">
        <v>4</v>
      </c>
      <c r="M2455">
        <v>8.74</v>
      </c>
      <c r="N2455">
        <v>1</v>
      </c>
      <c r="O2455" t="str">
        <f>IF(financial_fraud_data[[#This Row],[Risk_Score]]&gt;8,"High",IF(financial_fraud_data[[#This Row],[Risk_Score]]&gt;5,"Med","Low"))</f>
        <v>High</v>
      </c>
      <c r="P2455" t="str">
        <f>TEXT(financial_fraud_data[[#This Row],[Transaction_Date]],"MMM")</f>
        <v>Apr</v>
      </c>
      <c r="Q2455" t="str">
        <f>IF(financial_fraud_data[[#This Row],[Is_Fraud]]=1,"Yes","No")</f>
        <v>Yes</v>
      </c>
    </row>
    <row r="2456" spans="1:17" x14ac:dyDescent="0.2">
      <c r="A2456" t="s">
        <v>2986</v>
      </c>
      <c r="B2456" t="s">
        <v>532</v>
      </c>
      <c r="C2456" s="1">
        <v>45394.25</v>
      </c>
      <c r="D2456">
        <v>29044.36</v>
      </c>
      <c r="E2456" t="s">
        <v>42</v>
      </c>
      <c r="F2456" t="s">
        <v>17</v>
      </c>
      <c r="G2456" t="s">
        <v>18</v>
      </c>
      <c r="H2456" t="s">
        <v>19</v>
      </c>
      <c r="I2456" t="s">
        <v>23</v>
      </c>
      <c r="J2456" t="s">
        <v>37</v>
      </c>
      <c r="K2456">
        <v>0</v>
      </c>
      <c r="L2456">
        <v>2</v>
      </c>
      <c r="M2456">
        <v>6.9</v>
      </c>
      <c r="N2456">
        <v>1</v>
      </c>
      <c r="O2456" t="str">
        <f>IF(financial_fraud_data[[#This Row],[Risk_Score]]&gt;8,"High",IF(financial_fraud_data[[#This Row],[Risk_Score]]&gt;5,"Med","Low"))</f>
        <v>Med</v>
      </c>
      <c r="P2456" t="str">
        <f>TEXT(financial_fraud_data[[#This Row],[Transaction_Date]],"MMM")</f>
        <v>Apr</v>
      </c>
      <c r="Q2456" t="str">
        <f>IF(financial_fraud_data[[#This Row],[Is_Fraud]]=1,"Yes","No")</f>
        <v>Yes</v>
      </c>
    </row>
    <row r="2457" spans="1:17" x14ac:dyDescent="0.2">
      <c r="A2457" t="s">
        <v>2987</v>
      </c>
      <c r="B2457" t="s">
        <v>394</v>
      </c>
      <c r="C2457" s="1">
        <v>45394.291666666664</v>
      </c>
      <c r="D2457">
        <v>7002.88</v>
      </c>
      <c r="E2457" t="s">
        <v>16</v>
      </c>
      <c r="F2457" t="s">
        <v>17</v>
      </c>
      <c r="G2457" t="s">
        <v>18</v>
      </c>
      <c r="H2457" t="s">
        <v>29</v>
      </c>
      <c r="I2457" t="s">
        <v>24</v>
      </c>
      <c r="J2457" t="s">
        <v>51</v>
      </c>
      <c r="K2457">
        <v>0</v>
      </c>
      <c r="L2457">
        <v>3</v>
      </c>
      <c r="M2457">
        <v>6.2</v>
      </c>
      <c r="N2457">
        <v>1</v>
      </c>
      <c r="O2457" t="str">
        <f>IF(financial_fraud_data[[#This Row],[Risk_Score]]&gt;8,"High",IF(financial_fraud_data[[#This Row],[Risk_Score]]&gt;5,"Med","Low"))</f>
        <v>Med</v>
      </c>
      <c r="P2457" t="str">
        <f>TEXT(financial_fraud_data[[#This Row],[Transaction_Date]],"MMM")</f>
        <v>Apr</v>
      </c>
      <c r="Q2457" t="str">
        <f>IF(financial_fraud_data[[#This Row],[Is_Fraud]]=1,"Yes","No")</f>
        <v>Yes</v>
      </c>
    </row>
    <row r="2458" spans="1:17" x14ac:dyDescent="0.2">
      <c r="A2458" t="s">
        <v>2988</v>
      </c>
      <c r="B2458" t="s">
        <v>560</v>
      </c>
      <c r="C2458" s="1">
        <v>45394.333333333336</v>
      </c>
      <c r="D2458">
        <v>22229.99</v>
      </c>
      <c r="E2458" t="s">
        <v>34</v>
      </c>
      <c r="F2458" t="s">
        <v>17</v>
      </c>
      <c r="G2458" t="s">
        <v>65</v>
      </c>
      <c r="H2458" t="s">
        <v>23</v>
      </c>
      <c r="I2458" t="s">
        <v>36</v>
      </c>
      <c r="J2458" t="s">
        <v>51</v>
      </c>
      <c r="K2458">
        <v>0</v>
      </c>
      <c r="L2458">
        <v>2</v>
      </c>
      <c r="M2458">
        <v>6.22</v>
      </c>
      <c r="N2458">
        <v>1</v>
      </c>
      <c r="O2458" t="str">
        <f>IF(financial_fraud_data[[#This Row],[Risk_Score]]&gt;8,"High",IF(financial_fraud_data[[#This Row],[Risk_Score]]&gt;5,"Med","Low"))</f>
        <v>Med</v>
      </c>
      <c r="P2458" t="str">
        <f>TEXT(financial_fraud_data[[#This Row],[Transaction_Date]],"MMM")</f>
        <v>Apr</v>
      </c>
      <c r="Q2458" t="str">
        <f>IF(financial_fraud_data[[#This Row],[Is_Fraud]]=1,"Yes","No")</f>
        <v>Yes</v>
      </c>
    </row>
    <row r="2459" spans="1:17" x14ac:dyDescent="0.2">
      <c r="A2459" t="s">
        <v>2989</v>
      </c>
      <c r="B2459" t="s">
        <v>2004</v>
      </c>
      <c r="C2459" s="1">
        <v>45394.375</v>
      </c>
      <c r="D2459">
        <v>31330.400000000001</v>
      </c>
      <c r="E2459" t="s">
        <v>34</v>
      </c>
      <c r="F2459" t="s">
        <v>17</v>
      </c>
      <c r="G2459" t="s">
        <v>35</v>
      </c>
      <c r="H2459" t="s">
        <v>19</v>
      </c>
      <c r="I2459" t="s">
        <v>36</v>
      </c>
      <c r="J2459" t="s">
        <v>20</v>
      </c>
      <c r="K2459">
        <v>0</v>
      </c>
      <c r="L2459">
        <v>0</v>
      </c>
      <c r="M2459">
        <v>4.13</v>
      </c>
      <c r="N2459">
        <v>0</v>
      </c>
      <c r="O2459" t="str">
        <f>IF(financial_fraud_data[[#This Row],[Risk_Score]]&gt;8,"High",IF(financial_fraud_data[[#This Row],[Risk_Score]]&gt;5,"Med","Low"))</f>
        <v>Low</v>
      </c>
      <c r="P2459" t="str">
        <f>TEXT(financial_fraud_data[[#This Row],[Transaction_Date]],"MMM")</f>
        <v>Apr</v>
      </c>
      <c r="Q2459" t="str">
        <f>IF(financial_fraud_data[[#This Row],[Is_Fraud]]=1,"Yes","No")</f>
        <v>No</v>
      </c>
    </row>
    <row r="2460" spans="1:17" x14ac:dyDescent="0.2">
      <c r="A2460" t="s">
        <v>2990</v>
      </c>
      <c r="B2460" t="s">
        <v>1867</v>
      </c>
      <c r="C2460" s="1">
        <v>45394.416666666664</v>
      </c>
      <c r="D2460">
        <v>24470.45</v>
      </c>
      <c r="E2460" t="s">
        <v>34</v>
      </c>
      <c r="F2460" t="s">
        <v>50</v>
      </c>
      <c r="G2460" t="s">
        <v>35</v>
      </c>
      <c r="H2460" t="s">
        <v>36</v>
      </c>
      <c r="I2460" t="s">
        <v>24</v>
      </c>
      <c r="J2460" t="s">
        <v>20</v>
      </c>
      <c r="K2460">
        <v>0</v>
      </c>
      <c r="L2460">
        <v>1</v>
      </c>
      <c r="M2460">
        <v>4.95</v>
      </c>
      <c r="N2460">
        <v>0</v>
      </c>
      <c r="O2460" t="str">
        <f>IF(financial_fraud_data[[#This Row],[Risk_Score]]&gt;8,"High",IF(financial_fraud_data[[#This Row],[Risk_Score]]&gt;5,"Med","Low"))</f>
        <v>Low</v>
      </c>
      <c r="P2460" t="str">
        <f>TEXT(financial_fraud_data[[#This Row],[Transaction_Date]],"MMM")</f>
        <v>Apr</v>
      </c>
      <c r="Q2460" t="str">
        <f>IF(financial_fraud_data[[#This Row],[Is_Fraud]]=1,"Yes","No")</f>
        <v>No</v>
      </c>
    </row>
    <row r="2461" spans="1:17" x14ac:dyDescent="0.2">
      <c r="A2461" t="s">
        <v>2991</v>
      </c>
      <c r="B2461" t="s">
        <v>444</v>
      </c>
      <c r="C2461" s="1">
        <v>45394.458333333336</v>
      </c>
      <c r="D2461">
        <v>20118.849999999999</v>
      </c>
      <c r="E2461" t="s">
        <v>16</v>
      </c>
      <c r="F2461" t="s">
        <v>50</v>
      </c>
      <c r="G2461" t="s">
        <v>56</v>
      </c>
      <c r="H2461" t="s">
        <v>29</v>
      </c>
      <c r="I2461" t="s">
        <v>36</v>
      </c>
      <c r="J2461" t="s">
        <v>37</v>
      </c>
      <c r="K2461">
        <v>0</v>
      </c>
      <c r="L2461">
        <v>1</v>
      </c>
      <c r="M2461">
        <v>4.51</v>
      </c>
      <c r="N2461">
        <v>0</v>
      </c>
      <c r="O2461" t="str">
        <f>IF(financial_fraud_data[[#This Row],[Risk_Score]]&gt;8,"High",IF(financial_fraud_data[[#This Row],[Risk_Score]]&gt;5,"Med","Low"))</f>
        <v>Low</v>
      </c>
      <c r="P2461" t="str">
        <f>TEXT(financial_fraud_data[[#This Row],[Transaction_Date]],"MMM")</f>
        <v>Apr</v>
      </c>
      <c r="Q2461" t="str">
        <f>IF(financial_fraud_data[[#This Row],[Is_Fraud]]=1,"Yes","No")</f>
        <v>No</v>
      </c>
    </row>
    <row r="2462" spans="1:17" x14ac:dyDescent="0.2">
      <c r="A2462" t="s">
        <v>2992</v>
      </c>
      <c r="B2462" t="s">
        <v>125</v>
      </c>
      <c r="C2462" s="1">
        <v>45394.5</v>
      </c>
      <c r="D2462">
        <v>49692.73</v>
      </c>
      <c r="E2462" t="s">
        <v>34</v>
      </c>
      <c r="F2462" t="s">
        <v>47</v>
      </c>
      <c r="G2462" t="s">
        <v>28</v>
      </c>
      <c r="H2462" t="s">
        <v>23</v>
      </c>
      <c r="I2462" t="s">
        <v>36</v>
      </c>
      <c r="J2462" t="s">
        <v>51</v>
      </c>
      <c r="K2462">
        <v>0</v>
      </c>
      <c r="L2462">
        <v>0</v>
      </c>
      <c r="M2462">
        <v>5.97</v>
      </c>
      <c r="N2462">
        <v>1</v>
      </c>
      <c r="O2462" t="str">
        <f>IF(financial_fraud_data[[#This Row],[Risk_Score]]&gt;8,"High",IF(financial_fraud_data[[#This Row],[Risk_Score]]&gt;5,"Med","Low"))</f>
        <v>Med</v>
      </c>
      <c r="P2462" t="str">
        <f>TEXT(financial_fraud_data[[#This Row],[Transaction_Date]],"MMM")</f>
        <v>Apr</v>
      </c>
      <c r="Q2462" t="str">
        <f>IF(financial_fraud_data[[#This Row],[Is_Fraud]]=1,"Yes","No")</f>
        <v>Yes</v>
      </c>
    </row>
    <row r="2463" spans="1:17" x14ac:dyDescent="0.2">
      <c r="A2463" t="s">
        <v>2993</v>
      </c>
      <c r="B2463" t="s">
        <v>457</v>
      </c>
      <c r="C2463" s="1">
        <v>45394.541666666664</v>
      </c>
      <c r="D2463">
        <v>44021.72</v>
      </c>
      <c r="E2463" t="s">
        <v>16</v>
      </c>
      <c r="F2463" t="s">
        <v>27</v>
      </c>
      <c r="G2463" t="s">
        <v>35</v>
      </c>
      <c r="H2463" t="s">
        <v>36</v>
      </c>
      <c r="I2463" t="s">
        <v>24</v>
      </c>
      <c r="J2463" t="s">
        <v>37</v>
      </c>
      <c r="K2463">
        <v>0</v>
      </c>
      <c r="L2463">
        <v>1</v>
      </c>
      <c r="M2463">
        <v>6.9</v>
      </c>
      <c r="N2463">
        <v>1</v>
      </c>
      <c r="O2463" t="str">
        <f>IF(financial_fraud_data[[#This Row],[Risk_Score]]&gt;8,"High",IF(financial_fraud_data[[#This Row],[Risk_Score]]&gt;5,"Med","Low"))</f>
        <v>Med</v>
      </c>
      <c r="P2463" t="str">
        <f>TEXT(financial_fraud_data[[#This Row],[Transaction_Date]],"MMM")</f>
        <v>Apr</v>
      </c>
      <c r="Q2463" t="str">
        <f>IF(financial_fraud_data[[#This Row],[Is_Fraud]]=1,"Yes","No")</f>
        <v>Yes</v>
      </c>
    </row>
    <row r="2464" spans="1:17" x14ac:dyDescent="0.2">
      <c r="A2464" t="s">
        <v>2994</v>
      </c>
      <c r="B2464" t="s">
        <v>1389</v>
      </c>
      <c r="C2464" s="1">
        <v>45394.583333333336</v>
      </c>
      <c r="D2464">
        <v>31189.13</v>
      </c>
      <c r="E2464" t="s">
        <v>80</v>
      </c>
      <c r="F2464" t="s">
        <v>27</v>
      </c>
      <c r="G2464" t="s">
        <v>56</v>
      </c>
      <c r="H2464" t="s">
        <v>19</v>
      </c>
      <c r="I2464" t="s">
        <v>36</v>
      </c>
      <c r="J2464" t="s">
        <v>37</v>
      </c>
      <c r="K2464">
        <v>0</v>
      </c>
      <c r="L2464">
        <v>0</v>
      </c>
      <c r="M2464">
        <v>4.12</v>
      </c>
      <c r="N2464">
        <v>0</v>
      </c>
      <c r="O2464" t="str">
        <f>IF(financial_fraud_data[[#This Row],[Risk_Score]]&gt;8,"High",IF(financial_fraud_data[[#This Row],[Risk_Score]]&gt;5,"Med","Low"))</f>
        <v>Low</v>
      </c>
      <c r="P2464" t="str">
        <f>TEXT(financial_fraud_data[[#This Row],[Transaction_Date]],"MMM")</f>
        <v>Apr</v>
      </c>
      <c r="Q2464" t="str">
        <f>IF(financial_fraud_data[[#This Row],[Is_Fraud]]=1,"Yes","No")</f>
        <v>No</v>
      </c>
    </row>
    <row r="2465" spans="1:17" x14ac:dyDescent="0.2">
      <c r="A2465" t="s">
        <v>2995</v>
      </c>
      <c r="B2465" t="s">
        <v>261</v>
      </c>
      <c r="C2465" s="1">
        <v>45394.625</v>
      </c>
      <c r="D2465">
        <v>28490.400000000001</v>
      </c>
      <c r="E2465" t="s">
        <v>42</v>
      </c>
      <c r="F2465" t="s">
        <v>47</v>
      </c>
      <c r="G2465" t="s">
        <v>56</v>
      </c>
      <c r="H2465" t="s">
        <v>23</v>
      </c>
      <c r="I2465" t="s">
        <v>36</v>
      </c>
      <c r="J2465" t="s">
        <v>37</v>
      </c>
      <c r="K2465">
        <v>0</v>
      </c>
      <c r="L2465">
        <v>4</v>
      </c>
      <c r="M2465">
        <v>9.85</v>
      </c>
      <c r="N2465">
        <v>1</v>
      </c>
      <c r="O2465" t="str">
        <f>IF(financial_fraud_data[[#This Row],[Risk_Score]]&gt;8,"High",IF(financial_fraud_data[[#This Row],[Risk_Score]]&gt;5,"Med","Low"))</f>
        <v>High</v>
      </c>
      <c r="P2465" t="str">
        <f>TEXT(financial_fraud_data[[#This Row],[Transaction_Date]],"MMM")</f>
        <v>Apr</v>
      </c>
      <c r="Q2465" t="str">
        <f>IF(financial_fraud_data[[#This Row],[Is_Fraud]]=1,"Yes","No")</f>
        <v>Yes</v>
      </c>
    </row>
    <row r="2466" spans="1:17" x14ac:dyDescent="0.2">
      <c r="A2466" t="s">
        <v>2996</v>
      </c>
      <c r="B2466" t="s">
        <v>1843</v>
      </c>
      <c r="C2466" s="1">
        <v>45394.666666666664</v>
      </c>
      <c r="D2466">
        <v>31051.99</v>
      </c>
      <c r="E2466" t="s">
        <v>42</v>
      </c>
      <c r="F2466" t="s">
        <v>27</v>
      </c>
      <c r="G2466" t="s">
        <v>35</v>
      </c>
      <c r="H2466" t="s">
        <v>23</v>
      </c>
      <c r="I2466" t="s">
        <v>29</v>
      </c>
      <c r="J2466" t="s">
        <v>20</v>
      </c>
      <c r="K2466">
        <v>0</v>
      </c>
      <c r="L2466">
        <v>2</v>
      </c>
      <c r="M2466">
        <v>7.11</v>
      </c>
      <c r="N2466">
        <v>1</v>
      </c>
      <c r="O2466" t="str">
        <f>IF(financial_fraud_data[[#This Row],[Risk_Score]]&gt;8,"High",IF(financial_fraud_data[[#This Row],[Risk_Score]]&gt;5,"Med","Low"))</f>
        <v>Med</v>
      </c>
      <c r="P2466" t="str">
        <f>TEXT(financial_fraud_data[[#This Row],[Transaction_Date]],"MMM")</f>
        <v>Apr</v>
      </c>
      <c r="Q2466" t="str">
        <f>IF(financial_fraud_data[[#This Row],[Is_Fraud]]=1,"Yes","No")</f>
        <v>Yes</v>
      </c>
    </row>
    <row r="2467" spans="1:17" x14ac:dyDescent="0.2">
      <c r="A2467" t="s">
        <v>2997</v>
      </c>
      <c r="B2467" t="s">
        <v>312</v>
      </c>
      <c r="C2467" s="1">
        <v>45394.708333333336</v>
      </c>
      <c r="D2467">
        <v>10105.540000000001</v>
      </c>
      <c r="E2467" t="s">
        <v>16</v>
      </c>
      <c r="F2467" t="s">
        <v>47</v>
      </c>
      <c r="G2467" t="s">
        <v>56</v>
      </c>
      <c r="H2467" t="s">
        <v>36</v>
      </c>
      <c r="I2467" t="s">
        <v>29</v>
      </c>
      <c r="J2467" t="s">
        <v>20</v>
      </c>
      <c r="K2467">
        <v>0</v>
      </c>
      <c r="L2467">
        <v>1</v>
      </c>
      <c r="M2467">
        <v>3.51</v>
      </c>
      <c r="N2467">
        <v>0</v>
      </c>
      <c r="O2467" t="str">
        <f>IF(financial_fraud_data[[#This Row],[Risk_Score]]&gt;8,"High",IF(financial_fraud_data[[#This Row],[Risk_Score]]&gt;5,"Med","Low"))</f>
        <v>Low</v>
      </c>
      <c r="P2467" t="str">
        <f>TEXT(financial_fraud_data[[#This Row],[Transaction_Date]],"MMM")</f>
        <v>Apr</v>
      </c>
      <c r="Q2467" t="str">
        <f>IF(financial_fraud_data[[#This Row],[Is_Fraud]]=1,"Yes","No")</f>
        <v>No</v>
      </c>
    </row>
    <row r="2468" spans="1:17" x14ac:dyDescent="0.2">
      <c r="A2468" t="s">
        <v>2998</v>
      </c>
      <c r="B2468" t="s">
        <v>319</v>
      </c>
      <c r="C2468" s="1">
        <v>45394.75</v>
      </c>
      <c r="D2468">
        <v>19787.13</v>
      </c>
      <c r="E2468" t="s">
        <v>80</v>
      </c>
      <c r="F2468" t="s">
        <v>50</v>
      </c>
      <c r="G2468" t="s">
        <v>65</v>
      </c>
      <c r="H2468" t="s">
        <v>23</v>
      </c>
      <c r="I2468" t="s">
        <v>23</v>
      </c>
      <c r="J2468" t="s">
        <v>51</v>
      </c>
      <c r="K2468">
        <v>0</v>
      </c>
      <c r="L2468">
        <v>4</v>
      </c>
      <c r="M2468">
        <v>7.98</v>
      </c>
      <c r="N2468">
        <v>1</v>
      </c>
      <c r="O2468" t="str">
        <f>IF(financial_fraud_data[[#This Row],[Risk_Score]]&gt;8,"High",IF(financial_fraud_data[[#This Row],[Risk_Score]]&gt;5,"Med","Low"))</f>
        <v>Med</v>
      </c>
      <c r="P2468" t="str">
        <f>TEXT(financial_fraud_data[[#This Row],[Transaction_Date]],"MMM")</f>
        <v>Apr</v>
      </c>
      <c r="Q2468" t="str">
        <f>IF(financial_fraud_data[[#This Row],[Is_Fraud]]=1,"Yes","No")</f>
        <v>Yes</v>
      </c>
    </row>
    <row r="2469" spans="1:17" x14ac:dyDescent="0.2">
      <c r="A2469" t="s">
        <v>2999</v>
      </c>
      <c r="B2469" t="s">
        <v>519</v>
      </c>
      <c r="C2469" s="1">
        <v>45394.791666666664</v>
      </c>
      <c r="D2469">
        <v>2021</v>
      </c>
      <c r="E2469" t="s">
        <v>16</v>
      </c>
      <c r="F2469" t="s">
        <v>17</v>
      </c>
      <c r="G2469" t="s">
        <v>65</v>
      </c>
      <c r="H2469" t="s">
        <v>24</v>
      </c>
      <c r="I2469" t="s">
        <v>29</v>
      </c>
      <c r="J2469" t="s">
        <v>51</v>
      </c>
      <c r="K2469">
        <v>0</v>
      </c>
      <c r="L2469">
        <v>1</v>
      </c>
      <c r="M2469">
        <v>2.7</v>
      </c>
      <c r="N2469">
        <v>0</v>
      </c>
      <c r="O2469" t="str">
        <f>IF(financial_fraud_data[[#This Row],[Risk_Score]]&gt;8,"High",IF(financial_fraud_data[[#This Row],[Risk_Score]]&gt;5,"Med","Low"))</f>
        <v>Low</v>
      </c>
      <c r="P2469" t="str">
        <f>TEXT(financial_fraud_data[[#This Row],[Transaction_Date]],"MMM")</f>
        <v>Apr</v>
      </c>
      <c r="Q2469" t="str">
        <f>IF(financial_fraud_data[[#This Row],[Is_Fraud]]=1,"Yes","No")</f>
        <v>No</v>
      </c>
    </row>
    <row r="2470" spans="1:17" x14ac:dyDescent="0.2">
      <c r="A2470" t="s">
        <v>3000</v>
      </c>
      <c r="B2470" t="s">
        <v>1867</v>
      </c>
      <c r="C2470" s="1">
        <v>45394.833333333336</v>
      </c>
      <c r="D2470">
        <v>23803.52</v>
      </c>
      <c r="E2470" t="s">
        <v>80</v>
      </c>
      <c r="F2470" t="s">
        <v>17</v>
      </c>
      <c r="G2470" t="s">
        <v>35</v>
      </c>
      <c r="H2470" t="s">
        <v>23</v>
      </c>
      <c r="I2470" t="s">
        <v>29</v>
      </c>
      <c r="J2470" t="s">
        <v>51</v>
      </c>
      <c r="K2470">
        <v>0</v>
      </c>
      <c r="L2470">
        <v>3</v>
      </c>
      <c r="M2470">
        <v>7.88</v>
      </c>
      <c r="N2470">
        <v>1</v>
      </c>
      <c r="O2470" t="str">
        <f>IF(financial_fraud_data[[#This Row],[Risk_Score]]&gt;8,"High",IF(financial_fraud_data[[#This Row],[Risk_Score]]&gt;5,"Med","Low"))</f>
        <v>Med</v>
      </c>
      <c r="P2470" t="str">
        <f>TEXT(financial_fraud_data[[#This Row],[Transaction_Date]],"MMM")</f>
        <v>Apr</v>
      </c>
      <c r="Q2470" t="str">
        <f>IF(financial_fraud_data[[#This Row],[Is_Fraud]]=1,"Yes","No")</f>
        <v>Yes</v>
      </c>
    </row>
    <row r="2471" spans="1:17" x14ac:dyDescent="0.2">
      <c r="A2471" t="s">
        <v>3001</v>
      </c>
      <c r="B2471" t="s">
        <v>154</v>
      </c>
      <c r="C2471" s="1">
        <v>45394.875</v>
      </c>
      <c r="D2471">
        <v>27174.080000000002</v>
      </c>
      <c r="E2471" t="s">
        <v>34</v>
      </c>
      <c r="F2471" t="s">
        <v>50</v>
      </c>
      <c r="G2471" t="s">
        <v>28</v>
      </c>
      <c r="H2471" t="s">
        <v>29</v>
      </c>
      <c r="I2471" t="s">
        <v>23</v>
      </c>
      <c r="J2471" t="s">
        <v>20</v>
      </c>
      <c r="K2471">
        <v>1</v>
      </c>
      <c r="L2471">
        <v>0</v>
      </c>
      <c r="M2471">
        <v>5.72</v>
      </c>
      <c r="N2471">
        <v>1</v>
      </c>
      <c r="O2471" t="str">
        <f>IF(financial_fraud_data[[#This Row],[Risk_Score]]&gt;8,"High",IF(financial_fraud_data[[#This Row],[Risk_Score]]&gt;5,"Med","Low"))</f>
        <v>Med</v>
      </c>
      <c r="P2471" t="str">
        <f>TEXT(financial_fraud_data[[#This Row],[Transaction_Date]],"MMM")</f>
        <v>Apr</v>
      </c>
      <c r="Q2471" t="str">
        <f>IF(financial_fraud_data[[#This Row],[Is_Fraud]]=1,"Yes","No")</f>
        <v>Yes</v>
      </c>
    </row>
    <row r="2472" spans="1:17" x14ac:dyDescent="0.2">
      <c r="A2472" t="s">
        <v>3002</v>
      </c>
      <c r="B2472" t="s">
        <v>337</v>
      </c>
      <c r="C2472" s="1">
        <v>45394.916666666664</v>
      </c>
      <c r="D2472">
        <v>11426.1</v>
      </c>
      <c r="E2472" t="s">
        <v>80</v>
      </c>
      <c r="F2472" t="s">
        <v>17</v>
      </c>
      <c r="G2472" t="s">
        <v>65</v>
      </c>
      <c r="H2472" t="s">
        <v>36</v>
      </c>
      <c r="I2472" t="s">
        <v>36</v>
      </c>
      <c r="J2472" t="s">
        <v>20</v>
      </c>
      <c r="K2472">
        <v>1</v>
      </c>
      <c r="L2472">
        <v>0</v>
      </c>
      <c r="M2472">
        <v>3.14</v>
      </c>
      <c r="N2472">
        <v>0</v>
      </c>
      <c r="O2472" t="str">
        <f>IF(financial_fraud_data[[#This Row],[Risk_Score]]&gt;8,"High",IF(financial_fraud_data[[#This Row],[Risk_Score]]&gt;5,"Med","Low"))</f>
        <v>Low</v>
      </c>
      <c r="P2472" t="str">
        <f>TEXT(financial_fraud_data[[#This Row],[Transaction_Date]],"MMM")</f>
        <v>Apr</v>
      </c>
      <c r="Q2472" t="str">
        <f>IF(financial_fraud_data[[#This Row],[Is_Fraud]]=1,"Yes","No")</f>
        <v>No</v>
      </c>
    </row>
    <row r="2473" spans="1:17" x14ac:dyDescent="0.2">
      <c r="A2473" t="s">
        <v>3003</v>
      </c>
      <c r="B2473" t="s">
        <v>941</v>
      </c>
      <c r="C2473" s="1">
        <v>45394.958333333336</v>
      </c>
      <c r="D2473">
        <v>48203.24</v>
      </c>
      <c r="E2473" t="s">
        <v>80</v>
      </c>
      <c r="F2473" t="s">
        <v>17</v>
      </c>
      <c r="G2473" t="s">
        <v>65</v>
      </c>
      <c r="H2473" t="s">
        <v>29</v>
      </c>
      <c r="I2473" t="s">
        <v>36</v>
      </c>
      <c r="J2473" t="s">
        <v>37</v>
      </c>
      <c r="K2473">
        <v>0</v>
      </c>
      <c r="L2473">
        <v>4</v>
      </c>
      <c r="M2473">
        <v>11.82</v>
      </c>
      <c r="N2473">
        <v>1</v>
      </c>
      <c r="O2473" t="str">
        <f>IF(financial_fraud_data[[#This Row],[Risk_Score]]&gt;8,"High",IF(financial_fraud_data[[#This Row],[Risk_Score]]&gt;5,"Med","Low"))</f>
        <v>High</v>
      </c>
      <c r="P2473" t="str">
        <f>TEXT(financial_fraud_data[[#This Row],[Transaction_Date]],"MMM")</f>
        <v>Apr</v>
      </c>
      <c r="Q2473" t="str">
        <f>IF(financial_fraud_data[[#This Row],[Is_Fraud]]=1,"Yes","No")</f>
        <v>Yes</v>
      </c>
    </row>
    <row r="2474" spans="1:17" x14ac:dyDescent="0.2">
      <c r="A2474" t="s">
        <v>3004</v>
      </c>
      <c r="B2474" t="s">
        <v>162</v>
      </c>
      <c r="C2474" s="1">
        <v>45395</v>
      </c>
      <c r="D2474">
        <v>45477.26</v>
      </c>
      <c r="E2474" t="s">
        <v>80</v>
      </c>
      <c r="F2474" t="s">
        <v>27</v>
      </c>
      <c r="G2474" t="s">
        <v>35</v>
      </c>
      <c r="H2474" t="s">
        <v>19</v>
      </c>
      <c r="I2474" t="s">
        <v>29</v>
      </c>
      <c r="J2474" t="s">
        <v>20</v>
      </c>
      <c r="K2474">
        <v>0</v>
      </c>
      <c r="L2474">
        <v>3</v>
      </c>
      <c r="M2474">
        <v>10.050000000000001</v>
      </c>
      <c r="N2474">
        <v>1</v>
      </c>
      <c r="O2474" t="str">
        <f>IF(financial_fraud_data[[#This Row],[Risk_Score]]&gt;8,"High",IF(financial_fraud_data[[#This Row],[Risk_Score]]&gt;5,"Med","Low"))</f>
        <v>High</v>
      </c>
      <c r="P2474" t="str">
        <f>TEXT(financial_fraud_data[[#This Row],[Transaction_Date]],"MMM")</f>
        <v>Apr</v>
      </c>
      <c r="Q2474" t="str">
        <f>IF(financial_fraud_data[[#This Row],[Is_Fraud]]=1,"Yes","No")</f>
        <v>Yes</v>
      </c>
    </row>
    <row r="2475" spans="1:17" x14ac:dyDescent="0.2">
      <c r="A2475" t="s">
        <v>3005</v>
      </c>
      <c r="B2475" t="s">
        <v>711</v>
      </c>
      <c r="C2475" s="1">
        <v>45395.041666666664</v>
      </c>
      <c r="D2475">
        <v>36121.050000000003</v>
      </c>
      <c r="E2475" t="s">
        <v>42</v>
      </c>
      <c r="F2475" t="s">
        <v>50</v>
      </c>
      <c r="G2475" t="s">
        <v>18</v>
      </c>
      <c r="H2475" t="s">
        <v>29</v>
      </c>
      <c r="I2475" t="s">
        <v>23</v>
      </c>
      <c r="J2475" t="s">
        <v>37</v>
      </c>
      <c r="K2475">
        <v>0</v>
      </c>
      <c r="L2475">
        <v>2</v>
      </c>
      <c r="M2475">
        <v>7.61</v>
      </c>
      <c r="N2475">
        <v>1</v>
      </c>
      <c r="O2475" t="str">
        <f>IF(financial_fraud_data[[#This Row],[Risk_Score]]&gt;8,"High",IF(financial_fraud_data[[#This Row],[Risk_Score]]&gt;5,"Med","Low"))</f>
        <v>Med</v>
      </c>
      <c r="P2475" t="str">
        <f>TEXT(financial_fraud_data[[#This Row],[Transaction_Date]],"MMM")</f>
        <v>Apr</v>
      </c>
      <c r="Q2475" t="str">
        <f>IF(financial_fraud_data[[#This Row],[Is_Fraud]]=1,"Yes","No")</f>
        <v>Yes</v>
      </c>
    </row>
    <row r="2476" spans="1:17" x14ac:dyDescent="0.2">
      <c r="A2476" t="s">
        <v>3006</v>
      </c>
      <c r="B2476" t="s">
        <v>1226</v>
      </c>
      <c r="C2476" s="1">
        <v>45395.083333333336</v>
      </c>
      <c r="D2476">
        <v>26692.66</v>
      </c>
      <c r="E2476" t="s">
        <v>80</v>
      </c>
      <c r="F2476" t="s">
        <v>27</v>
      </c>
      <c r="G2476" t="s">
        <v>56</v>
      </c>
      <c r="H2476" t="s">
        <v>24</v>
      </c>
      <c r="I2476" t="s">
        <v>36</v>
      </c>
      <c r="J2476" t="s">
        <v>37</v>
      </c>
      <c r="K2476">
        <v>0</v>
      </c>
      <c r="L2476">
        <v>3</v>
      </c>
      <c r="M2476">
        <v>8.17</v>
      </c>
      <c r="N2476">
        <v>1</v>
      </c>
      <c r="O2476" t="str">
        <f>IF(financial_fraud_data[[#This Row],[Risk_Score]]&gt;8,"High",IF(financial_fraud_data[[#This Row],[Risk_Score]]&gt;5,"Med","Low"))</f>
        <v>High</v>
      </c>
      <c r="P2476" t="str">
        <f>TEXT(financial_fraud_data[[#This Row],[Transaction_Date]],"MMM")</f>
        <v>Apr</v>
      </c>
      <c r="Q2476" t="str">
        <f>IF(financial_fraud_data[[#This Row],[Is_Fraud]]=1,"Yes","No")</f>
        <v>Yes</v>
      </c>
    </row>
    <row r="2477" spans="1:17" x14ac:dyDescent="0.2">
      <c r="A2477" t="s">
        <v>3007</v>
      </c>
      <c r="B2477" t="s">
        <v>920</v>
      </c>
      <c r="C2477" s="1">
        <v>45395.125</v>
      </c>
      <c r="D2477">
        <v>43504.959999999999</v>
      </c>
      <c r="E2477" t="s">
        <v>34</v>
      </c>
      <c r="F2477" t="s">
        <v>27</v>
      </c>
      <c r="G2477" t="s">
        <v>65</v>
      </c>
      <c r="H2477" t="s">
        <v>24</v>
      </c>
      <c r="I2477" t="s">
        <v>19</v>
      </c>
      <c r="J2477" t="s">
        <v>20</v>
      </c>
      <c r="K2477">
        <v>0</v>
      </c>
      <c r="L2477">
        <v>3</v>
      </c>
      <c r="M2477">
        <v>9.85</v>
      </c>
      <c r="N2477">
        <v>1</v>
      </c>
      <c r="O2477" t="str">
        <f>IF(financial_fraud_data[[#This Row],[Risk_Score]]&gt;8,"High",IF(financial_fraud_data[[#This Row],[Risk_Score]]&gt;5,"Med","Low"))</f>
        <v>High</v>
      </c>
      <c r="P2477" t="str">
        <f>TEXT(financial_fraud_data[[#This Row],[Transaction_Date]],"MMM")</f>
        <v>Apr</v>
      </c>
      <c r="Q2477" t="str">
        <f>IF(financial_fraud_data[[#This Row],[Is_Fraud]]=1,"Yes","No")</f>
        <v>Yes</v>
      </c>
    </row>
    <row r="2478" spans="1:17" x14ac:dyDescent="0.2">
      <c r="A2478" t="s">
        <v>3008</v>
      </c>
      <c r="B2478" t="s">
        <v>565</v>
      </c>
      <c r="C2478" s="1">
        <v>45395.166666666664</v>
      </c>
      <c r="D2478">
        <v>6576.08</v>
      </c>
      <c r="E2478" t="s">
        <v>34</v>
      </c>
      <c r="F2478" t="s">
        <v>17</v>
      </c>
      <c r="G2478" t="s">
        <v>18</v>
      </c>
      <c r="H2478" t="s">
        <v>29</v>
      </c>
      <c r="I2478" t="s">
        <v>24</v>
      </c>
      <c r="J2478" t="s">
        <v>37</v>
      </c>
      <c r="K2478">
        <v>0</v>
      </c>
      <c r="L2478">
        <v>2</v>
      </c>
      <c r="M2478">
        <v>4.66</v>
      </c>
      <c r="N2478">
        <v>0</v>
      </c>
      <c r="O2478" t="str">
        <f>IF(financial_fraud_data[[#This Row],[Risk_Score]]&gt;8,"High",IF(financial_fraud_data[[#This Row],[Risk_Score]]&gt;5,"Med","Low"))</f>
        <v>Low</v>
      </c>
      <c r="P2478" t="str">
        <f>TEXT(financial_fraud_data[[#This Row],[Transaction_Date]],"MMM")</f>
        <v>Apr</v>
      </c>
      <c r="Q2478" t="str">
        <f>IF(financial_fraud_data[[#This Row],[Is_Fraud]]=1,"Yes","No")</f>
        <v>No</v>
      </c>
    </row>
    <row r="2479" spans="1:17" x14ac:dyDescent="0.2">
      <c r="A2479" t="s">
        <v>3009</v>
      </c>
      <c r="B2479" t="s">
        <v>1476</v>
      </c>
      <c r="C2479" s="1">
        <v>45395.208333333336</v>
      </c>
      <c r="D2479">
        <v>39535.96</v>
      </c>
      <c r="E2479" t="s">
        <v>34</v>
      </c>
      <c r="F2479" t="s">
        <v>17</v>
      </c>
      <c r="G2479" t="s">
        <v>28</v>
      </c>
      <c r="H2479" t="s">
        <v>19</v>
      </c>
      <c r="I2479" t="s">
        <v>24</v>
      </c>
      <c r="J2479" t="s">
        <v>37</v>
      </c>
      <c r="K2479">
        <v>1</v>
      </c>
      <c r="L2479">
        <v>2</v>
      </c>
      <c r="M2479">
        <v>9.9499999999999993</v>
      </c>
      <c r="N2479">
        <v>1</v>
      </c>
      <c r="O2479" t="str">
        <f>IF(financial_fraud_data[[#This Row],[Risk_Score]]&gt;8,"High",IF(financial_fraud_data[[#This Row],[Risk_Score]]&gt;5,"Med","Low"))</f>
        <v>High</v>
      </c>
      <c r="P2479" t="str">
        <f>TEXT(financial_fraud_data[[#This Row],[Transaction_Date]],"MMM")</f>
        <v>Apr</v>
      </c>
      <c r="Q2479" t="str">
        <f>IF(financial_fraud_data[[#This Row],[Is_Fraud]]=1,"Yes","No")</f>
        <v>Yes</v>
      </c>
    </row>
    <row r="2480" spans="1:17" x14ac:dyDescent="0.2">
      <c r="A2480" t="s">
        <v>3010</v>
      </c>
      <c r="B2480" t="s">
        <v>601</v>
      </c>
      <c r="C2480" s="1">
        <v>45395.25</v>
      </c>
      <c r="D2480">
        <v>6284.8</v>
      </c>
      <c r="E2480" t="s">
        <v>80</v>
      </c>
      <c r="F2480" t="s">
        <v>50</v>
      </c>
      <c r="G2480" t="s">
        <v>18</v>
      </c>
      <c r="H2480" t="s">
        <v>23</v>
      </c>
      <c r="I2480" t="s">
        <v>24</v>
      </c>
      <c r="J2480" t="s">
        <v>51</v>
      </c>
      <c r="K2480">
        <v>0</v>
      </c>
      <c r="L2480">
        <v>3</v>
      </c>
      <c r="M2480">
        <v>6.13</v>
      </c>
      <c r="N2480">
        <v>1</v>
      </c>
      <c r="O2480" t="str">
        <f>IF(financial_fraud_data[[#This Row],[Risk_Score]]&gt;8,"High",IF(financial_fraud_data[[#This Row],[Risk_Score]]&gt;5,"Med","Low"))</f>
        <v>Med</v>
      </c>
      <c r="P2480" t="str">
        <f>TEXT(financial_fraud_data[[#This Row],[Transaction_Date]],"MMM")</f>
        <v>Apr</v>
      </c>
      <c r="Q2480" t="str">
        <f>IF(financial_fraud_data[[#This Row],[Is_Fraud]]=1,"Yes","No")</f>
        <v>Yes</v>
      </c>
    </row>
    <row r="2481" spans="1:17" x14ac:dyDescent="0.2">
      <c r="A2481" t="s">
        <v>3011</v>
      </c>
      <c r="B2481" t="s">
        <v>649</v>
      </c>
      <c r="C2481" s="1">
        <v>45395.291666666664</v>
      </c>
      <c r="D2481">
        <v>39720.82</v>
      </c>
      <c r="E2481" t="s">
        <v>16</v>
      </c>
      <c r="F2481" t="s">
        <v>17</v>
      </c>
      <c r="G2481" t="s">
        <v>35</v>
      </c>
      <c r="H2481" t="s">
        <v>24</v>
      </c>
      <c r="I2481" t="s">
        <v>29</v>
      </c>
      <c r="J2481" t="s">
        <v>37</v>
      </c>
      <c r="K2481">
        <v>0</v>
      </c>
      <c r="L2481">
        <v>1</v>
      </c>
      <c r="M2481">
        <v>6.47</v>
      </c>
      <c r="N2481">
        <v>1</v>
      </c>
      <c r="O2481" t="str">
        <f>IF(financial_fraud_data[[#This Row],[Risk_Score]]&gt;8,"High",IF(financial_fraud_data[[#This Row],[Risk_Score]]&gt;5,"Med","Low"))</f>
        <v>Med</v>
      </c>
      <c r="P2481" t="str">
        <f>TEXT(financial_fraud_data[[#This Row],[Transaction_Date]],"MMM")</f>
        <v>Apr</v>
      </c>
      <c r="Q2481" t="str">
        <f>IF(financial_fraud_data[[#This Row],[Is_Fraud]]=1,"Yes","No")</f>
        <v>Yes</v>
      </c>
    </row>
    <row r="2482" spans="1:17" x14ac:dyDescent="0.2">
      <c r="A2482" t="s">
        <v>3012</v>
      </c>
      <c r="B2482" t="s">
        <v>310</v>
      </c>
      <c r="C2482" s="1">
        <v>45395.333333333336</v>
      </c>
      <c r="D2482">
        <v>13824.59</v>
      </c>
      <c r="E2482" t="s">
        <v>16</v>
      </c>
      <c r="F2482" t="s">
        <v>17</v>
      </c>
      <c r="G2482" t="s">
        <v>28</v>
      </c>
      <c r="H2482" t="s">
        <v>29</v>
      </c>
      <c r="I2482" t="s">
        <v>24</v>
      </c>
      <c r="J2482" t="s">
        <v>20</v>
      </c>
      <c r="K2482">
        <v>0</v>
      </c>
      <c r="L2482">
        <v>1</v>
      </c>
      <c r="M2482">
        <v>3.88</v>
      </c>
      <c r="N2482">
        <v>0</v>
      </c>
      <c r="O2482" t="str">
        <f>IF(financial_fraud_data[[#This Row],[Risk_Score]]&gt;8,"High",IF(financial_fraud_data[[#This Row],[Risk_Score]]&gt;5,"Med","Low"))</f>
        <v>Low</v>
      </c>
      <c r="P2482" t="str">
        <f>TEXT(financial_fraud_data[[#This Row],[Transaction_Date]],"MMM")</f>
        <v>Apr</v>
      </c>
      <c r="Q2482" t="str">
        <f>IF(financial_fraud_data[[#This Row],[Is_Fraud]]=1,"Yes","No")</f>
        <v>No</v>
      </c>
    </row>
    <row r="2483" spans="1:17" x14ac:dyDescent="0.2">
      <c r="A2483" t="s">
        <v>3013</v>
      </c>
      <c r="B2483" t="s">
        <v>388</v>
      </c>
      <c r="C2483" s="1">
        <v>45395.375</v>
      </c>
      <c r="D2483">
        <v>43860.67</v>
      </c>
      <c r="E2483" t="s">
        <v>34</v>
      </c>
      <c r="F2483" t="s">
        <v>50</v>
      </c>
      <c r="G2483" t="s">
        <v>28</v>
      </c>
      <c r="H2483" t="s">
        <v>29</v>
      </c>
      <c r="I2483" t="s">
        <v>24</v>
      </c>
      <c r="J2483" t="s">
        <v>20</v>
      </c>
      <c r="K2483">
        <v>0</v>
      </c>
      <c r="L2483">
        <v>3</v>
      </c>
      <c r="M2483">
        <v>9.89</v>
      </c>
      <c r="N2483">
        <v>1</v>
      </c>
      <c r="O2483" t="str">
        <f>IF(financial_fraud_data[[#This Row],[Risk_Score]]&gt;8,"High",IF(financial_fraud_data[[#This Row],[Risk_Score]]&gt;5,"Med","Low"))</f>
        <v>High</v>
      </c>
      <c r="P2483" t="str">
        <f>TEXT(financial_fraud_data[[#This Row],[Transaction_Date]],"MMM")</f>
        <v>Apr</v>
      </c>
      <c r="Q2483" t="str">
        <f>IF(financial_fraud_data[[#This Row],[Is_Fraud]]=1,"Yes","No")</f>
        <v>Yes</v>
      </c>
    </row>
    <row r="2484" spans="1:17" x14ac:dyDescent="0.2">
      <c r="A2484" t="s">
        <v>3014</v>
      </c>
      <c r="B2484" t="s">
        <v>1079</v>
      </c>
      <c r="C2484" s="1">
        <v>45395.416666666664</v>
      </c>
      <c r="D2484">
        <v>47204.9</v>
      </c>
      <c r="E2484" t="s">
        <v>42</v>
      </c>
      <c r="F2484" t="s">
        <v>17</v>
      </c>
      <c r="G2484" t="s">
        <v>18</v>
      </c>
      <c r="H2484" t="s">
        <v>29</v>
      </c>
      <c r="I2484" t="s">
        <v>19</v>
      </c>
      <c r="J2484" t="s">
        <v>37</v>
      </c>
      <c r="K2484">
        <v>1</v>
      </c>
      <c r="L2484">
        <v>1</v>
      </c>
      <c r="M2484">
        <v>9.2200000000000006</v>
      </c>
      <c r="N2484">
        <v>1</v>
      </c>
      <c r="O2484" t="str">
        <f>IF(financial_fraud_data[[#This Row],[Risk_Score]]&gt;8,"High",IF(financial_fraud_data[[#This Row],[Risk_Score]]&gt;5,"Med","Low"))</f>
        <v>High</v>
      </c>
      <c r="P2484" t="str">
        <f>TEXT(financial_fraud_data[[#This Row],[Transaction_Date]],"MMM")</f>
        <v>Apr</v>
      </c>
      <c r="Q2484" t="str">
        <f>IF(financial_fraud_data[[#This Row],[Is_Fraud]]=1,"Yes","No")</f>
        <v>Yes</v>
      </c>
    </row>
    <row r="2485" spans="1:17" x14ac:dyDescent="0.2">
      <c r="A2485" t="s">
        <v>3015</v>
      </c>
      <c r="B2485" t="s">
        <v>1268</v>
      </c>
      <c r="C2485" s="1">
        <v>45395.458333333336</v>
      </c>
      <c r="D2485">
        <v>7482.36</v>
      </c>
      <c r="E2485" t="s">
        <v>16</v>
      </c>
      <c r="F2485" t="s">
        <v>27</v>
      </c>
      <c r="G2485" t="s">
        <v>35</v>
      </c>
      <c r="H2485" t="s">
        <v>23</v>
      </c>
      <c r="I2485" t="s">
        <v>36</v>
      </c>
      <c r="J2485" t="s">
        <v>51</v>
      </c>
      <c r="K2485">
        <v>0</v>
      </c>
      <c r="L2485">
        <v>2</v>
      </c>
      <c r="M2485">
        <v>4.75</v>
      </c>
      <c r="N2485">
        <v>0</v>
      </c>
      <c r="O2485" t="str">
        <f>IF(financial_fraud_data[[#This Row],[Risk_Score]]&gt;8,"High",IF(financial_fraud_data[[#This Row],[Risk_Score]]&gt;5,"Med","Low"))</f>
        <v>Low</v>
      </c>
      <c r="P2485" t="str">
        <f>TEXT(financial_fraud_data[[#This Row],[Transaction_Date]],"MMM")</f>
        <v>Apr</v>
      </c>
      <c r="Q2485" t="str">
        <f>IF(financial_fraud_data[[#This Row],[Is_Fraud]]=1,"Yes","No")</f>
        <v>No</v>
      </c>
    </row>
    <row r="2486" spans="1:17" x14ac:dyDescent="0.2">
      <c r="A2486" t="s">
        <v>3016</v>
      </c>
      <c r="B2486" t="s">
        <v>755</v>
      </c>
      <c r="C2486" s="1">
        <v>45395.5</v>
      </c>
      <c r="D2486">
        <v>23160.65</v>
      </c>
      <c r="E2486" t="s">
        <v>80</v>
      </c>
      <c r="F2486" t="s">
        <v>50</v>
      </c>
      <c r="G2486" t="s">
        <v>65</v>
      </c>
      <c r="H2486" t="s">
        <v>36</v>
      </c>
      <c r="I2486" t="s">
        <v>19</v>
      </c>
      <c r="J2486" t="s">
        <v>20</v>
      </c>
      <c r="K2486">
        <v>0</v>
      </c>
      <c r="L2486">
        <v>2</v>
      </c>
      <c r="M2486">
        <v>6.32</v>
      </c>
      <c r="N2486">
        <v>1</v>
      </c>
      <c r="O2486" t="str">
        <f>IF(financial_fraud_data[[#This Row],[Risk_Score]]&gt;8,"High",IF(financial_fraud_data[[#This Row],[Risk_Score]]&gt;5,"Med","Low"))</f>
        <v>Med</v>
      </c>
      <c r="P2486" t="str">
        <f>TEXT(financial_fraud_data[[#This Row],[Transaction_Date]],"MMM")</f>
        <v>Apr</v>
      </c>
      <c r="Q2486" t="str">
        <f>IF(financial_fraud_data[[#This Row],[Is_Fraud]]=1,"Yes","No")</f>
        <v>Yes</v>
      </c>
    </row>
    <row r="2487" spans="1:17" x14ac:dyDescent="0.2">
      <c r="A2487" t="s">
        <v>3017</v>
      </c>
      <c r="B2487" t="s">
        <v>55</v>
      </c>
      <c r="C2487" s="1">
        <v>45395.541666666664</v>
      </c>
      <c r="D2487">
        <v>49050.32</v>
      </c>
      <c r="E2487" t="s">
        <v>16</v>
      </c>
      <c r="F2487" t="s">
        <v>17</v>
      </c>
      <c r="G2487" t="s">
        <v>18</v>
      </c>
      <c r="H2487" t="s">
        <v>19</v>
      </c>
      <c r="I2487" t="s">
        <v>29</v>
      </c>
      <c r="J2487" t="s">
        <v>20</v>
      </c>
      <c r="K2487">
        <v>0</v>
      </c>
      <c r="L2487">
        <v>1</v>
      </c>
      <c r="M2487">
        <v>7.41</v>
      </c>
      <c r="N2487">
        <v>1</v>
      </c>
      <c r="O2487" t="str">
        <f>IF(financial_fraud_data[[#This Row],[Risk_Score]]&gt;8,"High",IF(financial_fraud_data[[#This Row],[Risk_Score]]&gt;5,"Med","Low"))</f>
        <v>Med</v>
      </c>
      <c r="P2487" t="str">
        <f>TEXT(financial_fraud_data[[#This Row],[Transaction_Date]],"MMM")</f>
        <v>Apr</v>
      </c>
      <c r="Q2487" t="str">
        <f>IF(financial_fraud_data[[#This Row],[Is_Fraud]]=1,"Yes","No")</f>
        <v>Yes</v>
      </c>
    </row>
    <row r="2488" spans="1:17" x14ac:dyDescent="0.2">
      <c r="A2488" t="s">
        <v>3018</v>
      </c>
      <c r="B2488" t="s">
        <v>263</v>
      </c>
      <c r="C2488" s="1">
        <v>45395.583333333336</v>
      </c>
      <c r="D2488">
        <v>24196.2</v>
      </c>
      <c r="E2488" t="s">
        <v>34</v>
      </c>
      <c r="F2488" t="s">
        <v>47</v>
      </c>
      <c r="G2488" t="s">
        <v>65</v>
      </c>
      <c r="H2488" t="s">
        <v>36</v>
      </c>
      <c r="I2488" t="s">
        <v>24</v>
      </c>
      <c r="J2488" t="s">
        <v>51</v>
      </c>
      <c r="K2488">
        <v>0</v>
      </c>
      <c r="L2488">
        <v>2</v>
      </c>
      <c r="M2488">
        <v>6.42</v>
      </c>
      <c r="N2488">
        <v>1</v>
      </c>
      <c r="O2488" t="str">
        <f>IF(financial_fraud_data[[#This Row],[Risk_Score]]&gt;8,"High",IF(financial_fraud_data[[#This Row],[Risk_Score]]&gt;5,"Med","Low"))</f>
        <v>Med</v>
      </c>
      <c r="P2488" t="str">
        <f>TEXT(financial_fraud_data[[#This Row],[Transaction_Date]],"MMM")</f>
        <v>Apr</v>
      </c>
      <c r="Q2488" t="str">
        <f>IF(financial_fraud_data[[#This Row],[Is_Fraud]]=1,"Yes","No")</f>
        <v>Yes</v>
      </c>
    </row>
    <row r="2489" spans="1:17" x14ac:dyDescent="0.2">
      <c r="A2489" t="s">
        <v>3019</v>
      </c>
      <c r="B2489" t="s">
        <v>555</v>
      </c>
      <c r="C2489" s="1">
        <v>45395.625</v>
      </c>
      <c r="D2489">
        <v>43184.2</v>
      </c>
      <c r="E2489" t="s">
        <v>42</v>
      </c>
      <c r="F2489" t="s">
        <v>50</v>
      </c>
      <c r="G2489" t="s">
        <v>18</v>
      </c>
      <c r="H2489" t="s">
        <v>19</v>
      </c>
      <c r="I2489" t="s">
        <v>36</v>
      </c>
      <c r="J2489" t="s">
        <v>37</v>
      </c>
      <c r="K2489">
        <v>0</v>
      </c>
      <c r="L2489">
        <v>0</v>
      </c>
      <c r="M2489">
        <v>5.32</v>
      </c>
      <c r="N2489">
        <v>1</v>
      </c>
      <c r="O2489" t="str">
        <f>IF(financial_fraud_data[[#This Row],[Risk_Score]]&gt;8,"High",IF(financial_fraud_data[[#This Row],[Risk_Score]]&gt;5,"Med","Low"))</f>
        <v>Med</v>
      </c>
      <c r="P2489" t="str">
        <f>TEXT(financial_fraud_data[[#This Row],[Transaction_Date]],"MMM")</f>
        <v>Apr</v>
      </c>
      <c r="Q2489" t="str">
        <f>IF(financial_fraud_data[[#This Row],[Is_Fraud]]=1,"Yes","No")</f>
        <v>Yes</v>
      </c>
    </row>
    <row r="2490" spans="1:17" x14ac:dyDescent="0.2">
      <c r="A2490" t="s">
        <v>3020</v>
      </c>
      <c r="B2490" t="s">
        <v>203</v>
      </c>
      <c r="C2490" s="1">
        <v>45395.666666666664</v>
      </c>
      <c r="D2490">
        <v>29457.14</v>
      </c>
      <c r="E2490" t="s">
        <v>16</v>
      </c>
      <c r="F2490" t="s">
        <v>50</v>
      </c>
      <c r="G2490" t="s">
        <v>65</v>
      </c>
      <c r="H2490" t="s">
        <v>19</v>
      </c>
      <c r="I2490" t="s">
        <v>24</v>
      </c>
      <c r="J2490" t="s">
        <v>20</v>
      </c>
      <c r="K2490">
        <v>0</v>
      </c>
      <c r="L2490">
        <v>2</v>
      </c>
      <c r="M2490">
        <v>6.95</v>
      </c>
      <c r="N2490">
        <v>1</v>
      </c>
      <c r="O2490" t="str">
        <f>IF(financial_fraud_data[[#This Row],[Risk_Score]]&gt;8,"High",IF(financial_fraud_data[[#This Row],[Risk_Score]]&gt;5,"Med","Low"))</f>
        <v>Med</v>
      </c>
      <c r="P2490" t="str">
        <f>TEXT(financial_fraud_data[[#This Row],[Transaction_Date]],"MMM")</f>
        <v>Apr</v>
      </c>
      <c r="Q2490" t="str">
        <f>IF(financial_fraud_data[[#This Row],[Is_Fraud]]=1,"Yes","No")</f>
        <v>Yes</v>
      </c>
    </row>
    <row r="2491" spans="1:17" x14ac:dyDescent="0.2">
      <c r="A2491" t="s">
        <v>3021</v>
      </c>
      <c r="B2491" t="s">
        <v>291</v>
      </c>
      <c r="C2491" s="1">
        <v>45395.708333333336</v>
      </c>
      <c r="D2491">
        <v>18797.73</v>
      </c>
      <c r="E2491" t="s">
        <v>16</v>
      </c>
      <c r="F2491" t="s">
        <v>47</v>
      </c>
      <c r="G2491" t="s">
        <v>18</v>
      </c>
      <c r="H2491" t="s">
        <v>29</v>
      </c>
      <c r="I2491" t="s">
        <v>24</v>
      </c>
      <c r="J2491" t="s">
        <v>37</v>
      </c>
      <c r="K2491">
        <v>0</v>
      </c>
      <c r="L2491">
        <v>3</v>
      </c>
      <c r="M2491">
        <v>7.38</v>
      </c>
      <c r="N2491">
        <v>1</v>
      </c>
      <c r="O2491" t="str">
        <f>IF(financial_fraud_data[[#This Row],[Risk_Score]]&gt;8,"High",IF(financial_fraud_data[[#This Row],[Risk_Score]]&gt;5,"Med","Low"))</f>
        <v>Med</v>
      </c>
      <c r="P2491" t="str">
        <f>TEXT(financial_fraud_data[[#This Row],[Transaction_Date]],"MMM")</f>
        <v>Apr</v>
      </c>
      <c r="Q2491" t="str">
        <f>IF(financial_fraud_data[[#This Row],[Is_Fraud]]=1,"Yes","No")</f>
        <v>Yes</v>
      </c>
    </row>
    <row r="2492" spans="1:17" x14ac:dyDescent="0.2">
      <c r="A2492" t="s">
        <v>3022</v>
      </c>
      <c r="B2492" t="s">
        <v>119</v>
      </c>
      <c r="C2492" s="1">
        <v>45395.75</v>
      </c>
      <c r="D2492">
        <v>14324.89</v>
      </c>
      <c r="E2492" t="s">
        <v>34</v>
      </c>
      <c r="F2492" t="s">
        <v>17</v>
      </c>
      <c r="G2492" t="s">
        <v>28</v>
      </c>
      <c r="H2492" t="s">
        <v>24</v>
      </c>
      <c r="I2492" t="s">
        <v>29</v>
      </c>
      <c r="J2492" t="s">
        <v>37</v>
      </c>
      <c r="K2492">
        <v>0</v>
      </c>
      <c r="L2492">
        <v>4</v>
      </c>
      <c r="M2492">
        <v>8.43</v>
      </c>
      <c r="N2492">
        <v>1</v>
      </c>
      <c r="O2492" t="str">
        <f>IF(financial_fraud_data[[#This Row],[Risk_Score]]&gt;8,"High",IF(financial_fraud_data[[#This Row],[Risk_Score]]&gt;5,"Med","Low"))</f>
        <v>High</v>
      </c>
      <c r="P2492" t="str">
        <f>TEXT(financial_fraud_data[[#This Row],[Transaction_Date]],"MMM")</f>
        <v>Apr</v>
      </c>
      <c r="Q2492" t="str">
        <f>IF(financial_fraud_data[[#This Row],[Is_Fraud]]=1,"Yes","No")</f>
        <v>Yes</v>
      </c>
    </row>
    <row r="2493" spans="1:17" x14ac:dyDescent="0.2">
      <c r="A2493" t="s">
        <v>3023</v>
      </c>
      <c r="B2493" t="s">
        <v>1476</v>
      </c>
      <c r="C2493" s="1">
        <v>45395.791666666664</v>
      </c>
      <c r="D2493">
        <v>10200.99</v>
      </c>
      <c r="E2493" t="s">
        <v>42</v>
      </c>
      <c r="F2493" t="s">
        <v>17</v>
      </c>
      <c r="G2493" t="s">
        <v>56</v>
      </c>
      <c r="H2493" t="s">
        <v>29</v>
      </c>
      <c r="I2493" t="s">
        <v>24</v>
      </c>
      <c r="J2493" t="s">
        <v>37</v>
      </c>
      <c r="K2493">
        <v>0</v>
      </c>
      <c r="L2493">
        <v>1</v>
      </c>
      <c r="M2493">
        <v>3.52</v>
      </c>
      <c r="N2493">
        <v>0</v>
      </c>
      <c r="O2493" t="str">
        <f>IF(financial_fraud_data[[#This Row],[Risk_Score]]&gt;8,"High",IF(financial_fraud_data[[#This Row],[Risk_Score]]&gt;5,"Med","Low"))</f>
        <v>Low</v>
      </c>
      <c r="P2493" t="str">
        <f>TEXT(financial_fraud_data[[#This Row],[Transaction_Date]],"MMM")</f>
        <v>Apr</v>
      </c>
      <c r="Q2493" t="str">
        <f>IF(financial_fraud_data[[#This Row],[Is_Fraud]]=1,"Yes","No")</f>
        <v>No</v>
      </c>
    </row>
    <row r="2494" spans="1:17" x14ac:dyDescent="0.2">
      <c r="A2494" t="s">
        <v>3024</v>
      </c>
      <c r="B2494" t="s">
        <v>502</v>
      </c>
      <c r="C2494" s="1">
        <v>45395.833333333336</v>
      </c>
      <c r="D2494">
        <v>38101.82</v>
      </c>
      <c r="E2494" t="s">
        <v>42</v>
      </c>
      <c r="F2494" t="s">
        <v>50</v>
      </c>
      <c r="G2494" t="s">
        <v>28</v>
      </c>
      <c r="H2494" t="s">
        <v>23</v>
      </c>
      <c r="I2494" t="s">
        <v>23</v>
      </c>
      <c r="J2494" t="s">
        <v>37</v>
      </c>
      <c r="K2494">
        <v>0</v>
      </c>
      <c r="L2494">
        <v>1</v>
      </c>
      <c r="M2494">
        <v>5.31</v>
      </c>
      <c r="N2494">
        <v>1</v>
      </c>
      <c r="O2494" t="str">
        <f>IF(financial_fraud_data[[#This Row],[Risk_Score]]&gt;8,"High",IF(financial_fraud_data[[#This Row],[Risk_Score]]&gt;5,"Med","Low"))</f>
        <v>Med</v>
      </c>
      <c r="P2494" t="str">
        <f>TEXT(financial_fraud_data[[#This Row],[Transaction_Date]],"MMM")</f>
        <v>Apr</v>
      </c>
      <c r="Q2494" t="str">
        <f>IF(financial_fraud_data[[#This Row],[Is_Fraud]]=1,"Yes","No")</f>
        <v>Yes</v>
      </c>
    </row>
    <row r="2495" spans="1:17" x14ac:dyDescent="0.2">
      <c r="A2495" t="s">
        <v>3025</v>
      </c>
      <c r="B2495" t="s">
        <v>1030</v>
      </c>
      <c r="C2495" s="1">
        <v>45395.875</v>
      </c>
      <c r="D2495">
        <v>19357.7</v>
      </c>
      <c r="E2495" t="s">
        <v>34</v>
      </c>
      <c r="F2495" t="s">
        <v>50</v>
      </c>
      <c r="G2495" t="s">
        <v>65</v>
      </c>
      <c r="H2495" t="s">
        <v>19</v>
      </c>
      <c r="I2495" t="s">
        <v>36</v>
      </c>
      <c r="J2495" t="s">
        <v>20</v>
      </c>
      <c r="K2495">
        <v>1</v>
      </c>
      <c r="L2495">
        <v>2</v>
      </c>
      <c r="M2495">
        <v>7.94</v>
      </c>
      <c r="N2495">
        <v>1</v>
      </c>
      <c r="O2495" t="str">
        <f>IF(financial_fraud_data[[#This Row],[Risk_Score]]&gt;8,"High",IF(financial_fraud_data[[#This Row],[Risk_Score]]&gt;5,"Med","Low"))</f>
        <v>Med</v>
      </c>
      <c r="P2495" t="str">
        <f>TEXT(financial_fraud_data[[#This Row],[Transaction_Date]],"MMM")</f>
        <v>Apr</v>
      </c>
      <c r="Q2495" t="str">
        <f>IF(financial_fraud_data[[#This Row],[Is_Fraud]]=1,"Yes","No")</f>
        <v>Yes</v>
      </c>
    </row>
    <row r="2496" spans="1:17" x14ac:dyDescent="0.2">
      <c r="A2496" t="s">
        <v>3026</v>
      </c>
      <c r="B2496" t="s">
        <v>1473</v>
      </c>
      <c r="C2496" s="1">
        <v>45395.916666666664</v>
      </c>
      <c r="D2496">
        <v>25588.21</v>
      </c>
      <c r="E2496" t="s">
        <v>80</v>
      </c>
      <c r="F2496" t="s">
        <v>17</v>
      </c>
      <c r="G2496" t="s">
        <v>35</v>
      </c>
      <c r="H2496" t="s">
        <v>24</v>
      </c>
      <c r="I2496" t="s">
        <v>36</v>
      </c>
      <c r="J2496" t="s">
        <v>51</v>
      </c>
      <c r="K2496">
        <v>0</v>
      </c>
      <c r="L2496">
        <v>2</v>
      </c>
      <c r="M2496">
        <v>6.56</v>
      </c>
      <c r="N2496">
        <v>1</v>
      </c>
      <c r="O2496" t="str">
        <f>IF(financial_fraud_data[[#This Row],[Risk_Score]]&gt;8,"High",IF(financial_fraud_data[[#This Row],[Risk_Score]]&gt;5,"Med","Low"))</f>
        <v>Med</v>
      </c>
      <c r="P2496" t="str">
        <f>TEXT(financial_fraud_data[[#This Row],[Transaction_Date]],"MMM")</f>
        <v>Apr</v>
      </c>
      <c r="Q2496" t="str">
        <f>IF(financial_fraud_data[[#This Row],[Is_Fraud]]=1,"Yes","No")</f>
        <v>Yes</v>
      </c>
    </row>
    <row r="2497" spans="1:17" x14ac:dyDescent="0.2">
      <c r="A2497" t="s">
        <v>3027</v>
      </c>
      <c r="B2497" t="s">
        <v>172</v>
      </c>
      <c r="C2497" s="1">
        <v>45395.958333333336</v>
      </c>
      <c r="D2497">
        <v>24641.66</v>
      </c>
      <c r="E2497" t="s">
        <v>16</v>
      </c>
      <c r="F2497" t="s">
        <v>17</v>
      </c>
      <c r="G2497" t="s">
        <v>28</v>
      </c>
      <c r="H2497" t="s">
        <v>19</v>
      </c>
      <c r="I2497" t="s">
        <v>23</v>
      </c>
      <c r="J2497" t="s">
        <v>20</v>
      </c>
      <c r="K2497">
        <v>0</v>
      </c>
      <c r="L2497">
        <v>4</v>
      </c>
      <c r="M2497">
        <v>9.4600000000000009</v>
      </c>
      <c r="N2497">
        <v>1</v>
      </c>
      <c r="O2497" t="str">
        <f>IF(financial_fraud_data[[#This Row],[Risk_Score]]&gt;8,"High",IF(financial_fraud_data[[#This Row],[Risk_Score]]&gt;5,"Med","Low"))</f>
        <v>High</v>
      </c>
      <c r="P2497" t="str">
        <f>TEXT(financial_fraud_data[[#This Row],[Transaction_Date]],"MMM")</f>
        <v>Apr</v>
      </c>
      <c r="Q2497" t="str">
        <f>IF(financial_fraud_data[[#This Row],[Is_Fraud]]=1,"Yes","No")</f>
        <v>Yes</v>
      </c>
    </row>
    <row r="2498" spans="1:17" x14ac:dyDescent="0.2">
      <c r="A2498" t="s">
        <v>3028</v>
      </c>
      <c r="B2498" t="s">
        <v>1913</v>
      </c>
      <c r="C2498" s="1">
        <v>45396</v>
      </c>
      <c r="D2498">
        <v>28885.09</v>
      </c>
      <c r="E2498" t="s">
        <v>80</v>
      </c>
      <c r="F2498" t="s">
        <v>27</v>
      </c>
      <c r="G2498" t="s">
        <v>56</v>
      </c>
      <c r="H2498" t="s">
        <v>19</v>
      </c>
      <c r="I2498" t="s">
        <v>29</v>
      </c>
      <c r="J2498" t="s">
        <v>51</v>
      </c>
      <c r="K2498">
        <v>1</v>
      </c>
      <c r="L2498">
        <v>4</v>
      </c>
      <c r="M2498">
        <v>11.89</v>
      </c>
      <c r="N2498">
        <v>1</v>
      </c>
      <c r="O2498" t="str">
        <f>IF(financial_fraud_data[[#This Row],[Risk_Score]]&gt;8,"High",IF(financial_fraud_data[[#This Row],[Risk_Score]]&gt;5,"Med","Low"))</f>
        <v>High</v>
      </c>
      <c r="P2498" t="str">
        <f>TEXT(financial_fraud_data[[#This Row],[Transaction_Date]],"MMM")</f>
        <v>Apr</v>
      </c>
      <c r="Q2498" t="str">
        <f>IF(financial_fraud_data[[#This Row],[Is_Fraud]]=1,"Yes","No")</f>
        <v>Yes</v>
      </c>
    </row>
    <row r="2499" spans="1:17" x14ac:dyDescent="0.2">
      <c r="A2499" t="s">
        <v>3029</v>
      </c>
      <c r="B2499" t="s">
        <v>235</v>
      </c>
      <c r="C2499" s="1">
        <v>45396.041666666664</v>
      </c>
      <c r="D2499">
        <v>43285.58</v>
      </c>
      <c r="E2499" t="s">
        <v>16</v>
      </c>
      <c r="F2499" t="s">
        <v>50</v>
      </c>
      <c r="G2499" t="s">
        <v>65</v>
      </c>
      <c r="H2499" t="s">
        <v>29</v>
      </c>
      <c r="I2499" t="s">
        <v>24</v>
      </c>
      <c r="J2499" t="s">
        <v>37</v>
      </c>
      <c r="K2499">
        <v>1</v>
      </c>
      <c r="L2499">
        <v>3</v>
      </c>
      <c r="M2499">
        <v>11.83</v>
      </c>
      <c r="N2499">
        <v>1</v>
      </c>
      <c r="O2499" t="str">
        <f>IF(financial_fraud_data[[#This Row],[Risk_Score]]&gt;8,"High",IF(financial_fraud_data[[#This Row],[Risk_Score]]&gt;5,"Med","Low"))</f>
        <v>High</v>
      </c>
      <c r="P2499" t="str">
        <f>TEXT(financial_fraud_data[[#This Row],[Transaction_Date]],"MMM")</f>
        <v>Apr</v>
      </c>
      <c r="Q2499" t="str">
        <f>IF(financial_fraud_data[[#This Row],[Is_Fraud]]=1,"Yes","No")</f>
        <v>Yes</v>
      </c>
    </row>
    <row r="2500" spans="1:17" x14ac:dyDescent="0.2">
      <c r="A2500" t="s">
        <v>3030</v>
      </c>
      <c r="B2500" t="s">
        <v>514</v>
      </c>
      <c r="C2500" s="1">
        <v>45396.083333333336</v>
      </c>
      <c r="D2500">
        <v>49037.93</v>
      </c>
      <c r="E2500" t="s">
        <v>16</v>
      </c>
      <c r="F2500" t="s">
        <v>50</v>
      </c>
      <c r="G2500" t="s">
        <v>28</v>
      </c>
      <c r="H2500" t="s">
        <v>24</v>
      </c>
      <c r="I2500" t="s">
        <v>24</v>
      </c>
      <c r="J2500" t="s">
        <v>51</v>
      </c>
      <c r="K2500">
        <v>0</v>
      </c>
      <c r="L2500">
        <v>0</v>
      </c>
      <c r="M2500">
        <v>4.9000000000000004</v>
      </c>
      <c r="N2500">
        <v>0</v>
      </c>
      <c r="O2500" t="str">
        <f>IF(financial_fraud_data[[#This Row],[Risk_Score]]&gt;8,"High",IF(financial_fraud_data[[#This Row],[Risk_Score]]&gt;5,"Med","Low"))</f>
        <v>Low</v>
      </c>
      <c r="P2500" t="str">
        <f>TEXT(financial_fraud_data[[#This Row],[Transaction_Date]],"MMM")</f>
        <v>Apr</v>
      </c>
      <c r="Q2500" t="str">
        <f>IF(financial_fraud_data[[#This Row],[Is_Fraud]]=1,"Yes","No")</f>
        <v>No</v>
      </c>
    </row>
    <row r="2501" spans="1:17" x14ac:dyDescent="0.2">
      <c r="A2501" t="s">
        <v>3031</v>
      </c>
      <c r="B2501" t="s">
        <v>423</v>
      </c>
      <c r="C2501" s="1">
        <v>45396.125</v>
      </c>
      <c r="D2501">
        <v>20408.830000000002</v>
      </c>
      <c r="E2501" t="s">
        <v>80</v>
      </c>
      <c r="F2501" t="s">
        <v>47</v>
      </c>
      <c r="G2501" t="s">
        <v>18</v>
      </c>
      <c r="H2501" t="s">
        <v>24</v>
      </c>
      <c r="I2501" t="s">
        <v>36</v>
      </c>
      <c r="J2501" t="s">
        <v>37</v>
      </c>
      <c r="K2501">
        <v>0</v>
      </c>
      <c r="L2501">
        <v>3</v>
      </c>
      <c r="M2501">
        <v>7.54</v>
      </c>
      <c r="N2501">
        <v>1</v>
      </c>
      <c r="O2501" t="str">
        <f>IF(financial_fraud_data[[#This Row],[Risk_Score]]&gt;8,"High",IF(financial_fraud_data[[#This Row],[Risk_Score]]&gt;5,"Med","Low"))</f>
        <v>Med</v>
      </c>
      <c r="P2501" t="str">
        <f>TEXT(financial_fraud_data[[#This Row],[Transaction_Date]],"MMM")</f>
        <v>Apr</v>
      </c>
      <c r="Q2501" t="str">
        <f>IF(financial_fraud_data[[#This Row],[Is_Fraud]]=1,"Yes","No")</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15"/>
  <sheetViews>
    <sheetView tabSelected="1" workbookViewId="0">
      <selection activeCell="K157" sqref="K157"/>
    </sheetView>
  </sheetViews>
  <sheetFormatPr baseColWidth="10" defaultColWidth="10.83203125" defaultRowHeight="16" x14ac:dyDescent="0.2"/>
  <cols>
    <col min="1" max="1" width="13" bestFit="1" customWidth="1"/>
    <col min="2" max="2" width="24.5" bestFit="1" customWidth="1"/>
    <col min="3" max="3" width="12.5" bestFit="1" customWidth="1"/>
    <col min="4" max="4" width="6.5" customWidth="1"/>
    <col min="5" max="5" width="4.6640625" bestFit="1" customWidth="1"/>
    <col min="6" max="6" width="10.5" bestFit="1" customWidth="1"/>
    <col min="7" max="7" width="13" bestFit="1" customWidth="1"/>
    <col min="8" max="8" width="14.1640625" bestFit="1" customWidth="1"/>
    <col min="9" max="9" width="12.5" bestFit="1" customWidth="1"/>
    <col min="10" max="10" width="13" bestFit="1" customWidth="1"/>
    <col min="11" max="11" width="21" bestFit="1" customWidth="1"/>
    <col min="12" max="12" width="10.5" bestFit="1" customWidth="1"/>
    <col min="13" max="13" width="13" bestFit="1" customWidth="1"/>
    <col min="14" max="14" width="24.5" bestFit="1" customWidth="1"/>
    <col min="19" max="19" width="13" bestFit="1" customWidth="1"/>
    <col min="20" max="20" width="24.5" bestFit="1" customWidth="1"/>
  </cols>
  <sheetData>
    <row r="2" spans="1:2" ht="22" x14ac:dyDescent="0.3">
      <c r="A2" s="6" t="s">
        <v>3058</v>
      </c>
    </row>
    <row r="3" spans="1:2" x14ac:dyDescent="0.2">
      <c r="A3" s="4" t="s">
        <v>3045</v>
      </c>
      <c r="B3" t="s">
        <v>3047</v>
      </c>
    </row>
    <row r="4" spans="1:2" x14ac:dyDescent="0.2">
      <c r="A4" s="5" t="s">
        <v>3049</v>
      </c>
      <c r="B4" s="8">
        <v>774</v>
      </c>
    </row>
    <row r="5" spans="1:2" x14ac:dyDescent="0.2">
      <c r="A5" s="5" t="s">
        <v>3050</v>
      </c>
      <c r="B5" s="8">
        <v>1726</v>
      </c>
    </row>
    <row r="20" spans="1:2" ht="24" x14ac:dyDescent="0.3">
      <c r="A20" s="7" t="s">
        <v>3060</v>
      </c>
    </row>
    <row r="21" spans="1:2" x14ac:dyDescent="0.2">
      <c r="A21" s="4" t="s">
        <v>3045</v>
      </c>
      <c r="B21" t="s">
        <v>3051</v>
      </c>
    </row>
    <row r="22" spans="1:2" x14ac:dyDescent="0.2">
      <c r="A22" s="5" t="s">
        <v>3052</v>
      </c>
      <c r="B22" s="8">
        <v>499</v>
      </c>
    </row>
    <row r="23" spans="1:2" x14ac:dyDescent="0.2">
      <c r="A23" s="5" t="s">
        <v>3053</v>
      </c>
      <c r="B23" s="8">
        <v>483</v>
      </c>
    </row>
    <row r="24" spans="1:2" x14ac:dyDescent="0.2">
      <c r="A24" s="5" t="s">
        <v>3054</v>
      </c>
      <c r="B24" s="8">
        <v>522</v>
      </c>
    </row>
    <row r="25" spans="1:2" x14ac:dyDescent="0.2">
      <c r="A25" s="5" t="s">
        <v>3055</v>
      </c>
      <c r="B25" s="8">
        <v>222</v>
      </c>
    </row>
    <row r="36" spans="1:2" ht="24" x14ac:dyDescent="0.3">
      <c r="A36" s="7" t="s">
        <v>3062</v>
      </c>
    </row>
    <row r="37" spans="1:2" x14ac:dyDescent="0.2">
      <c r="A37" s="4" t="s">
        <v>3045</v>
      </c>
      <c r="B37" t="s">
        <v>3056</v>
      </c>
    </row>
    <row r="38" spans="1:2" x14ac:dyDescent="0.2">
      <c r="A38" s="5" t="s">
        <v>3049</v>
      </c>
      <c r="B38" s="8">
        <v>12686204.050000006</v>
      </c>
    </row>
    <row r="39" spans="1:2" x14ac:dyDescent="0.2">
      <c r="A39" s="5" t="s">
        <v>3050</v>
      </c>
      <c r="B39" s="8">
        <v>49736219.449999928</v>
      </c>
    </row>
    <row r="51" spans="1:2" ht="24" x14ac:dyDescent="0.3">
      <c r="A51" s="7" t="s">
        <v>3063</v>
      </c>
    </row>
    <row r="52" spans="1:2" x14ac:dyDescent="0.2">
      <c r="A52" s="4" t="s">
        <v>3045</v>
      </c>
      <c r="B52" t="s">
        <v>3051</v>
      </c>
    </row>
    <row r="53" spans="1:2" x14ac:dyDescent="0.2">
      <c r="A53" s="5" t="s">
        <v>47</v>
      </c>
      <c r="B53" s="8">
        <v>411</v>
      </c>
    </row>
    <row r="54" spans="1:2" x14ac:dyDescent="0.2">
      <c r="A54" s="5" t="s">
        <v>50</v>
      </c>
      <c r="B54" s="8">
        <v>445</v>
      </c>
    </row>
    <row r="55" spans="1:2" x14ac:dyDescent="0.2">
      <c r="A55" s="5" t="s">
        <v>17</v>
      </c>
      <c r="B55" s="8">
        <v>428</v>
      </c>
    </row>
    <row r="56" spans="1:2" x14ac:dyDescent="0.2">
      <c r="A56" s="5" t="s">
        <v>27</v>
      </c>
      <c r="B56" s="8">
        <v>442</v>
      </c>
    </row>
    <row r="70" spans="1:2" ht="24" x14ac:dyDescent="0.3">
      <c r="A70" s="7" t="s">
        <v>3061</v>
      </c>
    </row>
    <row r="71" spans="1:2" x14ac:dyDescent="0.2">
      <c r="A71" s="4" t="s">
        <v>3045</v>
      </c>
      <c r="B71" t="s">
        <v>3047</v>
      </c>
    </row>
    <row r="72" spans="1:2" x14ac:dyDescent="0.2">
      <c r="A72" s="5" t="s">
        <v>3040</v>
      </c>
      <c r="B72" s="8">
        <v>747</v>
      </c>
    </row>
    <row r="73" spans="1:2" x14ac:dyDescent="0.2">
      <c r="A73" s="5" t="s">
        <v>3044</v>
      </c>
      <c r="B73" s="8">
        <v>774</v>
      </c>
    </row>
    <row r="74" spans="1:2" x14ac:dyDescent="0.2">
      <c r="A74" s="5" t="s">
        <v>3042</v>
      </c>
      <c r="B74" s="8">
        <v>979</v>
      </c>
    </row>
    <row r="90" spans="1:6" ht="24" x14ac:dyDescent="0.3">
      <c r="A90" s="7" t="s">
        <v>3064</v>
      </c>
    </row>
    <row r="91" spans="1:6" x14ac:dyDescent="0.2">
      <c r="A91" s="4" t="s">
        <v>3051</v>
      </c>
      <c r="B91" s="4" t="s">
        <v>3057</v>
      </c>
    </row>
    <row r="92" spans="1:6" x14ac:dyDescent="0.2">
      <c r="A92" s="4" t="s">
        <v>3045</v>
      </c>
      <c r="B92" t="s">
        <v>16</v>
      </c>
      <c r="C92" t="s">
        <v>34</v>
      </c>
      <c r="D92" t="s">
        <v>42</v>
      </c>
      <c r="E92" t="s">
        <v>80</v>
      </c>
      <c r="F92" t="s">
        <v>3046</v>
      </c>
    </row>
    <row r="93" spans="1:6" x14ac:dyDescent="0.2">
      <c r="A93" s="5" t="s">
        <v>29</v>
      </c>
      <c r="B93" s="8">
        <v>87</v>
      </c>
      <c r="C93" s="8">
        <v>88</v>
      </c>
      <c r="D93" s="8">
        <v>95</v>
      </c>
      <c r="E93" s="8">
        <v>95</v>
      </c>
      <c r="F93" s="8">
        <v>365</v>
      </c>
    </row>
    <row r="94" spans="1:6" x14ac:dyDescent="0.2">
      <c r="A94" s="5" t="s">
        <v>36</v>
      </c>
      <c r="B94" s="8">
        <v>75</v>
      </c>
      <c r="C94" s="8">
        <v>83</v>
      </c>
      <c r="D94" s="8">
        <v>82</v>
      </c>
      <c r="E94" s="8">
        <v>78</v>
      </c>
      <c r="F94" s="8">
        <v>318</v>
      </c>
    </row>
    <row r="95" spans="1:6" x14ac:dyDescent="0.2">
      <c r="A95" s="5" t="s">
        <v>23</v>
      </c>
      <c r="B95" s="8">
        <v>94</v>
      </c>
      <c r="C95" s="8">
        <v>88</v>
      </c>
      <c r="D95" s="8">
        <v>86</v>
      </c>
      <c r="E95" s="8">
        <v>76</v>
      </c>
      <c r="F95" s="8">
        <v>344</v>
      </c>
    </row>
    <row r="96" spans="1:6" x14ac:dyDescent="0.2">
      <c r="A96" s="5" t="s">
        <v>19</v>
      </c>
      <c r="B96" s="8">
        <v>78</v>
      </c>
      <c r="C96" s="8">
        <v>101</v>
      </c>
      <c r="D96" s="8">
        <v>91</v>
      </c>
      <c r="E96" s="8">
        <v>65</v>
      </c>
      <c r="F96" s="8">
        <v>335</v>
      </c>
    </row>
    <row r="97" spans="1:6" x14ac:dyDescent="0.2">
      <c r="A97" s="5" t="s">
        <v>24</v>
      </c>
      <c r="B97" s="8">
        <v>99</v>
      </c>
      <c r="C97" s="8">
        <v>95</v>
      </c>
      <c r="D97" s="8">
        <v>87</v>
      </c>
      <c r="E97" s="8">
        <v>83</v>
      </c>
      <c r="F97" s="8">
        <v>364</v>
      </c>
    </row>
    <row r="110" spans="1:6" ht="24" x14ac:dyDescent="0.3">
      <c r="A110" s="7" t="s">
        <v>3059</v>
      </c>
    </row>
    <row r="111" spans="1:6" x14ac:dyDescent="0.2">
      <c r="A111" s="4" t="s">
        <v>3045</v>
      </c>
      <c r="B111" t="s">
        <v>3051</v>
      </c>
    </row>
    <row r="112" spans="1:6" x14ac:dyDescent="0.2">
      <c r="A112" s="5" t="s">
        <v>16</v>
      </c>
      <c r="B112" s="8">
        <v>433</v>
      </c>
    </row>
    <row r="113" spans="1:2" x14ac:dyDescent="0.2">
      <c r="A113" s="5" t="s">
        <v>34</v>
      </c>
      <c r="B113" s="8">
        <v>455</v>
      </c>
    </row>
    <row r="114" spans="1:2" x14ac:dyDescent="0.2">
      <c r="A114" s="5" t="s">
        <v>42</v>
      </c>
      <c r="B114" s="8">
        <v>441</v>
      </c>
    </row>
    <row r="115" spans="1:2" x14ac:dyDescent="0.2">
      <c r="A115" s="5" t="s">
        <v>80</v>
      </c>
      <c r="B115" s="8">
        <v>397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B29008-66F6-FD4B-83F2-BEBA64C10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financial_fraud_data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Abilash</dc:creator>
  <cp:lastModifiedBy>Anjana Abilash</cp:lastModifiedBy>
  <dcterms:created xsi:type="dcterms:W3CDTF">2026-04-30T12:58:12Z</dcterms:created>
  <dcterms:modified xsi:type="dcterms:W3CDTF">2026-09-27T14:05:28Z</dcterms:modified>
</cp:coreProperties>
</file>